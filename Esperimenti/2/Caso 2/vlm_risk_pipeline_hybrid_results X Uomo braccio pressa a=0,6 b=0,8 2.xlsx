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drawings/drawing2.xml" ContentType="application/vnd.openxmlformats-officedocument.drawing+xml"/>
  <Override PartName="/xl/worksheets/sheet4.xml" ContentType="application/vnd.openxmlformats-officedocument.spreadsheetml.worksheet+xml"/>
  <Override PartName="/xl/worksheets/sheet5.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window_results_hybrid" sheetId="1" state="visible" r:id="rId1"/>
    <sheet name="traffic_light_dashboard_vlm" sheetId="2" state="visible" r:id="rId2"/>
    <sheet name="traffic_light_dashboard_ahp" sheetId="3" state="visible" r:id="rId3"/>
    <sheet name="branch_comparison" sheetId="4" state="visible" r:id="rId4"/>
    <sheet name="risk_contribution_analysis" sheetId="5" state="visible" r:id="rId5"/>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font>
    <font>
      <b val="1"/>
      <color rgb="00FFFFFF"/>
    </font>
    <font>
      <color rgb="00FFFFFF"/>
    </font>
    <font>
      <color rgb="00000000"/>
    </font>
    <font>
      <b val="1"/>
      <color rgb="00000000"/>
    </font>
  </fonts>
  <fills count="8">
    <fill>
      <patternFill/>
    </fill>
    <fill>
      <patternFill patternType="gray125"/>
    </fill>
    <fill>
      <patternFill patternType="solid">
        <fgColor rgb="002E4057"/>
        <bgColor rgb="002E4057"/>
      </patternFill>
    </fill>
    <fill>
      <patternFill patternType="solid">
        <fgColor rgb="00FF4444"/>
        <bgColor rgb="00FF4444"/>
      </patternFill>
    </fill>
    <fill>
      <patternFill patternType="solid">
        <fgColor rgb="00FF8800"/>
        <bgColor rgb="00FF8800"/>
      </patternFill>
    </fill>
    <fill>
      <patternFill patternType="solid">
        <fgColor rgb="00FFD700"/>
        <bgColor rgb="00FFD700"/>
      </patternFill>
    </fill>
    <fill>
      <patternFill patternType="solid">
        <fgColor rgb="0000C851"/>
        <bgColor rgb="0000C851"/>
      </patternFill>
    </fill>
    <fill>
      <patternFill patternType="solid">
        <fgColor rgb="00FADBD8"/>
        <bgColor rgb="00FADBD8"/>
      </patternFill>
    </fill>
  </fills>
  <borders count="3">
    <border>
      <left/>
      <right/>
      <top/>
      <bottom/>
      <diagonal/>
    </border>
    <border>
      <left style="thin"/>
      <right style="thin"/>
      <top style="thin"/>
      <bottom style="thin"/>
    </border>
    <border>
      <left style="thin">
        <color rgb="00BBBBBB"/>
      </left>
      <right style="thin">
        <color rgb="00BBBBBB"/>
      </right>
      <top style="thin">
        <color rgb="00BBBBBB"/>
      </top>
      <bottom style="thin">
        <color rgb="00BBBBBB"/>
      </bottom>
    </border>
  </borders>
  <cellStyleXfs count="1">
    <xf numFmtId="0" fontId="0" fillId="0" borderId="0"/>
  </cellStyleXfs>
  <cellXfs count="11">
    <xf numFmtId="0" fontId="0" fillId="0" borderId="0" pivotButton="0" quotePrefix="0" xfId="0"/>
    <xf numFmtId="0" fontId="2" fillId="2" borderId="2" applyAlignment="1" pivotButton="0" quotePrefix="0" xfId="0">
      <alignment horizontal="center" vertical="center" wrapText="1"/>
    </xf>
    <xf numFmtId="0" fontId="3" fillId="3" borderId="2" applyAlignment="1" pivotButton="0" quotePrefix="0" xfId="0">
      <alignment horizontal="center" vertical="center"/>
    </xf>
    <xf numFmtId="0" fontId="2" fillId="3" borderId="2" applyAlignment="1" pivotButton="0" quotePrefix="0" xfId="0">
      <alignment horizontal="center" vertical="center"/>
    </xf>
    <xf numFmtId="0" fontId="4" fillId="4" borderId="2" applyAlignment="1" pivotButton="0" quotePrefix="0" xfId="0">
      <alignment horizontal="center" vertical="center"/>
    </xf>
    <xf numFmtId="0" fontId="5" fillId="4" borderId="2" applyAlignment="1" pivotButton="0" quotePrefix="0" xfId="0">
      <alignment horizontal="center" vertical="center"/>
    </xf>
    <xf numFmtId="0" fontId="4" fillId="5" borderId="2" applyAlignment="1" pivotButton="0" quotePrefix="0" xfId="0">
      <alignment horizontal="center" vertical="center"/>
    </xf>
    <xf numFmtId="0" fontId="5" fillId="5" borderId="2" applyAlignment="1" pivotButton="0" quotePrefix="0" xfId="0">
      <alignment horizontal="center" vertical="center"/>
    </xf>
    <xf numFmtId="0" fontId="4" fillId="6" borderId="2" applyAlignment="1" pivotButton="0" quotePrefix="0" xfId="0">
      <alignment horizontal="center" vertical="center"/>
    </xf>
    <xf numFmtId="0" fontId="5" fillId="6" borderId="2" applyAlignment="1" pivotButton="0" quotePrefix="0" xfId="0">
      <alignment horizontal="center" vertical="center"/>
    </xf>
    <xf numFmtId="0" fontId="0" fillId="7" borderId="2"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harts/chart1.xml><?xml version="1.0" encoding="utf-8"?>
<chartSpace xmlns:a="http://schemas.openxmlformats.org/drawingml/2006/main" xmlns="http://schemas.openxmlformats.org/drawingml/2006/chart">
  <chart>
    <title>
      <tx>
        <rich>
          <a:bodyPr/>
          <a:p>
            <a:pPr>
              <a:defRPr/>
            </a:pPr>
            <a:r>
              <a:t>Evoluzione score dinamico VLM</a:t>
            </a:r>
          </a:p>
        </rich>
      </tx>
    </title>
    <plotArea>
      <lineChart>
        <grouping val="standard"/>
        <ser>
          <idx val="0"/>
          <order val="0"/>
          <tx>
            <strRef>
              <f>'traffic_light_dashboard_vlm'!E1</f>
            </strRef>
          </tx>
          <spPr>
            <a:ln>
              <a:prstDash val="solid"/>
            </a:ln>
          </spPr>
          <marker>
            <symbol val="none"/>
            <spPr>
              <a:ln>
                <a:prstDash val="solid"/>
              </a:ln>
            </spPr>
          </marker>
          <cat>
            <numRef>
              <f>'traffic_light_dashboard_vlm'!$A$2:$A$33</f>
            </numRef>
          </cat>
          <val>
            <numRef>
              <f>'traffic_light_dashboard_vlm'!$E$2:$E$33</f>
            </numRef>
          </val>
        </ser>
        <axId val="10"/>
        <axId val="100"/>
      </lineChart>
      <catAx>
        <axId val="10"/>
        <scaling>
          <orientation val="minMax"/>
        </scaling>
        <axPos val="l"/>
        <title>
          <tx>
            <rich>
              <a:bodyPr/>
              <a:p>
                <a:pPr>
                  <a:defRPr/>
                </a:pPr>
                <a:r>
                  <a:t>window_id</a:t>
                </a:r>
              </a:p>
            </rich>
          </tx>
        </title>
        <majorTickMark val="none"/>
        <minorTickMark val="none"/>
        <crossAx val="100"/>
        <lblOffset val="100"/>
      </catAx>
      <valAx>
        <axId val="100"/>
        <scaling>
          <orientation val="minMax"/>
          <max val="100"/>
          <min val="0"/>
        </scaling>
        <axPos val="l"/>
        <majorGridlines/>
        <title>
          <tx>
            <rich>
              <a:bodyPr/>
              <a:p>
                <a:pPr>
                  <a:defRPr/>
                </a:pPr>
                <a:r>
                  <a:t>Score dinamico</a:t>
                </a:r>
              </a:p>
            </rich>
          </tx>
        </title>
        <majorTickMark val="none"/>
        <minorTickMark val="none"/>
        <crossAx val="10"/>
      </valAx>
    </plotArea>
    <legend>
      <legendPos val="r"/>
    </legend>
    <plotVisOnly val="1"/>
    <dispBlanksAs val="gap"/>
  </chart>
</chartSpace>
</file>

<file path=xl/charts/chart2.xml><?xml version="1.0" encoding="utf-8"?>
<chartSpace xmlns:a="http://schemas.openxmlformats.org/drawingml/2006/main" xmlns="http://schemas.openxmlformats.org/drawingml/2006/chart">
  <chart>
    <title>
      <tx>
        <rich>
          <a:bodyPr/>
          <a:p>
            <a:pPr>
              <a:defRPr/>
            </a:pPr>
            <a:r>
              <a:t>Evoluzione score dinamico AHP</a:t>
            </a:r>
          </a:p>
        </rich>
      </tx>
    </title>
    <plotArea>
      <lineChart>
        <grouping val="standard"/>
        <ser>
          <idx val="0"/>
          <order val="0"/>
          <tx>
            <strRef>
              <f>'traffic_light_dashboard_ahp'!E1</f>
            </strRef>
          </tx>
          <spPr>
            <a:ln>
              <a:prstDash val="solid"/>
            </a:ln>
          </spPr>
          <marker>
            <symbol val="none"/>
            <spPr>
              <a:ln>
                <a:prstDash val="solid"/>
              </a:ln>
            </spPr>
          </marker>
          <cat>
            <numRef>
              <f>'traffic_light_dashboard_ahp'!$A$2:$A$33</f>
            </numRef>
          </cat>
          <val>
            <numRef>
              <f>'traffic_light_dashboard_ahp'!$E$2:$E$33</f>
            </numRef>
          </val>
        </ser>
        <axId val="10"/>
        <axId val="100"/>
      </lineChart>
      <catAx>
        <axId val="10"/>
        <scaling>
          <orientation val="minMax"/>
        </scaling>
        <axPos val="l"/>
        <title>
          <tx>
            <rich>
              <a:bodyPr/>
              <a:p>
                <a:pPr>
                  <a:defRPr/>
                </a:pPr>
                <a:r>
                  <a:t>window_id</a:t>
                </a:r>
              </a:p>
            </rich>
          </tx>
        </title>
        <majorTickMark val="none"/>
        <minorTickMark val="none"/>
        <crossAx val="100"/>
        <lblOffset val="100"/>
      </catAx>
      <valAx>
        <axId val="100"/>
        <scaling>
          <orientation val="minMax"/>
          <max val="100"/>
          <min val="0"/>
        </scaling>
        <axPos val="l"/>
        <majorGridlines/>
        <title>
          <tx>
            <rich>
              <a:bodyPr/>
              <a:p>
                <a:pPr>
                  <a:defRPr/>
                </a:pPr>
                <a:r>
                  <a:t>Score dinamico</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s>
</file>

<file path=xl/drawings/_rels/drawing2.xml.rels><Relationships xmlns="http://schemas.openxmlformats.org/package/2006/relationships"><Relationship Type="http://schemas.openxmlformats.org/officeDocument/2006/relationships/chart" Target="/xl/charts/chart2.xml"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6</col>
      <colOff>0</colOff>
      <row>1</row>
      <rowOff>0</rowOff>
    </from>
    <ext cx="7200000" cy="360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2.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6</col>
      <colOff>0</colOff>
      <row>1</row>
      <rowOff>0</rowOff>
    </from>
    <ext cx="7200000" cy="3600000"/>
    <graphicFrame>
      <nvGraphicFramePr>
        <cNvPr id="1" name="Chart 1"/>
        <cNvGraphicFramePr/>
      </nvGraphicFramePr>
      <xfrm/>
      <a:graphic>
        <a:graphicData uri="http://schemas.openxmlformats.org/drawingml/2006/chart">
          <c:chart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drawing" Target="/xl/drawings/drawing1.xml" Id="rId1" /></Relationships>
</file>

<file path=xl/worksheets/_rels/sheet3.xml.rels><Relationships xmlns="http://schemas.openxmlformats.org/package/2006/relationships"><Relationship Type="http://schemas.openxmlformats.org/officeDocument/2006/relationships/drawing" Target="/xl/drawings/drawing2.xml" Id="rId1" /></Relationships>
</file>

<file path=xl/worksheets/sheet1.xml><?xml version="1.0" encoding="utf-8"?>
<worksheet xmlns="http://schemas.openxmlformats.org/spreadsheetml/2006/main">
  <sheetPr>
    <outlinePr summaryBelow="1" summaryRight="1"/>
    <pageSetUpPr/>
  </sheetPr>
  <dimension ref="A1:AX33"/>
  <sheetViews>
    <sheetView workbookViewId="0">
      <selection activeCell="A1" sqref="A1"/>
    </sheetView>
  </sheetViews>
  <sheetFormatPr baseColWidth="8" defaultRowHeight="15"/>
  <cols>
    <col width="12" customWidth="1" min="1" max="1"/>
    <col width="14" customWidth="1" min="2" max="2"/>
    <col width="12" customWidth="1" min="3" max="3"/>
    <col width="35" customWidth="1" min="4" max="4"/>
    <col width="35" customWidth="1" min="5" max="5"/>
    <col width="35" customWidth="1" min="6" max="6"/>
    <col width="30" customWidth="1" min="7" max="7"/>
    <col width="35" customWidth="1" min="8" max="8"/>
    <col width="24" customWidth="1" min="9" max="9"/>
    <col width="25" customWidth="1" min="10" max="10"/>
    <col width="30" customWidth="1" min="11" max="11"/>
    <col width="24" customWidth="1" min="12" max="12"/>
    <col width="25" customWidth="1" min="13" max="13"/>
    <col width="16" customWidth="1" min="14" max="14"/>
    <col width="35" customWidth="1" min="15" max="15"/>
    <col width="12" customWidth="1" min="16" max="16"/>
    <col width="16" customWidth="1" min="17" max="17"/>
    <col width="12" customWidth="1" min="18" max="18"/>
    <col width="17" customWidth="1" min="19" max="19"/>
    <col width="21" customWidth="1" min="20" max="20"/>
    <col width="12" customWidth="1" min="21" max="21"/>
    <col width="16" customWidth="1" min="22" max="22"/>
    <col width="12" customWidth="1" min="23" max="23"/>
    <col width="17" customWidth="1" min="24" max="24"/>
    <col width="21" customWidth="1" min="25" max="25"/>
    <col width="12" customWidth="1" min="26" max="26"/>
    <col width="16" customWidth="1" min="27" max="27"/>
    <col width="12" customWidth="1" min="28" max="28"/>
    <col width="17" customWidth="1" min="29" max="29"/>
    <col width="21" customWidth="1" min="30" max="30"/>
    <col width="12" customWidth="1" min="31" max="31"/>
    <col width="16" customWidth="1" min="32" max="32"/>
    <col width="12" customWidth="1" min="33" max="33"/>
    <col width="17" customWidth="1" min="34" max="34"/>
    <col width="21" customWidth="1" min="35" max="35"/>
    <col width="12" customWidth="1" min="36" max="36"/>
    <col width="16" customWidth="1" min="37" max="37"/>
    <col width="12" customWidth="1" min="38" max="38"/>
    <col width="17" customWidth="1" min="39" max="39"/>
    <col width="21" customWidth="1" min="40" max="40"/>
    <col width="12" customWidth="1" min="41" max="41"/>
    <col width="16" customWidth="1" min="42" max="42"/>
    <col width="12" customWidth="1" min="43" max="43"/>
    <col width="17" customWidth="1" min="44" max="44"/>
    <col width="21" customWidth="1" min="45" max="45"/>
    <col width="12" customWidth="1" min="46" max="46"/>
    <col width="16" customWidth="1" min="47" max="47"/>
    <col width="12" customWidth="1" min="48" max="48"/>
    <col width="17" customWidth="1" min="49" max="49"/>
    <col width="21" customWidth="1" min="50" max="50"/>
  </cols>
  <sheetData>
    <row r="1">
      <c r="A1" s="1" t="inlineStr">
        <is>
          <t>window_id</t>
        </is>
      </c>
      <c r="B1" s="1" t="inlineStr">
        <is>
          <t>start_time_s</t>
        </is>
      </c>
      <c r="C1" s="1" t="inlineStr">
        <is>
          <t>end_time_s</t>
        </is>
      </c>
      <c r="D1" s="1" t="inlineStr">
        <is>
          <t>descriptive_prompt_output_json</t>
        </is>
      </c>
      <c r="E1" s="1" t="inlineStr">
        <is>
          <t>question_set_prompt_output_json</t>
        </is>
      </c>
      <c r="F1" s="1" t="inlineStr">
        <is>
          <t>causal_prompt_output_json</t>
        </is>
      </c>
      <c r="G1" s="1" t="inlineStr">
        <is>
          <t>instantaneous_risk_score_vlm</t>
        </is>
      </c>
      <c r="H1" s="1" t="inlineStr">
        <is>
          <t>score_rationale_vlm</t>
        </is>
      </c>
      <c r="I1" s="1" t="inlineStr">
        <is>
          <t>dynamic_risk_score_vlm</t>
        </is>
      </c>
      <c r="J1" s="1" t="inlineStr">
        <is>
          <t>traffic_light_color_vlm</t>
        </is>
      </c>
      <c r="K1" s="1" t="inlineStr">
        <is>
          <t>instantaneous_risk_score_ahp</t>
        </is>
      </c>
      <c r="L1" s="1" t="inlineStr">
        <is>
          <t>dynamic_risk_score_ahp</t>
        </is>
      </c>
      <c r="M1" s="1" t="inlineStr">
        <is>
          <t>traffic_light_color_ahp</t>
        </is>
      </c>
      <c r="N1" s="1" t="inlineStr">
        <is>
          <t>cue_confidence</t>
        </is>
      </c>
      <c r="O1" s="1" t="inlineStr">
        <is>
          <t>diagnostic_notes</t>
        </is>
      </c>
      <c r="P1" s="1" t="inlineStr">
        <is>
          <t>R1_raw</t>
        </is>
      </c>
      <c r="Q1" s="1" t="inlineStr">
        <is>
          <t>R1_transformed</t>
        </is>
      </c>
      <c r="R1" s="1" t="inlineStr">
        <is>
          <t>R1_weight</t>
        </is>
      </c>
      <c r="S1" s="1" t="inlineStr">
        <is>
          <t>R1_contribution</t>
        </is>
      </c>
      <c r="T1" s="1" t="inlineStr">
        <is>
          <t>R1_contribution_pct</t>
        </is>
      </c>
      <c r="U1" s="1" t="inlineStr">
        <is>
          <t>R2_raw</t>
        </is>
      </c>
      <c r="V1" s="1" t="inlineStr">
        <is>
          <t>R2_transformed</t>
        </is>
      </c>
      <c r="W1" s="1" t="inlineStr">
        <is>
          <t>R2_weight</t>
        </is>
      </c>
      <c r="X1" s="1" t="inlineStr">
        <is>
          <t>R2_contribution</t>
        </is>
      </c>
      <c r="Y1" s="1" t="inlineStr">
        <is>
          <t>R2_contribution_pct</t>
        </is>
      </c>
      <c r="Z1" s="1" t="inlineStr">
        <is>
          <t>R3_raw</t>
        </is>
      </c>
      <c r="AA1" s="1" t="inlineStr">
        <is>
          <t>R3_transformed</t>
        </is>
      </c>
      <c r="AB1" s="1" t="inlineStr">
        <is>
          <t>R3_weight</t>
        </is>
      </c>
      <c r="AC1" s="1" t="inlineStr">
        <is>
          <t>R3_contribution</t>
        </is>
      </c>
      <c r="AD1" s="1" t="inlineStr">
        <is>
          <t>R3_contribution_pct</t>
        </is>
      </c>
      <c r="AE1" s="1" t="inlineStr">
        <is>
          <t>R4_raw</t>
        </is>
      </c>
      <c r="AF1" s="1" t="inlineStr">
        <is>
          <t>R4_transformed</t>
        </is>
      </c>
      <c r="AG1" s="1" t="inlineStr">
        <is>
          <t>R4_weight</t>
        </is>
      </c>
      <c r="AH1" s="1" t="inlineStr">
        <is>
          <t>R4_contribution</t>
        </is>
      </c>
      <c r="AI1" s="1" t="inlineStr">
        <is>
          <t>R4_contribution_pct</t>
        </is>
      </c>
      <c r="AJ1" s="1" t="inlineStr">
        <is>
          <t>R5_raw</t>
        </is>
      </c>
      <c r="AK1" s="1" t="inlineStr">
        <is>
          <t>R5_transformed</t>
        </is>
      </c>
      <c r="AL1" s="1" t="inlineStr">
        <is>
          <t>R5_weight</t>
        </is>
      </c>
      <c r="AM1" s="1" t="inlineStr">
        <is>
          <t>R5_contribution</t>
        </is>
      </c>
      <c r="AN1" s="1" t="inlineStr">
        <is>
          <t>R5_contribution_pct</t>
        </is>
      </c>
      <c r="AO1" s="1" t="inlineStr">
        <is>
          <t>R6_raw</t>
        </is>
      </c>
      <c r="AP1" s="1" t="inlineStr">
        <is>
          <t>R6_transformed</t>
        </is>
      </c>
      <c r="AQ1" s="1" t="inlineStr">
        <is>
          <t>R6_weight</t>
        </is>
      </c>
      <c r="AR1" s="1" t="inlineStr">
        <is>
          <t>R6_contribution</t>
        </is>
      </c>
      <c r="AS1" s="1" t="inlineStr">
        <is>
          <t>R6_contribution_pct</t>
        </is>
      </c>
      <c r="AT1" s="1" t="inlineStr">
        <is>
          <t>R7_raw</t>
        </is>
      </c>
      <c r="AU1" s="1" t="inlineStr">
        <is>
          <t>R7_transformed</t>
        </is>
      </c>
      <c r="AV1" s="1" t="inlineStr">
        <is>
          <t>R7_weight</t>
        </is>
      </c>
      <c r="AW1" s="1" t="inlineStr">
        <is>
          <t>R7_contribution</t>
        </is>
      </c>
      <c r="AX1" s="1" t="inlineStr">
        <is>
          <t>R7_contribution_pct</t>
        </is>
      </c>
    </row>
    <row r="2">
      <c r="A2" t="n">
        <v>0</v>
      </c>
      <c r="B2" t="n">
        <v>0</v>
      </c>
      <c r="C2" t="n">
        <v>4</v>
      </c>
      <c r="D2" t="inlineStr">
        <is>
          <t>{"scene_state": "La scena si svolge in un ambiente industriale o di produzione.", "environmental_conditions": ["Interno", "Ben illuminato"], "actors": ["Un uomo con maglietta rosa e cappellino nero, visto di spalle e di profilo.", "Un uomo con maglietta blu, visto di profilo, con guanto blu sulla mano destra."], "objects": ["Scaffali con oggetti impilati di vari colori (verde, rosso, blu).", "Sacchi bianchi impilati a terra.", "Un oggetto cilindrico nero a terra.", "Un pannello di controllo con schermo blu."], "machines": ["Una grande macchina industriale di colore arancione e bianco, con parti interne in movimento."], "observable_actions": ["L'uomo in maglietta rosa osserva l'interno della macchina.", "L'uomo in maglietta blu osserva verso destra o verso la telecamera.", "Le parti interne della macchina si muovono, suggerendo un ciclo operativo."], "notes_visibility_limitations": "La visuale è parzialmente occlusa dai due uomini in primo piano. Solo una porzione dell'ambiente è visibile."}</t>
        </is>
      </c>
      <c r="E2" t="inlineStr">
        <is>
          <t>{"unsafe_behaviors": ["L'operatore in maglietta rosa si sporge all'interno di una macchina industriale in movimento.", "Mancanza di DPI essenziali (occhiali di protezione) durante l'interazione ravvicinata con una macchina operativa."], "vulnerable_elements": ["Testa e busto dell'operatore in maglietta rosa esposti a punti di schiacciamento e organi in movimento.", "Occhi dell'operatore in maglietta rosa esposti a potenziali proiezioni o schizzi."], "risk_cues": {"R1_pedestrian_vehicle_interference": 0.0, "R2_pedestrian_segregation_violation": 0.0, "R3_load_storage_instability": 0.0, "R4_crush_points_dangerous_parts_exposure": 1.0, "R5_unsafe_operational_proximity": 1.0, "R6_unsafe_behavior_posture_manoeuvre": 1.0, "R7_essential_ppe_non_compliance": 0.75}, "cue_confidence": 0.9, "diagnostic_notes": "L'operatore in maglietta rosa si sporge all'interno di una macchina industriale con parti in movimento, esponendo la testa e il busto a punti di schiacciamento e organi pericolosi. Questa postura e comportamento sono altamente non sicuri. Mancano DPI essenziali come occhiali di protezione per l'operatore che interagisce direttamente con la macchina. La prossimità operativa è critica."}</t>
        </is>
      </c>
      <c r="F2" t="inlineStr">
        <is>
          <t>{"causal_chain_plausible": true, "causal_chain_text": "L'operatore si sporge all'interno della macchina industriale in movimento senza DPI adeguati (occhiali di protezione), aumentando il rischio di contatto con organi in movimento o punti di schiacciamento, o di essere colpito da proiezioni.", "near_miss_or_incident_scenario": "L'operatore in maglietta rosa subisce un infortunio da schiacciamento o impatto con le parti interne in movimento della macchina, o una lesione agli occhi a causa di proiezioni.", "contributing_factors": ["Comportamento non sicuro dell'operatore (sporgersi nella macchina in movimento).", "Mancanza di Dispositivi di Protezione Individuale (DPI) essenziali (occhiali di protezione).", "Presenza di organi in movimento e punti di schiacciamento nella macchina.", "Prossimità operativa non sicura."]}</t>
        </is>
      </c>
      <c r="G2" t="n">
        <v>95</v>
      </c>
      <c r="H2" t="inlineStr">
        <is>
          <t>L'operatore si sporge all'interno di una macchina industriale in movimento senza DPI essenziali, esponendosi a punti di schiacciamento e organi pericolosi. Questo comportamento crea un rischio elevato e immediato di infortunio grave.</t>
        </is>
      </c>
      <c r="I2" t="n">
        <v>95</v>
      </c>
      <c r="J2" t="inlineStr">
        <is>
          <t>rosso</t>
        </is>
      </c>
      <c r="K2" t="n">
        <v>52.98</v>
      </c>
      <c r="L2" t="n">
        <v>52.98</v>
      </c>
      <c r="M2" t="inlineStr">
        <is>
          <t>arancione</t>
        </is>
      </c>
      <c r="N2" t="n">
        <v>0.9</v>
      </c>
      <c r="O2" t="inlineStr">
        <is>
          <t>L'operatore in maglietta rosa si sporge all'interno di una macchina industriale con parti in movimento, esponendo la testa e il busto a punti di schiacciamento e organi pericolosi. Questa postura e comportamento sono altamente non sicuri. Mancano DPI essenziali come occhiali di protezione per l'operatore che interagisce direttamente con la macchina. La prossimità operativa è critica.</t>
        </is>
      </c>
      <c r="P2" t="n">
        <v>0</v>
      </c>
      <c r="Q2" t="n">
        <v>0.0067</v>
      </c>
      <c r="R2" t="n">
        <v>0.237</v>
      </c>
      <c r="S2" t="n">
        <v>0.1588</v>
      </c>
      <c r="T2" t="n">
        <v>0.3</v>
      </c>
      <c r="U2" t="n">
        <v>0</v>
      </c>
      <c r="V2" t="n">
        <v>0</v>
      </c>
      <c r="W2" t="n">
        <v>0.066</v>
      </c>
      <c r="X2" t="n">
        <v>0</v>
      </c>
      <c r="Y2" t="n">
        <v>0</v>
      </c>
      <c r="Z2" t="n">
        <v>0</v>
      </c>
      <c r="AA2" t="n">
        <v>0.0067</v>
      </c>
      <c r="AB2" t="n">
        <v>0.144</v>
      </c>
      <c r="AC2" t="n">
        <v>0.0965</v>
      </c>
      <c r="AD2" t="n">
        <v>0.18</v>
      </c>
      <c r="AE2" t="n">
        <v>1</v>
      </c>
      <c r="AF2" t="n">
        <v>0.9986</v>
      </c>
      <c r="AG2" t="n">
        <v>0.38</v>
      </c>
      <c r="AH2" t="n">
        <v>37.9468</v>
      </c>
      <c r="AI2" t="n">
        <v>71.62</v>
      </c>
      <c r="AJ2" t="n">
        <v>1</v>
      </c>
      <c r="AK2" t="n">
        <v>1</v>
      </c>
      <c r="AL2" t="n">
        <v>0.044</v>
      </c>
      <c r="AM2" t="n">
        <v>4.4</v>
      </c>
      <c r="AN2" t="n">
        <v>8.31</v>
      </c>
      <c r="AO2" t="n">
        <v>1</v>
      </c>
      <c r="AP2" t="n">
        <v>0.8892</v>
      </c>
      <c r="AQ2" t="n">
        <v>0.101</v>
      </c>
      <c r="AR2" t="n">
        <v>8.9809</v>
      </c>
      <c r="AS2" t="n">
        <v>16.95</v>
      </c>
      <c r="AT2" t="n">
        <v>0.75</v>
      </c>
      <c r="AU2" t="n">
        <v>0.5</v>
      </c>
      <c r="AV2" t="n">
        <v>0.028</v>
      </c>
      <c r="AW2" t="n">
        <v>1.4</v>
      </c>
      <c r="AX2" t="n">
        <v>2.64</v>
      </c>
    </row>
    <row r="3">
      <c r="A3" t="n">
        <v>1</v>
      </c>
      <c r="B3" t="n">
        <v>2</v>
      </c>
      <c r="C3" t="n">
        <v>6</v>
      </c>
      <c r="D3" t="inlineStr">
        <is>
          <t>{"scene_state": "La scena si svolge in un ambiente interno di tipo industriale o di fabbrica, con attività in corso.", "environmental_conditions": ["L'illuminazione è buona, probabilmente artificiale.", "L'ambiente appare relativamente ordinato, con materiali stoccati su scaffali e a terra."], "actors": [{"id": "Uomo 1", "description": "Indossa una maglietta rosa e un cappellino nero. Si trova di fronte alla macchina arancione, con la schiena parzialmente rivolta alla telecamera."}, {"id": "Uomo 2", "description": "Indossa una maglietta blu e un guanto blu sulla mano destra. Si trova a destra della macchina, con il viso rivolto verso l'alto e verso destra, guardando fuori campo."}], "objects": ["Sacchi bianchi impilati (probabilmente contenenti materiale grezzo).", "Scaffali con oggetti colorati (sedie o contenitori) sullo sfondo a sinistra.", "Un contenitore bianco a terra vicino all'Uomo 1.", "Un oggetto cilindrico nero a terra a sinistra."], "machines": ["Una grande macchina industriale di colore arancione e grigio, con un pannello di controllo digitale illuminato. Sembra una pressa a iniezione o una macchina per la lavorazione della plastica, con una parte mobile che si apre e si chiude."], "observable_actions": ["L'Uomo 1 si china e inserisce un oggetto all'interno della parte aperta della macchina arancione, poi si raddrizza e si sposta leggermente.", "L'Uomo 2 rimane fermo, con la mano destra appoggiata sulla macchina, osservando fuori campo."], "notes_visibility_limitations": "La schiena dell'Uomo 1 occlude parzialmente la vista dell'interno della macchina e delle sue azioni precise. L'Uomo 2 è parzialmente fuori campo e la sua attenzione è rivolta altrove. La parte superiore della scena è tagliata."}</t>
        </is>
      </c>
      <c r="E3" t="inlineStr">
        <is>
          <t>{"unsafe_behaviors": ["Inserimento di arti (mano e braccio) nella zona operativa di una macchina con punti di schiacciamento.", "Mancanza di guanti protettivi durante l'interazione diretta con la macchina."], "vulnerable_elements": ["Uomo 1 (mano, braccio, corpo)"], "risk_cues": {"R1_pedestrian_vehicle_interference": 0.0, "R2_pedestrian_segregation_violation": 0.0, "R3_load_storage_instability": 0.0, "R4_crush_points_dangerous_parts_exposure": 1.0, "R5_unsafe_operational_proximity": 1.0, "R6_unsafe_behavior_posture_manoeuvre": 1.0, "R7_essential_ppe_non_compliance": 0.75}, "cue_confidence": 0.9, "diagnostic_notes": "L'Uomo 1 inserisce la mano e il braccio all'interno della macchina, esponendosi a punti di schiacciamento e organi in movimento. Non indossa guanti protettivi, un DPI essenziale per tale operazione. La prossimità operativa è critica."}</t>
        </is>
      </c>
      <c r="F3" t="inlineStr">
        <is>
          <t>{"causal_chain_plausible": true, "causal_chain_text": "L'Uomo 1 inserisce la mano e il braccio nella zona operativa della macchina, esponendosi a punti di schiacciamento e parti in movimento. In caso di attivazione inattesa o chiusura della parte mobile della macchina, si verificherebbe un contatto con l'arto.", "near_miss_or_incident_scenario": "Schiacciamento o intrappolamento della mano/braccio dell'Uomo 1 a causa della chiusura inattesa della parte mobile della macchina o dell'attivazione di organi interni mentre l'arto è nella zona operativa.", "contributing_factors": ["Inserimento di arti in zona operativa con punti di schiacciamento", "Mancato utilizzo di guanti protettivi (DPI essenziale)", "Prossimità operativa critica a parti in movimento", "Potenziale attivazione inattesa della macchina"]}</t>
        </is>
      </c>
      <c r="G3" t="n">
        <v>90</v>
      </c>
      <c r="H3" t="inlineStr">
        <is>
          <t>Il lavoratore inserisce direttamente un arto nella zona operativa di una macchina con punti di schiacciamento, senza DPI essenziali. Ciò comporta un rischio immediato ed elevato di lesioni gravi a causa di una potenziale attivazione inattesa della macchina.</t>
        </is>
      </c>
      <c r="I3" t="n">
        <v>93</v>
      </c>
      <c r="J3" t="inlineStr">
        <is>
          <t>rosso</t>
        </is>
      </c>
      <c r="K3" t="n">
        <v>52.98</v>
      </c>
      <c r="L3" t="n">
        <v>52.98</v>
      </c>
      <c r="M3" t="inlineStr">
        <is>
          <t>arancione</t>
        </is>
      </c>
      <c r="N3" t="n">
        <v>0.9</v>
      </c>
      <c r="O3" t="inlineStr">
        <is>
          <t>L'Uomo 1 inserisce la mano e il braccio all'interno della macchina, esponendosi a punti di schiacciamento e organi in movimento. Non indossa guanti protettivi, un DPI essenziale per tale operazione. La prossimità operativa è critica.</t>
        </is>
      </c>
      <c r="P3" t="n">
        <v>0</v>
      </c>
      <c r="Q3" t="n">
        <v>0.0067</v>
      </c>
      <c r="R3" t="n">
        <v>0.237</v>
      </c>
      <c r="S3" t="n">
        <v>0.1588</v>
      </c>
      <c r="T3" t="n">
        <v>0.3</v>
      </c>
      <c r="U3" t="n">
        <v>0</v>
      </c>
      <c r="V3" t="n">
        <v>0</v>
      </c>
      <c r="W3" t="n">
        <v>0.066</v>
      </c>
      <c r="X3" t="n">
        <v>0</v>
      </c>
      <c r="Y3" t="n">
        <v>0</v>
      </c>
      <c r="Z3" t="n">
        <v>0</v>
      </c>
      <c r="AA3" t="n">
        <v>0.0067</v>
      </c>
      <c r="AB3" t="n">
        <v>0.144</v>
      </c>
      <c r="AC3" t="n">
        <v>0.0965</v>
      </c>
      <c r="AD3" t="n">
        <v>0.18</v>
      </c>
      <c r="AE3" t="n">
        <v>1</v>
      </c>
      <c r="AF3" t="n">
        <v>0.9986</v>
      </c>
      <c r="AG3" t="n">
        <v>0.38</v>
      </c>
      <c r="AH3" t="n">
        <v>37.9468</v>
      </c>
      <c r="AI3" t="n">
        <v>71.62</v>
      </c>
      <c r="AJ3" t="n">
        <v>1</v>
      </c>
      <c r="AK3" t="n">
        <v>1</v>
      </c>
      <c r="AL3" t="n">
        <v>0.044</v>
      </c>
      <c r="AM3" t="n">
        <v>4.4</v>
      </c>
      <c r="AN3" t="n">
        <v>8.31</v>
      </c>
      <c r="AO3" t="n">
        <v>1</v>
      </c>
      <c r="AP3" t="n">
        <v>0.8892</v>
      </c>
      <c r="AQ3" t="n">
        <v>0.101</v>
      </c>
      <c r="AR3" t="n">
        <v>8.9809</v>
      </c>
      <c r="AS3" t="n">
        <v>16.95</v>
      </c>
      <c r="AT3" t="n">
        <v>0.75</v>
      </c>
      <c r="AU3" t="n">
        <v>0.5</v>
      </c>
      <c r="AV3" t="n">
        <v>0.028</v>
      </c>
      <c r="AW3" t="n">
        <v>1.4</v>
      </c>
      <c r="AX3" t="n">
        <v>2.64</v>
      </c>
    </row>
    <row r="4">
      <c r="A4" t="n">
        <v>2</v>
      </c>
      <c r="B4" t="n">
        <v>4</v>
      </c>
      <c r="C4" t="n">
        <v>8</v>
      </c>
      <c r="D4" t="inlineStr">
        <is>
          <t>{"scene_state": "Ambiente industriale interno, probabilmente un'area di produzione.", "environmental_conditions": ["Ben illuminato.", "Scaffali con prodotti colorati sullo sfondo."], "actors": [{"description": "Uomo con maglietta rosa e cappellino nero, guanto blu sulla mano destra.", "gender": "male"}, {"description": "Uomo con maglietta blu, parzialmente visibile in primo piano a destra.", "gender": "male"}], "objects": [{"description": "Oggetto di plastica nero, di forma cilindrica, estratto dalla macchina."}, {"description": "Sacchi bianchi impilati."}, {"description": "Contenitori di plastica colorati su scaffali."}, {"description": "Scatola bianca sul pavimento."}], "machines": [{"description": "Grande macchina industriale arancione con pannello di controllo digitale e sezione di apertura/chiusura."}], "observable_actions": [{"description": "L'uomo in rosa estrae un oggetto di plastica nero dalla macchina."}, {"description": "L'uomo in rosa tiene e osserva l'oggetto estratto."}, {"description": "L'uomo in blu osserva l'azione."}], "notes_visibility_limitations": "La parte inferiore del corpo degli attori e l'estensione completa dell'ambiente non sono visibili. Il volto dell'uomo in blu è parzialmente tagliato."}</t>
        </is>
      </c>
      <c r="E4" t="inlineStr">
        <is>
          <t>{"unsafe_behaviors": ["L'operatore inserisce la mano e il braccio all'interno dell'area operativa di una macchina industriale."], "vulnerable_elements": ["Mano e braccio dell'operatore."], "risk_cues": {"R1_pedestrian_vehicle_interference": 0.0, "R2_pedestrian_segregation_violation": 0.0, "R3_load_storage_instability": 0.0, "R4_crush_points_dangerous_parts_exposure": 0.75, "R5_unsafe_operational_proximity": 0.75, "R6_unsafe_behavior_posture_manoeuvre": 0.5, "R7_essential_ppe_non_compliance": 0.25}, "cue_confidence": 0.9, "diagnostic_notes": "L'operatore inserisce la mano e il braccio all'interno della sezione di apertura/chiusura della macchina, esponendosi a potenziali punti di schiacciamento o organi pericolosi. Questa prossimità operativa è considerata ad alto rischio. Il comportamento di inserire una parte del corpo in un'area operativa della macchina può essere una non conformità se non supportato da rigorose procedure di sicurezza (es. lockout/tagout). È visibile un solo guanto sulla mano destra dell'operatore, ma non è possibile valutare se sia sufficiente o se manchi un DPI essenziale."}</t>
        </is>
      </c>
      <c r="F4" t="inlineStr">
        <is>
          <t>{"causal_chain_plausible": true, "causal_chain_text": "L'operatore inserisce la mano e il braccio nell'area operativa della macchina. Se la macchina si attiva inaspettatamente o se un componente mobile si muove, si verifica un contatto tra la parte del corpo esposta e la macchina.", "near_miss_or_incident_scenario": "Schiacciamento o intrappolamento della mano o del braccio dell'operatore a causa di un'attivazione inattesa della macchina o del movimento di parti interne, mentre la mano è all'interno dell'area operativa.", "contributing_factors": ["Comportamento non sicuro dell'operatore (inserimento di mano/braccio nell'area operativa della macchina).", "Esposizione a punti di schiacciamento o organi pericolosi della macchina.", "Potenziale mancanza o non applicazione di procedure di sicurezza (es. lockout/tagout) per prevenire l'attivazione inattesa."]}</t>
        </is>
      </c>
      <c r="G4" t="n">
        <v>90</v>
      </c>
      <c r="H4" t="inlineStr">
        <is>
          <t>L'operatore ha inserito mano e braccio nell'area operativa di una macchina industriale, esponendosi direttamente a punti di schiacciamento e parti pericolose. Questo comportamento costituisce un rischio elevato di lesioni gravi, specialmente in assenza di chiare procedure di sicurezza attive.</t>
        </is>
      </c>
      <c r="I4" t="n">
        <v>91.8</v>
      </c>
      <c r="J4" t="inlineStr">
        <is>
          <t>rosso</t>
        </is>
      </c>
      <c r="K4" t="n">
        <v>46.46</v>
      </c>
      <c r="L4" t="n">
        <v>50.37</v>
      </c>
      <c r="M4" t="inlineStr">
        <is>
          <t>arancione</t>
        </is>
      </c>
      <c r="N4" t="n">
        <v>0.9</v>
      </c>
      <c r="O4" t="inlineStr">
        <is>
          <t>L'operatore inserisce la mano e il braccio all'interno della sezione di apertura/chiusura della macchina, esponendosi a potenziali punti di schiacciamento o organi pericolosi. Questa prossimità operativa è considerata ad alto rischio. Il comportamento di inserire una parte del corpo in un'area operativa della macchina può essere una non conformità se non supportato da rigorose procedure di sicurezza (es. lockout/tagout). È visibile un solo guanto sulla mano destra dell'operatore, ma non è possibile valutare se sia sufficiente o se manchi un DPI essenziale.</t>
        </is>
      </c>
      <c r="P4" t="n">
        <v>0</v>
      </c>
      <c r="Q4" t="n">
        <v>0.0067</v>
      </c>
      <c r="R4" t="n">
        <v>0.237</v>
      </c>
      <c r="S4" t="n">
        <v>0.1588</v>
      </c>
      <c r="T4" t="n">
        <v>0.34</v>
      </c>
      <c r="U4" t="n">
        <v>0</v>
      </c>
      <c r="V4" t="n">
        <v>0</v>
      </c>
      <c r="W4" t="n">
        <v>0.066</v>
      </c>
      <c r="X4" t="n">
        <v>0</v>
      </c>
      <c r="Y4" t="n">
        <v>0</v>
      </c>
      <c r="Z4" t="n">
        <v>0</v>
      </c>
      <c r="AA4" t="n">
        <v>0.0067</v>
      </c>
      <c r="AB4" t="n">
        <v>0.144</v>
      </c>
      <c r="AC4" t="n">
        <v>0.0965</v>
      </c>
      <c r="AD4" t="n">
        <v>0.21</v>
      </c>
      <c r="AE4" t="n">
        <v>0.75</v>
      </c>
      <c r="AF4" t="n">
        <v>0.9734</v>
      </c>
      <c r="AG4" t="n">
        <v>0.38</v>
      </c>
      <c r="AH4" t="n">
        <v>36.9892</v>
      </c>
      <c r="AI4" t="n">
        <v>79.62</v>
      </c>
      <c r="AJ4" t="n">
        <v>0.75</v>
      </c>
      <c r="AK4" t="n">
        <v>0.5625</v>
      </c>
      <c r="AL4" t="n">
        <v>0.044</v>
      </c>
      <c r="AM4" t="n">
        <v>2.475</v>
      </c>
      <c r="AN4" t="n">
        <v>5.33</v>
      </c>
      <c r="AO4" t="n">
        <v>0.5</v>
      </c>
      <c r="AP4" t="n">
        <v>0.6671</v>
      </c>
      <c r="AQ4" t="n">
        <v>0.101</v>
      </c>
      <c r="AR4" t="n">
        <v>6.7377</v>
      </c>
      <c r="AS4" t="n">
        <v>14.5</v>
      </c>
      <c r="AT4" t="n">
        <v>0.25</v>
      </c>
      <c r="AU4" t="n">
        <v>0</v>
      </c>
      <c r="AV4" t="n">
        <v>0.028</v>
      </c>
      <c r="AW4" t="n">
        <v>0</v>
      </c>
      <c r="AX4" t="n">
        <v>0</v>
      </c>
    </row>
    <row r="5">
      <c r="A5" t="n">
        <v>3</v>
      </c>
      <c r="B5" t="n">
        <v>6</v>
      </c>
      <c r="C5" t="n">
        <v>10</v>
      </c>
      <c r="D5" t="inlineStr">
        <is>
          <t>{"scene_state": "Un ambiente industriale dove si svolge un'attività di produzione con macchinari.", "environmental_conditions": ["L'ambiente è ben illuminato.", "L'area di lavoro appare ordinata."], "actors": [{"description": "Un uomo con maglietta rosa, cappellino nero e guanti blu."}, {"description": "Un uomo con maglietta blu e guanti blu, parzialmente visibile."}], "objects": [{"description": "Un pezzo di plastica stampato di colore nero, di forma circolare e con nervature."}, {"description": "Sacchi bianchi di materiale."}, {"description": "Sedie o cassette di plastica colorate impilate su scaffali sullo sfondo."}], "machines": [{"description": "Una grande macchina industriale di colore arancione, probabilmente una pressa ad iniezione, con un pannello di controllo digitale."}], "observable_actions": ["L'uomo con la maglietta rosa estrae un pezzo di plastica nero dalla macchina.", "L'uomo con la maglietta blu osserva l'operazione."], "notes_visibility_limitations": "La parte superiore della testa dell'uomo con la maglietta blu è tagliata fuori dall'inquadratura. La vista completa della macchina è parzialmente ostruita dagli operatori."}</t>
        </is>
      </c>
      <c r="E5" t="inlineStr">
        <is>
          <t>{"unsafe_behaviors": ["Estrazione manuale di un pezzo dalla zona operativa di una pressa ad iniezione senza chiare indicazioni di sicurezza attiva (es. blocco macchina)."], "vulnerable_elements": ["Mani e braccia dell'operatore", "Prossimità degli operatori a punti di schiacciamento e organi in movimento della macchina."], "risk_cues": {"R1_pedestrian_vehicle_interference": 0.0, "R2_pedestrian_segregation_violation": 0.0, "R3_load_storage_instability": 0.0, "R4_crush_points_dangerous_parts_exposure": 0.75, "R5_unsafe_operational_proximity": 0.75, "R6_unsafe_behavior_posture_manoeuvre": 0.75, "R7_essential_ppe_non_compliance": 0.25}, "cue_confidence": 0.8, "diagnostic_notes": "L'operatore estrae manualmente un pezzo dalla zona stampo della pressa ad iniezione. Sebbene indossi guanti, la prossimità delle mani ai punti di schiacciamento della macchina e la vicinanza di entrambi gli operatori alla zona operativa rappresentano rischi significativi. Non è possibile verificare la presenza di occhiali di protezione o l'applicazione di procedure di sicurezza come il blocco macchina (LOTO) durante l'estrazione."}</t>
        </is>
      </c>
      <c r="F5" t="inlineStr">
        <is>
          <t>{"causal_chain_plausible": true, "causal_chain_text": "L'operatore estrae manualmente un pezzo dalla zona stampo della pressa. Un avvio inatteso o un movimento incontrollato della macchina, in assenza di un blocco di sicurezza (LOTO non verificato), può causare il contatto delle mani/braccia dell'operatore con i punti di schiacciamento.", "near_miss_or_incident_scenario": "Schiacciamento delle mani o delle braccia dell'operatore a causa dell'avvio improvviso o del movimento inatteso delle parti mobili della pressa mentre sta estraendo manualmente il pezzo.", "contributing_factors": ["Estrazione manuale del pezzo dalla zona operativa della macchina.", "Prossimità delle mani e braccia dell'operatore a punti di schiacciamento e organi in movimento.", "Mancanza di verifica di blocco macchina (LOTO) o altre misure di sicurezza attiva.", "Prossimità operativa non sicura degli operatori alla macchina."]}</t>
        </is>
      </c>
      <c r="G5" t="n">
        <v>80</v>
      </c>
      <c r="H5" t="inlineStr">
        <is>
          <t>Il punteggio è elevato a causa dell'estrazione manuale di un pezzo dalla zona operativa di una pressa ad iniezione, esponendo l'operatore a gravi rischi di schiacciamento. La mancanza di verifica di misure di sicurezza attive come il blocco macchina (LOTO) aumenta significativamente la probabilità di un incidente grave.</t>
        </is>
      </c>
      <c r="I5" t="n">
        <v>87.08</v>
      </c>
      <c r="J5" t="inlineStr">
        <is>
          <t>rosso</t>
        </is>
      </c>
      <c r="K5" t="n">
        <v>47.88</v>
      </c>
      <c r="L5" t="n">
        <v>50.51</v>
      </c>
      <c r="M5" t="inlineStr">
        <is>
          <t>arancione</t>
        </is>
      </c>
      <c r="N5" t="n">
        <v>0.8</v>
      </c>
      <c r="O5" t="inlineStr">
        <is>
          <t>L'operatore estrae manualmente un pezzo dalla zona stampo della pressa ad iniezione. Sebbene indossi guanti, la prossimità delle mani ai punti di schiacciamento della macchina e la vicinanza di entrambi gli operatori alla zona operativa rappresentano rischi significativi. Non è possibile verificare la presenza di occhiali di protezione o l'applicazione di procedure di sicurezza come il blocco macchina (LOTO) durante l'estrazione.</t>
        </is>
      </c>
      <c r="P5" t="n">
        <v>0</v>
      </c>
      <c r="Q5" t="n">
        <v>0.0067</v>
      </c>
      <c r="R5" t="n">
        <v>0.237</v>
      </c>
      <c r="S5" t="n">
        <v>0.1588</v>
      </c>
      <c r="T5" t="n">
        <v>0.33</v>
      </c>
      <c r="U5" t="n">
        <v>0</v>
      </c>
      <c r="V5" t="n">
        <v>0</v>
      </c>
      <c r="W5" t="n">
        <v>0.066</v>
      </c>
      <c r="X5" t="n">
        <v>0</v>
      </c>
      <c r="Y5" t="n">
        <v>0</v>
      </c>
      <c r="Z5" t="n">
        <v>0</v>
      </c>
      <c r="AA5" t="n">
        <v>0.0067</v>
      </c>
      <c r="AB5" t="n">
        <v>0.144</v>
      </c>
      <c r="AC5" t="n">
        <v>0.0965</v>
      </c>
      <c r="AD5" t="n">
        <v>0.2</v>
      </c>
      <c r="AE5" t="n">
        <v>0.75</v>
      </c>
      <c r="AF5" t="n">
        <v>0.9734</v>
      </c>
      <c r="AG5" t="n">
        <v>0.38</v>
      </c>
      <c r="AH5" t="n">
        <v>36.9892</v>
      </c>
      <c r="AI5" t="n">
        <v>77.25</v>
      </c>
      <c r="AJ5" t="n">
        <v>0.75</v>
      </c>
      <c r="AK5" t="n">
        <v>0.5625</v>
      </c>
      <c r="AL5" t="n">
        <v>0.044</v>
      </c>
      <c r="AM5" t="n">
        <v>2.475</v>
      </c>
      <c r="AN5" t="n">
        <v>5.17</v>
      </c>
      <c r="AO5" t="n">
        <v>0.75</v>
      </c>
      <c r="AP5" t="n">
        <v>0.8080000000000001</v>
      </c>
      <c r="AQ5" t="n">
        <v>0.101</v>
      </c>
      <c r="AR5" t="n">
        <v>8.1608</v>
      </c>
      <c r="AS5" t="n">
        <v>17.04</v>
      </c>
      <c r="AT5" t="n">
        <v>0.25</v>
      </c>
      <c r="AU5" t="n">
        <v>0</v>
      </c>
      <c r="AV5" t="n">
        <v>0.028</v>
      </c>
      <c r="AW5" t="n">
        <v>0</v>
      </c>
      <c r="AX5" t="n">
        <v>0</v>
      </c>
    </row>
    <row r="6">
      <c r="A6" t="n">
        <v>4</v>
      </c>
      <c r="B6" t="n">
        <v>8</v>
      </c>
      <c r="C6" t="n">
        <v>12</v>
      </c>
      <c r="D6" t="inlineStr">
        <is>
          <t>{"scene_state": "La scena si svolge in un ambiente industriale, probabilmente un'officina o una fabbrica, con macchinari e materiali stoccati.", "environmental_conditions": ["L'ambiente è ben illuminato.", "Sono visibili scaffali con prodotti impilati e sacchi a terra sullo sfondo."], "actors": [{"description": "Un uomo con cappellino nero e maglietta rosa, con stampa 'BROOKLYN BEST NEW YORK', si trova in primo piano, rivolto verso il macchinario. Tiene in mano un oggetto nero.", "gender": "male"}, {"description": "Un uomo calvo, parzialmente visibile, con un guanto blu sulla mano destra, si trova a destra del primo uomo, intento a interagire con il pannello di controllo del macchinario.", "gender": "male"}], "objects": ["Un oggetto nero, probabilmente un componente stampato, tenuto in mano dal primo uomo.", "Articoli in plastica colorati (sedie o contenitori) impilati su scaffali sullo sfondo.", "Sacchi bianchi a terra sullo sfondo.", "Un oggetto cilindrico nero su uno sgabello a sinistra."], "machines": ["Un grande macchinario industriale di colore arancione, probabilmente una pressa a iniezione, con un pannello di controllo digitale sulla destra. Una parte mobile del macchinario si sta chiudendo."], "observable_actions": ["Il primo uomo tiene in mano un oggetto e osserva il macchinario.", "Il secondo uomo interagisce con il pannello di controllo del macchinario.", "La parte mobile del macchinario arancione si sta chiudendo."], "notes_visibility_limitations": "Il volto del secondo uomo non è chiaramente visibile e il suo corpo è parzialmente occluso. La parte superiore del macchinario non è completamente inquadrata."}</t>
        </is>
      </c>
      <c r="E6" t="inlineStr">
        <is>
          <t>{"unsafe_behaviors": ["Permanenza in zona critica durante il funzionamento di macchinario industriale."], "vulnerable_elements": ["Operatore in primo piano", "Zona di lavoro della pressa a iniezione"], "risk_cues": {"R1_pedestrian_vehicle_interference": 0.0, "R2_pedestrian_segregation_violation": 0.0, "R3_load_storage_instability": 0.0, "R4_crush_points_dangerous_parts_exposure": 0.75, "R5_unsafe_operational_proximity": 0.75, "R6_unsafe_behavior_posture_manoeuvre": 0.75, "R7_essential_ppe_non_compliance": 0.75}, "cue_confidence": 0.9, "diagnostic_notes": "L'operatore in primo piano si trova in prossimità pericolosa di una pressa a iniezione in movimento, esponendosi a potenziali punti di schiacciamento. Mancano evidenze di DPI essenziali come occhiali di protezione e scarpe antinfortunistiche per entrambi gli operatori."}</t>
        </is>
      </c>
      <c r="F6" t="inlineStr">
        <is>
          <t>{"causal_chain_plausible": true, "causal_chain_text": "L'operatore in primo piano si trova in prossimità di una pressa a iniezione con parte mobile in chiusura. La permanenza in zona critica e la mancanza di DPI aumentano il rischio che un movimento inatteso o una distrazione portino al contatto con le parti in movimento, causando schiacciamento o intrappolamento.", "near_miss_or_incident_scenario": "Schiacciamento o intrappolamento dell'operatore in primo piano tra le parti mobili della pressa a iniezione durante la fase di chiusura.", "contributing_factors": ["Permanenza dell'operatore in zona critica durante il funzionamento del macchinario.", "Prossimità pericolosa a punti di schiacciamento di un macchinario in movimento.", "Mancanza di DPI essenziali (occhiali di protezione, scarpe antinfortunistiche).", "Macchinario (pressa a iniezione) con parte mobile in fase di chiusura."]}</t>
        </is>
      </c>
      <c r="G6" t="n">
        <v>95</v>
      </c>
      <c r="H6" t="inlineStr">
        <is>
          <t>L'operatore si trova in prossimità pericolosa di una pressa a iniezione in chiusura, con elevato rischio di schiacciamento o intrappolamento. La mancanza di DPI essenziali aggrava ulteriormente il pericolo immediato.</t>
        </is>
      </c>
      <c r="I6" t="n">
        <v>100</v>
      </c>
      <c r="J6" t="inlineStr">
        <is>
          <t>rosso</t>
        </is>
      </c>
      <c r="K6" t="n">
        <v>49.28</v>
      </c>
      <c r="L6" t="n">
        <v>51.14</v>
      </c>
      <c r="M6" t="inlineStr">
        <is>
          <t>arancione</t>
        </is>
      </c>
      <c r="N6" t="n">
        <v>0.9</v>
      </c>
      <c r="O6" t="inlineStr">
        <is>
          <t>L'operatore in primo piano si trova in prossimità pericolosa di una pressa a iniezione in movimento, esponendosi a potenziali punti di schiacciamento. Mancano evidenze di DPI essenziali come occhiali di protezione e scarpe antinfortunistiche per entrambi gli operatori.</t>
        </is>
      </c>
      <c r="P6" t="n">
        <v>0</v>
      </c>
      <c r="Q6" t="n">
        <v>0.0067</v>
      </c>
      <c r="R6" t="n">
        <v>0.237</v>
      </c>
      <c r="S6" t="n">
        <v>0.1588</v>
      </c>
      <c r="T6" t="n">
        <v>0.32</v>
      </c>
      <c r="U6" t="n">
        <v>0</v>
      </c>
      <c r="V6" t="n">
        <v>0</v>
      </c>
      <c r="W6" t="n">
        <v>0.066</v>
      </c>
      <c r="X6" t="n">
        <v>0</v>
      </c>
      <c r="Y6" t="n">
        <v>0</v>
      </c>
      <c r="Z6" t="n">
        <v>0</v>
      </c>
      <c r="AA6" t="n">
        <v>0.0067</v>
      </c>
      <c r="AB6" t="n">
        <v>0.144</v>
      </c>
      <c r="AC6" t="n">
        <v>0.0965</v>
      </c>
      <c r="AD6" t="n">
        <v>0.2</v>
      </c>
      <c r="AE6" t="n">
        <v>0.75</v>
      </c>
      <c r="AF6" t="n">
        <v>0.9734</v>
      </c>
      <c r="AG6" t="n">
        <v>0.38</v>
      </c>
      <c r="AH6" t="n">
        <v>36.9892</v>
      </c>
      <c r="AI6" t="n">
        <v>75.06</v>
      </c>
      <c r="AJ6" t="n">
        <v>0.75</v>
      </c>
      <c r="AK6" t="n">
        <v>0.5625</v>
      </c>
      <c r="AL6" t="n">
        <v>0.044</v>
      </c>
      <c r="AM6" t="n">
        <v>2.475</v>
      </c>
      <c r="AN6" t="n">
        <v>5.02</v>
      </c>
      <c r="AO6" t="n">
        <v>0.75</v>
      </c>
      <c r="AP6" t="n">
        <v>0.8080000000000001</v>
      </c>
      <c r="AQ6" t="n">
        <v>0.101</v>
      </c>
      <c r="AR6" t="n">
        <v>8.1608</v>
      </c>
      <c r="AS6" t="n">
        <v>16.56</v>
      </c>
      <c r="AT6" t="n">
        <v>0.75</v>
      </c>
      <c r="AU6" t="n">
        <v>0.5</v>
      </c>
      <c r="AV6" t="n">
        <v>0.028</v>
      </c>
      <c r="AW6" t="n">
        <v>1.4</v>
      </c>
      <c r="AX6" t="n">
        <v>2.84</v>
      </c>
    </row>
    <row r="7">
      <c r="A7" t="n">
        <v>5</v>
      </c>
      <c r="B7" t="n">
        <v>10</v>
      </c>
      <c r="C7" t="n">
        <v>14</v>
      </c>
      <c r="D7" t="inlineStr">
        <is>
          <t>{"scene_state": "La scena si svolge in un ambiente industriale, probabilmente un'area di produzione o magazzino.", "environmental_conditions": ["Ambiente interno ben illuminato."], "actors": [{"description": "Una persona con cappellino nero e maglietta rosa, inizialmente chinata, poi in piedi.", "count": 1}, {"description": "Una persona con testa rasata e maglietta a righe, parzialmente visibile, rivolta verso il macchinario.", "count": 1}, {"description": "Una persona con maglietta nera e jeans, che cammina sullo sfondo da sinistra a destra.", "count": 1}], "objects": ["Uno sgabello o scatola bianca in primo piano.", "Sacchi bianchi sul pavimento vicino agli scaffali.", "Articoli in plastica colorati (sedie/sgabelli) sugli scaffali.", "Un oggetto cilindrico nero a sinistra."], "machines": ["Un grande macchinario industriale arancione e bianco (probabilmente una pressa a iniezione) con pannello di controllo e parti interne in movimento."], "observable_actions": ["La persona con il cappellino nero si china e poi si rialza, muovendosi leggermente.", "Il macchinario industriale esegue un ciclo di apertura/chiusura delle sue parti interne.", "Una persona cammina sullo sfondo."], "notes_visibility_limitations": "La visibilità della persona con la testa rasata è parzialmente ostruita. Non è visibile l'intera estensione dell'ambiente."}</t>
        </is>
      </c>
      <c r="E7" t="inlineStr">
        <is>
          <t>{"unsafe_behaviors": ["Permanenza in prossimità di macchinario industriale in funzione con parti in movimento."], "vulnerable_elements": ["Operatori (in particolare mani e braccia se interagiscono con la macchina)."], "risk_cues": {"R1_pedestrian_vehicle_interference": 0.0, "R2_pedestrian_segregation_violation": 0.0, "R3_load_storage_instability": 0.0, "R4_crush_points_dangerous_parts_exposure": 0.75, "R5_unsafe_operational_proximity": 0.75, "R6_unsafe_behavior_posture_manoeuvre": 0.0, "R7_essential_ppe_non_compliance": 0.25}, "cue_confidence": 0.8, "diagnostic_notes": "La presenza di due operatori in stretta prossimità di un macchinario industriale (probabilmente una pressa a iniezione) in fase operativa, con parti interne in movimento, costituisce un rischio elevato di schiacciamento o contatto con organi pericolosi (R4, R5). Non sono visibili barriere di protezione o interblocchi che impediscano l'accesso alla zona pericolosa durante il ciclo della macchina. Non è possibile verificare la presenza di DPI essenziali come occhiali di protezione o calzature di sicurezza a causa della visibilità limitata (R7)."}</t>
        </is>
      </c>
      <c r="F7" t="inlineStr">
        <is>
          <t>{"causal_chain_plausible": true, "causal_chain_text": "Operatori vicini a macchinario industriale in funzione con parti interne in movimento. Assenza di barriere/interblocchi visibili. Possibile contatto accidentale di un operatore con le parti mobili. Lesioni da schiacciamento/intrappolamento.", "near_miss_or_incident_scenario": "Un operatore, trovandosi in stretta prossimità del macchinario in funzione, potrebbe inavvertitamente estendere un arto nella zona delle parti in movimento durante il ciclo operativo, subendo schiacciamento o intrappolamento.", "contributing_factors": ["Permanenza di operatori in prossimità di macchinario in funzione.", "Esposizione a parti in movimento pericolose (punti di schiacciamento).", "Mancanza di barriere di protezione o interblocchi che impediscano l'accesso.", "Possibile non conformità DPI (es. occhiali, calzature)."]}</t>
        </is>
      </c>
      <c r="G7" t="n">
        <v>90</v>
      </c>
      <c r="H7" t="inlineStr">
        <is>
          <t>La presenza di operatori in stretta prossimità di un macchinario industriale in funzione con parti in movimento, senza barriere di protezione visibili, crea un rischio elevato di schiacciamento o intrappolamento. Questa situazione comporta un pericolo immediato e significativo di lesioni gravi.</t>
        </is>
      </c>
      <c r="I7" t="n">
        <v>96</v>
      </c>
      <c r="J7" t="inlineStr">
        <is>
          <t>rosso</t>
        </is>
      </c>
      <c r="K7" t="n">
        <v>39.72</v>
      </c>
      <c r="L7" t="n">
        <v>46.57</v>
      </c>
      <c r="M7" t="inlineStr">
        <is>
          <t>giallo</t>
        </is>
      </c>
      <c r="N7" t="n">
        <v>0.8</v>
      </c>
      <c r="O7" t="inlineStr">
        <is>
          <t>La presenza di due operatori in stretta prossimità di un macchinario industriale (probabilmente una pressa a iniezione) in fase operativa, con parti interne in movimento, costituisce un rischio elevato di schiacciamento o contatto con organi pericolosi (R4, R5). Non sono visibili barriere di protezione o interblocchi che impediscano l'accesso alla zona pericolosa durante il ciclo della macchina. Non è possibile verificare la presenza di DPI essenziali come occhiali di protezione o calzature di sicurezza a causa della visibilità limitata (R7).</t>
        </is>
      </c>
      <c r="P7" t="n">
        <v>0</v>
      </c>
      <c r="Q7" t="n">
        <v>0.0067</v>
      </c>
      <c r="R7" t="n">
        <v>0.237</v>
      </c>
      <c r="S7" t="n">
        <v>0.1588</v>
      </c>
      <c r="T7" t="n">
        <v>0.4</v>
      </c>
      <c r="U7" t="n">
        <v>0</v>
      </c>
      <c r="V7" t="n">
        <v>0</v>
      </c>
      <c r="W7" t="n">
        <v>0.066</v>
      </c>
      <c r="X7" t="n">
        <v>0</v>
      </c>
      <c r="Y7" t="n">
        <v>0</v>
      </c>
      <c r="Z7" t="n">
        <v>0</v>
      </c>
      <c r="AA7" t="n">
        <v>0.0067</v>
      </c>
      <c r="AB7" t="n">
        <v>0.144</v>
      </c>
      <c r="AC7" t="n">
        <v>0.0965</v>
      </c>
      <c r="AD7" t="n">
        <v>0.24</v>
      </c>
      <c r="AE7" t="n">
        <v>0.75</v>
      </c>
      <c r="AF7" t="n">
        <v>0.9734</v>
      </c>
      <c r="AG7" t="n">
        <v>0.38</v>
      </c>
      <c r="AH7" t="n">
        <v>36.9892</v>
      </c>
      <c r="AI7" t="n">
        <v>93.12</v>
      </c>
      <c r="AJ7" t="n">
        <v>0.75</v>
      </c>
      <c r="AK7" t="n">
        <v>0.5625</v>
      </c>
      <c r="AL7" t="n">
        <v>0.044</v>
      </c>
      <c r="AM7" t="n">
        <v>2.475</v>
      </c>
      <c r="AN7" t="n">
        <v>6.23</v>
      </c>
      <c r="AO7" t="n">
        <v>0</v>
      </c>
      <c r="AP7" t="n">
        <v>0</v>
      </c>
      <c r="AQ7" t="n">
        <v>0.101</v>
      </c>
      <c r="AR7" t="n">
        <v>0</v>
      </c>
      <c r="AS7" t="n">
        <v>0</v>
      </c>
      <c r="AT7" t="n">
        <v>0.25</v>
      </c>
      <c r="AU7" t="n">
        <v>0</v>
      </c>
      <c r="AV7" t="n">
        <v>0.028</v>
      </c>
      <c r="AW7" t="n">
        <v>0</v>
      </c>
      <c r="AX7" t="n">
        <v>0</v>
      </c>
    </row>
    <row r="8">
      <c r="A8" t="n">
        <v>6</v>
      </c>
      <c r="B8" t="n">
        <v>12</v>
      </c>
      <c r="C8" t="n">
        <v>16</v>
      </c>
      <c r="D8" t="inlineStr">
        <is>
          <t>{"scene_state": "La scena mostra un ambiente industriale, probabilmente un reparto di produzione, con attività in corso.", "environmental_conditions": ["Illuminazione interna adeguata.", "L'ambiente appare ordinato per un contesto industriale."], "actors": ["Un uomo con cappellino nero e maglietta rosa/rossa chiara, jeans blu.", "Un uomo con la parte posteriore della testa visibile, maglietta a righe blu e bianche."], "objects": ["Scaffali con prodotti in plastica colorati (sedie o cesti) sullo sfondo.", "Un piccolo sgabello bianco.", "Un oggetto cilindrico scuro a terra."], "machines": ["Una grande macchina industriale di colore arancione e bianco, con un pannello di controllo digitale (probabilmente una pressa a iniezione)."], "observable_actions": ["Un uomo cammina da sinistra verso il centro della scena.", "Un uomo è posizionato di fronte al pannello di controllo della macchina, con le mani che sembrano interagire con esso.", "La macchina industriale è in funzione, con parti interne che si muovono."], "notes_visibility_limitations": "La parte superiore del corpo dell'uomo che interagisce con la macchina è parzialmente occlusa dalla sua testa e dalla prospettiva della telecamera."}</t>
        </is>
      </c>
      <c r="E8" t="inlineStr">
        <is>
          <t>{"unsafe_behaviors": ["Standing in close proximity to an operating industrial machine without a clear task (per l'osservatore)."], "vulnerable_elements": ["Personale in prossimità di macchinari pesanti in funzione."], "risk_cues": {"R1_pedestrian_vehicle_interference": 0.0, "R2_pedestrian_segregation_violation": 0.0, "R3_load_storage_instability": 0.0, "R4_crush_points_dangerous_parts_exposure": 0.75, "R5_unsafe_operational_proximity": 0.75, "R6_unsafe_behavior_posture_manoeuvre": 0.0, "R7_essential_ppe_non_compliance": 0.25}, "cue_confidence": 0.9, "diagnostic_notes": "Entrambi gli individui si trovano in stretta prossimità a una grande pressa a iniezione in funzione. Sebbene sia visibile un cancello di sicurezza che appare chiuso, la potenza intrinseca e le parti in movimento di tale macchinario presentano un potenziale pericolo. L'uomo che osserva la macchina è particolarmente vicino senza un compito diretto apparente che richieda tale prossimità. Non è possibile valutare con certezza la conformità dei DPI essenziali senza conoscere i requisiti specifici del sito e del compito."}</t>
        </is>
      </c>
      <c r="F8" t="inlineStr">
        <is>
          <t>{"causal_chain_plausible": true, "causal_chain_text": "La prossimità del personale a una macchina industriale in funzione con parti in movimento, unita alla potenziale esposizione a punti di schiacciamento o parti pericolose, può portare a un contatto accidentale e conseguente infortunio.", "near_miss_or_incident_scenario": "Un operatore o un osservatore, trovandosi in prossimità della macchina in funzione, viene accidentalmente colpito o intrappolato da una parte mobile o da un punto di schiacciamento della pressa a iniezione.", "contributing_factors": ["Prossimità non sicura del personale a macchinari in funzione", "Presenza di parti in movimento e punti di schiacciamento sulla macchina", "Mancanza di un compito chiaro che giustifichi la vicinanza dell'osservatore", "Incertezza sulla conformità dei DPI essenziali"]}</t>
        </is>
      </c>
      <c r="G8" t="n">
        <v>80</v>
      </c>
      <c r="H8" t="inlineStr">
        <is>
          <t>Il punteggio riflette l'elevata prossimità del personale a una macchina industriale in funzione con parti in movimento e punti di schiacciamento. Questa situazione crea un rischio significativo di contatto accidentale e infortunio.</t>
        </is>
      </c>
      <c r="I8" t="n">
        <v>89.59999999999999</v>
      </c>
      <c r="J8" t="inlineStr">
        <is>
          <t>rosso</t>
        </is>
      </c>
      <c r="K8" t="n">
        <v>39.72</v>
      </c>
      <c r="L8" t="n">
        <v>43.83</v>
      </c>
      <c r="M8" t="inlineStr">
        <is>
          <t>giallo</t>
        </is>
      </c>
      <c r="N8" t="n">
        <v>0.9</v>
      </c>
      <c r="O8" t="inlineStr">
        <is>
          <t>Entrambi gli individui si trovano in stretta prossimità a una grande pressa a iniezione in funzione. Sebbene sia visibile un cancello di sicurezza che appare chiuso, la potenza intrinseca e le parti in movimento di tale macchinario presentano un potenziale pericolo. L'uomo che osserva la macchina è particolarmente vicino senza un compito diretto apparente che richieda tale prossimità. Non è possibile valutare con certezza la conformità dei DPI essenziali senza conoscere i requisiti specifici del sito e del compito.</t>
        </is>
      </c>
      <c r="P8" t="n">
        <v>0</v>
      </c>
      <c r="Q8" t="n">
        <v>0.0067</v>
      </c>
      <c r="R8" t="n">
        <v>0.237</v>
      </c>
      <c r="S8" t="n">
        <v>0.1588</v>
      </c>
      <c r="T8" t="n">
        <v>0.4</v>
      </c>
      <c r="U8" t="n">
        <v>0</v>
      </c>
      <c r="V8" t="n">
        <v>0</v>
      </c>
      <c r="W8" t="n">
        <v>0.066</v>
      </c>
      <c r="X8" t="n">
        <v>0</v>
      </c>
      <c r="Y8" t="n">
        <v>0</v>
      </c>
      <c r="Z8" t="n">
        <v>0</v>
      </c>
      <c r="AA8" t="n">
        <v>0.0067</v>
      </c>
      <c r="AB8" t="n">
        <v>0.144</v>
      </c>
      <c r="AC8" t="n">
        <v>0.0965</v>
      </c>
      <c r="AD8" t="n">
        <v>0.24</v>
      </c>
      <c r="AE8" t="n">
        <v>0.75</v>
      </c>
      <c r="AF8" t="n">
        <v>0.9734</v>
      </c>
      <c r="AG8" t="n">
        <v>0.38</v>
      </c>
      <c r="AH8" t="n">
        <v>36.9892</v>
      </c>
      <c r="AI8" t="n">
        <v>93.12</v>
      </c>
      <c r="AJ8" t="n">
        <v>0.75</v>
      </c>
      <c r="AK8" t="n">
        <v>0.5625</v>
      </c>
      <c r="AL8" t="n">
        <v>0.044</v>
      </c>
      <c r="AM8" t="n">
        <v>2.475</v>
      </c>
      <c r="AN8" t="n">
        <v>6.23</v>
      </c>
      <c r="AO8" t="n">
        <v>0</v>
      </c>
      <c r="AP8" t="n">
        <v>0</v>
      </c>
      <c r="AQ8" t="n">
        <v>0.101</v>
      </c>
      <c r="AR8" t="n">
        <v>0</v>
      </c>
      <c r="AS8" t="n">
        <v>0</v>
      </c>
      <c r="AT8" t="n">
        <v>0.25</v>
      </c>
      <c r="AU8" t="n">
        <v>0</v>
      </c>
      <c r="AV8" t="n">
        <v>0.028</v>
      </c>
      <c r="AW8" t="n">
        <v>0</v>
      </c>
      <c r="AX8" t="n">
        <v>0</v>
      </c>
    </row>
    <row r="9">
      <c r="A9" t="n">
        <v>7</v>
      </c>
      <c r="B9" t="n">
        <v>14</v>
      </c>
      <c r="C9" t="n">
        <v>18</v>
      </c>
      <c r="D9" t="inlineStr">
        <is>
          <t>{"scene_state": "La scena si svolge in un ambiente industriale, presumibilmente un'officina o una fabbrica, con macchinari e scaffalature.", "environmental_conditions": ["Ambiente interno", "Illuminazione artificiale"], "actors": [{"description": "Un uomo con cappellino nero e maglietta rosa, in piedi sulla sinistra, osserva la macchina.", "gender": "male"}, {"description": "Un uomo calvo con maglietta a righe blu e bianche e guanti blu, in piedi sulla destra, interagisce con il pannello di controllo della macchina.", "gender": "male"}], "objects": ["Scaffalature con contenitori colorati (verdi, rossi, blu) sullo sfondo", "Uno sgabello o scatola bianca vicino all'uomo sulla sinistra", "Un piccolo oggetto bianco sullo sgabello/scatola", "Etichetta 'CAM04' nell'angolo in basso a sinistra", "Timestamp '2019.09.11 16:36:08' nell'angolo in alto a destra"], "machines": ["Una grande macchina industriale di colore arancione, probabilmente una pressa ad iniezione, con sportello di sicurezza aperto che mostra i meccanismi interni", "Un pannello di controllo con schermo blu e pulsanti sulla destra della macchina"], "observable_actions": ["L'uomo sulla destra preme i pulsanti sul pannello di controllo della macchina", "L'uomo sulla sinistra osserva la macchina e l'altro individuo"], "notes_visibility_limitations": "La parte inferiore del corpo dell'uomo sulla destra è parzialmente fuori campo. I dettagli dei meccanismi interni della macchina non sono completamente nitidi."}</t>
        </is>
      </c>
      <c r="E9" t="inlineStr">
        <is>
          <t>{"unsafe_behaviors": ["Interazione con macchina industriale con sportello di sicurezza aperto.", "Prossimità a macchina industriale con meccanismi interni esposti."], "vulnerable_elements": ["Operatori (rischio di schiacciamento o contatto con organi in movimento).", "Meccanismi interni della macchina esposti."], "risk_cues": {"R1_pedestrian_vehicle_interference": 0.0, "R2_pedestrian_segregation_violation": 0.0, "R3_load_storage_instability": 0.0, "R4_crush_points_dangerous_parts_exposure": 1.0, "R5_unsafe_operational_proximity": 1.0, "R6_unsafe_behavior_posture_manoeuvre": 1.0, "R7_essential_ppe_non_compliance": 0.5}, "cue_confidence": 0.9, "diagnostic_notes": "Lo sportello di sicurezza della macchina industriale è aperto durante l'interazione con il pannello di controllo, esponendo gli operatori a potenziali punti di schiacciamento e organi pericolosi (R4, R5). L'operazione della macchina con lo sportello aperto costituisce un comportamento non conforme (R6). Sebbene un operatore indossi guanti, l'assenza di protezione per gli occhi per entrambi gli operatori in un contesto di macchina aperta è una preoccupazione (R7)."}</t>
        </is>
      </c>
      <c r="F9" t="inlineStr">
        <is>
          <t>{"causal_chain_plausible": true, "causal_chain_text": "Sportello di sicurezza della macchina industriale aperto -&gt; Operatore interagisce con il pannello di controllo in prossimità dei meccanismi interni esposti -&gt; Avvio inatteso o movimento improvviso dei meccanismi -&gt; Contatto accidentale con l'operatore.", "near_miss_or_incident_scenario": "L'operatore sulla destra, interagendo con il pannello di controllo, potrebbe subire un infortunio (es. schiacciamento o intrappolamento) se la macchina si avvia o i meccanismi interni si muovono improvvisamente con lo sportello di sicurezza aperto.", "contributing_factors": ["Sportello di sicurezza della macchina aperto", "Interazione con la macchina in condizioni non sicure", "Prossimità a punti di schiacciamento/organi in movimento", "Mancanza di protezione per gli occhi per entrambi gli operatori"]}</t>
        </is>
      </c>
      <c r="G9" t="n">
        <v>90</v>
      </c>
      <c r="H9" t="inlineStr">
        <is>
          <t>Il rischio è elevato a causa dell'interazione con una macchina industriale con sportello di sicurezza aperto, esponendo gli operatori a punti di schiacciamento e organi in movimento. Questa condizione crea un pericolo immediato di infortunio grave in caso di avvio inatteso.</t>
        </is>
      </c>
      <c r="I9" t="n">
        <v>97.76000000000001</v>
      </c>
      <c r="J9" t="inlineStr">
        <is>
          <t>rosso</t>
        </is>
      </c>
      <c r="K9" t="n">
        <v>52.98</v>
      </c>
      <c r="L9" t="n">
        <v>58.1</v>
      </c>
      <c r="M9" t="inlineStr">
        <is>
          <t>arancione</t>
        </is>
      </c>
      <c r="N9" t="n">
        <v>0.9</v>
      </c>
      <c r="O9" t="inlineStr">
        <is>
          <t>Lo sportello di sicurezza della macchina industriale è aperto durante l'interazione con il pannello di controllo, esponendo gli operatori a potenziali punti di schiacciamento e organi pericolosi (R4, R5). L'operazione della macchina con lo sportello aperto costituisce un comportamento non conforme (R6). Sebbene un operatore indossi guanti, l'assenza di protezione per gli occhi per entrambi gli operatori in un contesto di macchina aperta è una preoccupazione (R7).</t>
        </is>
      </c>
      <c r="P9" t="n">
        <v>0</v>
      </c>
      <c r="Q9" t="n">
        <v>0.0067</v>
      </c>
      <c r="R9" t="n">
        <v>0.237</v>
      </c>
      <c r="S9" t="n">
        <v>0.1588</v>
      </c>
      <c r="T9" t="n">
        <v>0.3</v>
      </c>
      <c r="U9" t="n">
        <v>0</v>
      </c>
      <c r="V9" t="n">
        <v>0</v>
      </c>
      <c r="W9" t="n">
        <v>0.066</v>
      </c>
      <c r="X9" t="n">
        <v>0</v>
      </c>
      <c r="Y9" t="n">
        <v>0</v>
      </c>
      <c r="Z9" t="n">
        <v>0</v>
      </c>
      <c r="AA9" t="n">
        <v>0.0067</v>
      </c>
      <c r="AB9" t="n">
        <v>0.144</v>
      </c>
      <c r="AC9" t="n">
        <v>0.0965</v>
      </c>
      <c r="AD9" t="n">
        <v>0.18</v>
      </c>
      <c r="AE9" t="n">
        <v>1</v>
      </c>
      <c r="AF9" t="n">
        <v>0.9986</v>
      </c>
      <c r="AG9" t="n">
        <v>0.38</v>
      </c>
      <c r="AH9" t="n">
        <v>37.9468</v>
      </c>
      <c r="AI9" t="n">
        <v>71.62</v>
      </c>
      <c r="AJ9" t="n">
        <v>1</v>
      </c>
      <c r="AK9" t="n">
        <v>1</v>
      </c>
      <c r="AL9" t="n">
        <v>0.044</v>
      </c>
      <c r="AM9" t="n">
        <v>4.4</v>
      </c>
      <c r="AN9" t="n">
        <v>8.31</v>
      </c>
      <c r="AO9" t="n">
        <v>1</v>
      </c>
      <c r="AP9" t="n">
        <v>0.8892</v>
      </c>
      <c r="AQ9" t="n">
        <v>0.101</v>
      </c>
      <c r="AR9" t="n">
        <v>8.9809</v>
      </c>
      <c r="AS9" t="n">
        <v>16.95</v>
      </c>
      <c r="AT9" t="n">
        <v>0.5</v>
      </c>
      <c r="AU9" t="n">
        <v>0.5</v>
      </c>
      <c r="AV9" t="n">
        <v>0.028</v>
      </c>
      <c r="AW9" t="n">
        <v>1.4</v>
      </c>
      <c r="AX9" t="n">
        <v>2.64</v>
      </c>
    </row>
    <row r="10">
      <c r="A10" t="n">
        <v>8</v>
      </c>
      <c r="B10" t="n">
        <v>16</v>
      </c>
      <c r="C10" t="n">
        <v>20</v>
      </c>
      <c r="D10" t="inlineStr">
        <is>
          <t>{"scene_state": "Scena interna in un ambiente industriale, probabilmente una fabbrica o officina, con macchinari e scaffalature per lo stoccaggio.", "environmental_conditions": ["L'ambiente appare ben illuminato.", "Nessuna condizione ambientale anomala visibile."], "actors": [{"id": "Actor 1", "description": "Una persona con cappellino nero, maglietta rosa e guanti blu, posizionata a sinistra, osserva il macchinario e si tocca brevemente l'orecchio/lato della testa."}, {"id": "Actor 2", "description": "Una persona con la testa rasata, maglietta a righe blu e bianche e guanti blu, posizionata a destra, interagisce con il pannello di controllo del macchinario."}], "objects": ["Scaffalature con contenitori in plastica colorati sullo sfondo.", "Uno sgabello o contenitore bianco vicino all'Actor 1.", "Un oggetto cilindrico nero sul pavimento vicino all'Actor 1.", "Guanti blu indossati da entrambi gli attori."], "machines": ["Un grande macchinario industriale di colore arancione e bianco, probabilmente una pressa a iniezione, con un pannello di controllo sulla destra. Il meccanismo interno è visibile."], "observable_actions": ["L'Actor 1 è in piedi e osserva il macchinario.", "L'Actor 2 sta operando il pannello di controllo del macchinario con le mani guantate.", "Il macchinario appare in stato stazionario."], "notes_visibility_limitations": "La visuale è da una telecamera fissa e leggermente elevata. Non è visibile l'intera estensione dell'ambiente. Alcuni dettagli interni del macchinario sono parzialmente oscurati dalla sua struttura. I volti degli attori sono parzialmente visibili o ripresi da dietro."}</t>
        </is>
      </c>
      <c r="E10" t="inlineStr">
        <is>
          <t>{"unsafe_behaviors": [], "vulnerable_elements": ["Personale in prossimità di macchinari industriali di grandi dimensioni."], "risk_cues": {"R1_pedestrian_vehicle_interference": 0.0, "R2_pedestrian_segregation_violation": 0.0, "R3_load_storage_instability": 0.0, "R4_crush_points_dangerous_parts_exposure": 0.0, "R5_unsafe_operational_proximity": 0.5, "R6_unsafe_behavior_posture_manoeuvre": 0.0, "R7_essential_ppe_non_compliance": 0.5}, "cue_confidence": 0.8, "diagnostic_notes": "La macchina è stazionaria e gli operatori non sono direttamente esposti a punti di schiacciamento. La prossimità a un macchinario industriale di grandi dimensioni con meccanismi interni visibili rappresenta un rischio potenziale. I guanti sono indossati, ma l'assenza di caschi è un'ambiguità sui DPI essenziali."}</t>
        </is>
      </c>
      <c r="F10" t="inlineStr">
        <is>
          <t>{"causal_chain_plausible": true, "causal_chain_text": "La prossimità degli operatori a un macchinario industriale di grandi dimensioni con meccanismi interni visibili, unita all'interazione con il pannello di controllo e alla potenziale carenza di DPI essenziali (es. casco), crea un rischio. Un'attivazione inattesa o un movimento improvviso del macchinario potrebbe causare un contatto o un impatto.", "near_miss_or_incident_scenario": "Un'attivazione improvvisa o un movimento inatteso dei meccanismi interni del macchinario mentre un operatore è in prossimità, portando a un near miss (es. sfioramento) o a un incidente (es. impatto con parti in movimento o espulsione di materiale).", "contributing_factors": ["Prossimità del personale a macchinari industriali con meccanismi visibili", "Interazione con il pannello di controllo del macchinario", "Potenziale carenza di DPI essenziali (es. casco)"]}</t>
        </is>
      </c>
      <c r="G10" t="n">
        <v>45</v>
      </c>
      <c r="H10" t="inlineStr">
        <is>
          <t>La prossimità degli operatori a un macchinario industriale di grandi dimensioni con meccanismi visibili, unita alla potenziale carenza di DPI essenziali (casco), genera un rischio moderato. Sebbene la macchina sia stazionaria, esiste il rischio di attivazione inattesa o movimento improvviso.</t>
        </is>
      </c>
      <c r="I10" t="n">
        <v>76.66</v>
      </c>
      <c r="J10" t="inlineStr">
        <is>
          <t>rosso</t>
        </is>
      </c>
      <c r="K10" t="n">
        <v>2.93</v>
      </c>
      <c r="L10" t="n">
        <v>36.03</v>
      </c>
      <c r="M10" t="inlineStr">
        <is>
          <t>giallo</t>
        </is>
      </c>
      <c r="N10" t="n">
        <v>0.8</v>
      </c>
      <c r="O10" t="inlineStr">
        <is>
          <t>La macchina è stazionaria e gli operatori non sono direttamente esposti a punti di schiacciamento. La prossimità a un macchinario industriale di grandi dimensioni con meccanismi interni visibili rappresenta un rischio potenziale. I guanti sono indossati, ma l'assenza di caschi è un'ambiguità sui DPI essenziali.</t>
        </is>
      </c>
      <c r="P10" t="n">
        <v>0</v>
      </c>
      <c r="Q10" t="n">
        <v>0.0067</v>
      </c>
      <c r="R10" t="n">
        <v>0.237</v>
      </c>
      <c r="S10" t="n">
        <v>0.1588</v>
      </c>
      <c r="T10" t="n">
        <v>5.42</v>
      </c>
      <c r="U10" t="n">
        <v>0</v>
      </c>
      <c r="V10" t="n">
        <v>0</v>
      </c>
      <c r="W10" t="n">
        <v>0.066</v>
      </c>
      <c r="X10" t="n">
        <v>0</v>
      </c>
      <c r="Y10" t="n">
        <v>0</v>
      </c>
      <c r="Z10" t="n">
        <v>0</v>
      </c>
      <c r="AA10" t="n">
        <v>0.0067</v>
      </c>
      <c r="AB10" t="n">
        <v>0.144</v>
      </c>
      <c r="AC10" t="n">
        <v>0.0965</v>
      </c>
      <c r="AD10" t="n">
        <v>3.29</v>
      </c>
      <c r="AE10" t="n">
        <v>0</v>
      </c>
      <c r="AF10" t="n">
        <v>0.0045</v>
      </c>
      <c r="AG10" t="n">
        <v>0.38</v>
      </c>
      <c r="AH10" t="n">
        <v>0.171</v>
      </c>
      <c r="AI10" t="n">
        <v>5.84</v>
      </c>
      <c r="AJ10" t="n">
        <v>0.5</v>
      </c>
      <c r="AK10" t="n">
        <v>0.25</v>
      </c>
      <c r="AL10" t="n">
        <v>0.044</v>
      </c>
      <c r="AM10" t="n">
        <v>1.1</v>
      </c>
      <c r="AN10" t="n">
        <v>37.54</v>
      </c>
      <c r="AO10" t="n">
        <v>0</v>
      </c>
      <c r="AP10" t="n">
        <v>0</v>
      </c>
      <c r="AQ10" t="n">
        <v>0.101</v>
      </c>
      <c r="AR10" t="n">
        <v>0</v>
      </c>
      <c r="AS10" t="n">
        <v>0</v>
      </c>
      <c r="AT10" t="n">
        <v>0.5</v>
      </c>
      <c r="AU10" t="n">
        <v>0.5</v>
      </c>
      <c r="AV10" t="n">
        <v>0.028</v>
      </c>
      <c r="AW10" t="n">
        <v>1.4</v>
      </c>
      <c r="AX10" t="n">
        <v>47.78</v>
      </c>
    </row>
    <row r="11">
      <c r="A11" t="n">
        <v>9</v>
      </c>
      <c r="B11" t="n">
        <v>18</v>
      </c>
      <c r="C11" t="n">
        <v>22</v>
      </c>
      <c r="D11" t="inlineStr">
        <is>
          <t>{"scene_state": "Ambiente industriale interno con macchinari e stoccaggio.", "environmental_conditions": ["Buona illuminazione.", "Area ordinata."], "actors": [{"description": "Uomo (maglietta rosa, cappellino nero, guanti blu) a sinistra della macchina.", "gender": "maschile"}, {"description": "Uomo (maglietta a righe, guanti blu) di fronte al pannello di controllo della macchina.", "gender": "maschile"}], "objects": ["Scaffali con contenitori colorati.", "Oggetto bianco cubico/rettangolare.", "Oggetto nero cilindrico.", "Piccolo oggetto allungato in mano al primo uomo."], "machines": ["Grande macchina industriale arancione/bianca (logo 'MR') con pannello di controllo digitale."], "observable_actions": ["Il primo uomo osserva la macchina e il secondo, toccandosi il collo/orecchio e tenendo un oggetto.", "Il secondo uomo interagisce con il pannello di controllo della macchina."], "notes_visibility_limitations": "Parte superiore macchina parzialmente fuori campo. Lato destro scena parzialmente occluso. Dettagli azioni sul pannello e contenuto contenitori non chiari."}</t>
        </is>
      </c>
      <c r="E11" t="inlineStr">
        <is>
          <t>{"unsafe_behaviors": ["Prossimità a punti di schiacciamento della macchina aperta", "Mancanza di occhiali di protezione"], "vulnerable_elements": ["Mani e corpo degli operatori", "Occhi degli operatori"], "risk_cues": {"R1_pedestrian_vehicle_interference": 0.0, "R2_pedestrian_segregation_violation": 0.0, "R3_load_storage_instability": 0.0, "R4_crush_points_dangerous_parts_exposure": 0.75, "R5_unsafe_operational_proximity": 0.75, "R6_unsafe_behavior_posture_manoeuvre": 0.0, "R7_essential_ppe_non_compliance": 0.5}, "cue_confidence": 0.8, "diagnostic_notes": "Gli operatori sono in stretta prossimità a una macchina industriale aperta con potenziali punti di schiacciamento. Sebbene non siano visibili azioni pericolose immediate, la vicinanza costituisce un rischio potenziale. Mancano occhiali di protezione e caschi di sicurezza, che potrebbero essere DPI essenziali in questo ambiente."}</t>
        </is>
      </c>
      <c r="F11" t="inlineStr">
        <is>
          <t>{"causal_chain_plausible": true, "causal_chain_text": "L'operatore al pannello di controllo avvia o modifica un'operazione della macchina. A causa della stretta prossimità dell'altro operatore ai punti di schiacciamento della macchina aperta, e/o di un movimento inatteso della macchina, si verifica un contatto tra una parte del corpo dell'operatore e un punto di schiacciamento.", "near_miss_or_incident_scenario": "Un operatore, trovandosi in stretta prossimità a un punto di schiacciamento della macchina aperta, subisce un infortunio (es. schiacciamento di una mano o un braccio) a seguito di un movimento inatteso o non coordinato della macchina, attivato dall'altro operatore al pannello di controllo.", "contributing_factors": ["Prossimità non sicura degli operatori a punti di schiacciamento della macchina aperta.", "Esposizione di punti di schiacciamento della macchina.", "Mancanza di occhiali di protezione.", "Potenziale attivazione della macchina mentre un operatore è in zona pericolosa."]}</t>
        </is>
      </c>
      <c r="G11" t="n">
        <v>60</v>
      </c>
      <c r="H11" t="inlineStr">
        <is>
          <t>La stretta prossimità degli operatori a punti di schiacciamento della macchina aperta e la mancanza di DPI essenziali creano un rischio significativo di infortunio. L'attivazione inattesa della macchina potrebbe causare schiacciamenti.</t>
        </is>
      </c>
      <c r="I11" t="n">
        <v>82</v>
      </c>
      <c r="J11" t="inlineStr">
        <is>
          <t>rosso</t>
        </is>
      </c>
      <c r="K11" t="n">
        <v>41.12</v>
      </c>
      <c r="L11" t="n">
        <v>68.62</v>
      </c>
      <c r="M11" t="inlineStr">
        <is>
          <t>arancione</t>
        </is>
      </c>
      <c r="N11" t="n">
        <v>0.8</v>
      </c>
      <c r="O11" t="inlineStr">
        <is>
          <t>Gli operatori sono in stretta prossimità a una macchina industriale aperta con potenziali punti di schiacciamento. Sebbene non siano visibili azioni pericolose immediate, la vicinanza costituisce un rischio potenziale. Mancano occhiali di protezione e caschi di sicurezza, che potrebbero essere DPI essenziali in questo ambiente.</t>
        </is>
      </c>
      <c r="P11" t="n">
        <v>0</v>
      </c>
      <c r="Q11" t="n">
        <v>0.0067</v>
      </c>
      <c r="R11" t="n">
        <v>0.237</v>
      </c>
      <c r="S11" t="n">
        <v>0.1588</v>
      </c>
      <c r="T11" t="n">
        <v>0.39</v>
      </c>
      <c r="U11" t="n">
        <v>0</v>
      </c>
      <c r="V11" t="n">
        <v>0</v>
      </c>
      <c r="W11" t="n">
        <v>0.066</v>
      </c>
      <c r="X11" t="n">
        <v>0</v>
      </c>
      <c r="Y11" t="n">
        <v>0</v>
      </c>
      <c r="Z11" t="n">
        <v>0</v>
      </c>
      <c r="AA11" t="n">
        <v>0.0067</v>
      </c>
      <c r="AB11" t="n">
        <v>0.144</v>
      </c>
      <c r="AC11" t="n">
        <v>0.0965</v>
      </c>
      <c r="AD11" t="n">
        <v>0.23</v>
      </c>
      <c r="AE11" t="n">
        <v>0.75</v>
      </c>
      <c r="AF11" t="n">
        <v>0.9734</v>
      </c>
      <c r="AG11" t="n">
        <v>0.38</v>
      </c>
      <c r="AH11" t="n">
        <v>36.9892</v>
      </c>
      <c r="AI11" t="n">
        <v>89.95</v>
      </c>
      <c r="AJ11" t="n">
        <v>0.75</v>
      </c>
      <c r="AK11" t="n">
        <v>0.5625</v>
      </c>
      <c r="AL11" t="n">
        <v>0.044</v>
      </c>
      <c r="AM11" t="n">
        <v>2.475</v>
      </c>
      <c r="AN11" t="n">
        <v>6.02</v>
      </c>
      <c r="AO11" t="n">
        <v>0</v>
      </c>
      <c r="AP11" t="n">
        <v>0</v>
      </c>
      <c r="AQ11" t="n">
        <v>0.101</v>
      </c>
      <c r="AR11" t="n">
        <v>0</v>
      </c>
      <c r="AS11" t="n">
        <v>0</v>
      </c>
      <c r="AT11" t="n">
        <v>0.5</v>
      </c>
      <c r="AU11" t="n">
        <v>0.5</v>
      </c>
      <c r="AV11" t="n">
        <v>0.028</v>
      </c>
      <c r="AW11" t="n">
        <v>1.4</v>
      </c>
      <c r="AX11" t="n">
        <v>3.4</v>
      </c>
    </row>
    <row r="12">
      <c r="A12" t="n">
        <v>10</v>
      </c>
      <c r="B12" t="n">
        <v>20</v>
      </c>
      <c r="C12" t="n">
        <v>24</v>
      </c>
      <c r="D12" t="inlineStr">
        <is>
          <t>{"scene_state": "Ambiente industriale interno, probabilmente una fabbrica o un magazzino.", "environmental_conditions": ["Illuminazione adeguata", "Interno"], "actors": [{"description": "Un uomo (sinistra) con cappellino nero, maglietta rosa e guanti blu, osserva la macchina."}, {"description": "Un uomo (destra, parzialmente visibile) con guanti blu, interagisce con il pannello di controllo della macchina."}], "objects": ["Scaffali con contenitori/cesti di plastica colorati sullo sfondo", "Uno sgabello/scatola bianca vicino all'uomo a sinistra", "Un piccolo oggetto bianco sullo sgabello", "Guanti blu indossati da entrambi gli uomini"], "machines": ["Una grande macchina industriale arancione (probabilmente una pressa a iniezione) con un pannello di controllo digitale e un'apertura centrale che mostra componenti interni."], "observable_actions": ["L'uomo a destra sta operando o regolando il pannello di controllo della macchina.", "L'uomo a sinistra osserva la macchina e tocca brevemente il telaio della macchina."], "notes_visibility_limitations": "L'uomo a destra è parzialmente fuori dall'inquadratura. Non è visibile l'intera estensione della macchina o dell'ambiente circostante."}</t>
        </is>
      </c>
      <c r="E12" t="inlineStr">
        <is>
          <t>{"unsafe_behaviors": ["Mancanza di occhiali di protezione visibili per gli operatori che lavorano in prossimità di macchinari industriali.", "Prossimità degli operatori a potenziali punti di schiacciamento della macchina."], "vulnerable_elements": ["Mani e corpo degli operatori a causa della vicinanza ai punti di schiacciamento della macchina.", "Occhi degli operatori a causa della mancanza di protezione oculare."], "risk_cues": {"R1_pedestrian_vehicle_interference": 0.0, "R2_pedestrian_segregation_violation": 0.0, "R3_load_storage_instability": 0.0, "R4_crush_points_dangerous_parts_exposure": 0.5, "R5_unsafe_operational_proximity": 0.75, "R6_unsafe_behavior_posture_manoeuvre": 0.0, "R7_essential_ppe_non_compliance": 0.75}, "cue_confidence": 0.75, "diagnostic_notes": "Gli operatori sono in stretta prossimità a una grande macchina industriale con potenziali punti di schiacciamento. Indossano guanti, ma non sono visibili occhiali di protezione, essenziali in questo ambiente. Lo stato operativo della macchina non è chiaro."}</t>
        </is>
      </c>
      <c r="F12" t="inlineStr">
        <is>
          <t>{"causal_chain_plausible": true, "causal_chain_text": "Operatori in stretta prossimità a una macchina industriale con punti di schiacciamento e parti interne esposte. Uno interagisce con il pannello, l'altro osserva e tocca il telaio. La mancanza di occhiali di protezione espone gli occhi. Un avvio inatteso o un movimento di parti della macchina può causare contatto con punti pericolosi o proiezione di materiale.", "near_miss_or_incident_scenario": "Un movimento inatteso o l'avvio di un ciclo operativo della macchina mentre gli operatori sono in stretta prossimità ai punti di schiacciamento può causare lesioni da schiacciamento alle mani o al corpo. La mancanza di occhiali di protezione espone gli occhi a rischi di lesioni da proiezione di materiale.", "contributing_factors": ["Prossimità non sicura degli operatori a punti di schiacciamento della macchina.", "Mancanza di utilizzo di occhiali di protezione essenziali (DPI).", "Interazione diretta con la macchina in uno stato operativo incerto."]}</t>
        </is>
      </c>
      <c r="G12" t="n">
        <v>85</v>
      </c>
      <c r="H12" t="inlineStr">
        <is>
          <t>La stretta prossimità degli operatori a punti di schiacciamento di una macchina industriale, unita alla mancanza di occhiali di protezione essenziali, crea un rischio elevato di lesioni gravi. L'incertezza sullo stato operativo della macchina aggrava ulteriormente la situazione.</t>
        </is>
      </c>
      <c r="I12" t="n">
        <v>100</v>
      </c>
      <c r="J12" t="inlineStr">
        <is>
          <t>rosso</t>
        </is>
      </c>
      <c r="K12" t="n">
        <v>28.67</v>
      </c>
      <c r="L12" t="n">
        <v>52.64</v>
      </c>
      <c r="M12" t="inlineStr">
        <is>
          <t>arancione</t>
        </is>
      </c>
      <c r="N12" t="n">
        <v>0.75</v>
      </c>
      <c r="O12" t="inlineStr">
        <is>
          <t>Gli operatori sono in stretta prossimità a una grande macchina industriale con potenziali punti di schiacciamento. Indossano guanti, ma non sono visibili occhiali di protezione, essenziali in questo ambiente. Lo stato operativo della macchina non è chiaro.</t>
        </is>
      </c>
      <c r="P12" t="n">
        <v>0</v>
      </c>
      <c r="Q12" t="n">
        <v>0.0067</v>
      </c>
      <c r="R12" t="n">
        <v>0.237</v>
      </c>
      <c r="S12" t="n">
        <v>0.1588</v>
      </c>
      <c r="T12" t="n">
        <v>0.55</v>
      </c>
      <c r="U12" t="n">
        <v>0</v>
      </c>
      <c r="V12" t="n">
        <v>0</v>
      </c>
      <c r="W12" t="n">
        <v>0.066</v>
      </c>
      <c r="X12" t="n">
        <v>0</v>
      </c>
      <c r="Y12" t="n">
        <v>0</v>
      </c>
      <c r="Z12" t="n">
        <v>0</v>
      </c>
      <c r="AA12" t="n">
        <v>0.0067</v>
      </c>
      <c r="AB12" t="n">
        <v>0.144</v>
      </c>
      <c r="AC12" t="n">
        <v>0.0965</v>
      </c>
      <c r="AD12" t="n">
        <v>0.34</v>
      </c>
      <c r="AE12" t="n">
        <v>0.5</v>
      </c>
      <c r="AF12" t="n">
        <v>0.6457000000000001</v>
      </c>
      <c r="AG12" t="n">
        <v>0.38</v>
      </c>
      <c r="AH12" t="n">
        <v>24.5366</v>
      </c>
      <c r="AI12" t="n">
        <v>85.58</v>
      </c>
      <c r="AJ12" t="n">
        <v>0.75</v>
      </c>
      <c r="AK12" t="n">
        <v>0.5625</v>
      </c>
      <c r="AL12" t="n">
        <v>0.044</v>
      </c>
      <c r="AM12" t="n">
        <v>2.475</v>
      </c>
      <c r="AN12" t="n">
        <v>8.630000000000001</v>
      </c>
      <c r="AO12" t="n">
        <v>0</v>
      </c>
      <c r="AP12" t="n">
        <v>0</v>
      </c>
      <c r="AQ12" t="n">
        <v>0.101</v>
      </c>
      <c r="AR12" t="n">
        <v>0</v>
      </c>
      <c r="AS12" t="n">
        <v>0</v>
      </c>
      <c r="AT12" t="n">
        <v>0.75</v>
      </c>
      <c r="AU12" t="n">
        <v>0.5</v>
      </c>
      <c r="AV12" t="n">
        <v>0.028</v>
      </c>
      <c r="AW12" t="n">
        <v>1.4</v>
      </c>
      <c r="AX12" t="n">
        <v>4.88</v>
      </c>
    </row>
    <row r="13">
      <c r="A13" t="n">
        <v>11</v>
      </c>
      <c r="B13" t="n">
        <v>22</v>
      </c>
      <c r="C13" t="n">
        <v>26</v>
      </c>
      <c r="D13" t="inlineStr">
        <is>
          <t>{"scene_state": "Ambiente industriale, probabilmente un reparto di produzione.", "environmental_conditions": ["Illuminazione adeguata", "Interno"], "actors": ["Un uomo con cappellino nero, maglietta rosa e guanti blu.", "Un uomo con maglietta grigia e guanti blu."], "objects": ["Contenitori/cesti di plastica verdi, rossi, blu e gialli impilati su scaffali.", "Uno sgabello/tavolo bianco.", "Una matita.", "Un piccolo oggetto bianco sullo sgabello/tavolo."], "machines": ["Una grande macchina industriale arancione (probabilmente una pressa a iniezione) con un pannello di controllo visibile (schermo blu)."], "observable_actions": ["L'uomo con la maglietta rosa è in piedi vicino alla macchina, guarda verso di essa e sembra regolare o ispezionare qualcosa sul lato della macchina con le mani.", "L'uomo con la maglietta grigia è in piedi accanto alla macchina, guarda verso l'apertura della macchina e sembra osservare o interagire con essa."], "notes_visibility_limitations": "L'angolo della telecamera è leggermente elevato e ampio. Alcune parti interne della macchina non sono chiaramente dettagliate. I volti degli individui sono parzialmente visibili. L'intera estensione della fabbrica non è visibile."}</t>
        </is>
      </c>
      <c r="E13" t="inlineStr">
        <is>
          <t>{"unsafe_behaviors": ["L'operatore inserisce mani e testa nell'area di lavoro della macchina senza apparente messa in sicurezza.", "Prossimità eccessiva alla zona operativa della macchina."], "vulnerable_elements": ["Mani e testa dell'operatore", "Operatori in prossimità di macchina industriale"], "risk_cues": {"R1_pedestrian_vehicle_interference": 0.0, "R2_pedestrian_segregation_violation": 0.0, "R3_load_storage_instability": 0.0, "R4_crush_points_dangerous_parts_exposure": 0.75, "R5_unsafe_operational_proximity": 0.75, "R6_unsafe_behavior_posture_manoeuvre": 0.75, "R7_essential_ppe_non_compliance": 0.5}, "cue_confidence": 0.9, "diagnostic_notes": "L'operatore con la maglietta rosa inserisce mani e parte della testa all'interno dell'area di lavoro di una pressa a iniezione, esponendosi a potenziali punti di schiacciamento. Non è visibile se la macchina sia stata messa in sicurezza (es. LOTO) prima dell'intervento. Entrambi gli operatori sono in stretta prossimità con la macchina. I guanti sono indossati, ma non è visibile alcuna protezione per la testa, che potrebbe essere necessaria in un ambiente industriale o durante interventi su macchinari."}</t>
        </is>
      </c>
      <c r="F13" t="inlineStr">
        <is>
          <t>{"causal_chain_plausible": true, "causal_chain_text": "L'operatore con maglietta rosa inserisce mani e parte della testa nell'area di lavoro di una pressa a iniezione. Se la macchina non è stata adeguatamente messa in sicurezza (es. blocco/tagout), un avvio inatteso o un movimento improvviso delle parti mobili può causare il contatto con le mani o la testa dell'operatore, portando a un near miss o incidente. La prossimità di entrambi gli operatori aumenta il rischio.", "near_miss_or_incident_scenario": "Un avvio improvviso o un movimento inatteso della pressa a iniezione mentre l'operatore con la maglietta rosa ha le mani e/o la testa all'interno dell'area di lavoro, causando lo schiacciamento o l'intrappolamento di mani o testa.", "contributing_factors": ["Inserimento di mani e testa nell'area di lavoro della macchina senza apparente messa in sicurezza.", "Prossimità eccessiva degli operatori alla zona operativa della macchina.", "Esposizione a punti di schiacciamento e parti pericolose.", "Mancanza di protezione per la testa (non visibile)."]}</t>
        </is>
      </c>
      <c r="G13" t="n">
        <v>90</v>
      </c>
      <c r="H13" t="inlineStr">
        <is>
          <t>L'operatore inserisce mani e testa nell'area di lavoro di una pressa a iniezione senza apparente messa in sicurezza, esponendosi a punti di schiacciamento critici. Il rischio di lesioni gravi o fatali a seguito di un avvio inatteso è estremamente elevato.</t>
        </is>
      </c>
      <c r="I13" t="n">
        <v>100</v>
      </c>
      <c r="J13" t="inlineStr">
        <is>
          <t>rosso</t>
        </is>
      </c>
      <c r="K13" t="n">
        <v>49.28</v>
      </c>
      <c r="L13" t="n">
        <v>67.78</v>
      </c>
      <c r="M13" t="inlineStr">
        <is>
          <t>arancione</t>
        </is>
      </c>
      <c r="N13" t="n">
        <v>0.9</v>
      </c>
      <c r="O13" t="inlineStr">
        <is>
          <t>L'operatore con la maglietta rosa inserisce mani e parte della testa all'interno dell'area di lavoro di una pressa a iniezione, esponendosi a potenziali punti di schiacciamento. Non è visibile se la macchina sia stata messa in sicurezza (es. LOTO) prima dell'intervento. Entrambi gli operatori sono in stretta prossimità con la macchina. I guanti sono indossati, ma non è visibile alcuna protezione per la testa, che potrebbe essere necessaria in un ambiente industriale o durante interventi su macchinari.</t>
        </is>
      </c>
      <c r="P13" t="n">
        <v>0</v>
      </c>
      <c r="Q13" t="n">
        <v>0.0067</v>
      </c>
      <c r="R13" t="n">
        <v>0.237</v>
      </c>
      <c r="S13" t="n">
        <v>0.1588</v>
      </c>
      <c r="T13" t="n">
        <v>0.32</v>
      </c>
      <c r="U13" t="n">
        <v>0</v>
      </c>
      <c r="V13" t="n">
        <v>0</v>
      </c>
      <c r="W13" t="n">
        <v>0.066</v>
      </c>
      <c r="X13" t="n">
        <v>0</v>
      </c>
      <c r="Y13" t="n">
        <v>0</v>
      </c>
      <c r="Z13" t="n">
        <v>0</v>
      </c>
      <c r="AA13" t="n">
        <v>0.0067</v>
      </c>
      <c r="AB13" t="n">
        <v>0.144</v>
      </c>
      <c r="AC13" t="n">
        <v>0.0965</v>
      </c>
      <c r="AD13" t="n">
        <v>0.2</v>
      </c>
      <c r="AE13" t="n">
        <v>0.75</v>
      </c>
      <c r="AF13" t="n">
        <v>0.9734</v>
      </c>
      <c r="AG13" t="n">
        <v>0.38</v>
      </c>
      <c r="AH13" t="n">
        <v>36.9892</v>
      </c>
      <c r="AI13" t="n">
        <v>75.06</v>
      </c>
      <c r="AJ13" t="n">
        <v>0.75</v>
      </c>
      <c r="AK13" t="n">
        <v>0.5625</v>
      </c>
      <c r="AL13" t="n">
        <v>0.044</v>
      </c>
      <c r="AM13" t="n">
        <v>2.475</v>
      </c>
      <c r="AN13" t="n">
        <v>5.02</v>
      </c>
      <c r="AO13" t="n">
        <v>0.75</v>
      </c>
      <c r="AP13" t="n">
        <v>0.8080000000000001</v>
      </c>
      <c r="AQ13" t="n">
        <v>0.101</v>
      </c>
      <c r="AR13" t="n">
        <v>8.1608</v>
      </c>
      <c r="AS13" t="n">
        <v>16.56</v>
      </c>
      <c r="AT13" t="n">
        <v>0.5</v>
      </c>
      <c r="AU13" t="n">
        <v>0.5</v>
      </c>
      <c r="AV13" t="n">
        <v>0.028</v>
      </c>
      <c r="AW13" t="n">
        <v>1.4</v>
      </c>
      <c r="AX13" t="n">
        <v>2.84</v>
      </c>
    </row>
    <row r="14">
      <c r="A14" t="n">
        <v>12</v>
      </c>
      <c r="B14" t="n">
        <v>24</v>
      </c>
      <c r="C14" t="n">
        <v>28</v>
      </c>
      <c r="D14" t="inlineStr">
        <is>
          <t>{"scene_state": "Scena interna di un ambiente industriale o di fabbrica.", "environmental_conditions": ["Ambiente interno ben illuminato.", "Scaffali con oggetti colorati visibili sullo sfondo."], "actors": ["Un individuo (uomo) in primo piano, parzialmente visibile (testa e spalle), con una maglietta chiara.", "Un altro individuo (uomo) a sinistra, con un cappellino nero, una maglietta rosa chiaro/pesca e guanti blu."], "objects": ["Scaffali con vari oggetti in plastica colorati (cestini/contenitori).", "Uno sgabello o tavolino bianco.", "Una penna/pennarello sullo sgabello/tavolino.", "Un oggetto nero (possibilmente un contenitore) sul pavimento."], "machines": ["Una grande macchina industriale arancione (probabilmente una pressa a iniezione) con un cancello di sicurezza aperto.", "Un pannello di controllo con schermo sulla destra della macchina."], "observable_actions": ["L'individuo in primo piano osserva la macchina.", "L'individuo a sinistra è in piedi vicino alla macchina, la osserva e sembra raggiungere l'interno della macchina con la mano guantata."], "notes_visibility_limitations": "La vista dell'interno della macchina è parzialmente ostruita dal cancello aperto e dagli individui. Il corpo intero della persona in primo piano non è visibile."}</t>
        </is>
      </c>
      <c r="E14" t="inlineStr">
        <is>
          <t>{"unsafe_behaviors": ["Raggiungere l'interno di una macchina industriale con il cancello di sicurezza aperto.", "Interagire con macchinari potenzialmente pericolosi senza l'uso di DPI essenziali come elmetto e occhiali di sicurezza.", "Permanere in una zona critica di una macchina con un comportamento non sicuro."], "vulnerable_elements": ["Mani e braccia dell'operatore (esposte a punti di schiacciamento e organi in movimento).", "Testa e occhi dell'operatore (per mancanza di elmetto e occhiali di sicurezza)."], "risk_cues": {"R1_pedestrian_vehicle_interference": 0.0, "R2_pedestrian_segregation_violation": 0.0, "R3_load_storage_instability": 0.0, "R4_crush_points_dangerous_parts_exposure": 1.0, "R5_unsafe_operational_proximity": 1.0, "R6_unsafe_behavior_posture_manoeuvre": 1.0, "R7_essential_ppe_non_compliance": 0.75}, "cue_confidence": 1.0, "diagnostic_notes": "La scena mostra un operatore che raggiunge l'interno di una grande macchina industriale (probabilmente una pressa a iniezione) con il cancello di sicurezza aperto, esponendosi a punti di schiacciamento e organi pericolosi. Questa è una grave violazione delle procedure di sicurezza. Inoltre, entrambi gli individui non indossano elmetti o occhiali di sicurezza, DPI essenziali in un ambiente industriale con macchinari pesanti. I guanti sono presenti, ma non compensano la mancanza di altri DPI critici e il comportamento non sicuro."}</t>
        </is>
      </c>
      <c r="F14" t="inlineStr">
        <is>
          <t>{"causal_chain_plausible": true, "causal_chain_text": "L'individuo a sinistra introduce la mano guantata all'interno della macchina industriale (probabilmente una pressa a iniezione) con il cancello di sicurezza aperto. Questo bypassa le protezioni e espone la mano a organi in movimento o punti di schiacciamento. Un'attivazione inattesa o un ciclo macchina non controllato può causare un infortunio.", "near_miss_or_incident_scenario": "L'operatore subisce lo schiacciamento o l'intrappolamento della mano/braccio a causa dell'attivazione improvvisa o del movimento di componenti interni della macchina mentre la sua mano è all'interno.", "contributing_factors": ["Violazione delle procedure di sicurezza (cancello di protezione aperto durante l'interazione).", "Comportamento non sicuro (introduzione della mano in zona pericolosa della macchina).", "Esposizione a punti di schiacciamento e organi in movimento della macchina.", "Mancanza di DPI essenziali (elmetto e occhiali di sicurezza) per entrambi gli individui."]}</t>
        </is>
      </c>
      <c r="G14" t="n">
        <v>95</v>
      </c>
      <c r="H14" t="inlineStr">
        <is>
          <t>L'operatore sta introducendo la mano all'interno di una macchina industriale con il cancello di sicurezza aperto, esponendosi a punti di schiacciamento e organi in movimento. Questo comportamento estremamente pericoloso, unito alla mancanza di DPI essenziali, crea un rischio elevato e immediato di infortunio grave.</t>
        </is>
      </c>
      <c r="I14" t="n">
        <v>100</v>
      </c>
      <c r="J14" t="inlineStr">
        <is>
          <t>rosso</t>
        </is>
      </c>
      <c r="K14" t="n">
        <v>52.98</v>
      </c>
      <c r="L14" t="n">
        <v>64.81999999999999</v>
      </c>
      <c r="M14" t="inlineStr">
        <is>
          <t>arancione</t>
        </is>
      </c>
      <c r="N14" t="n">
        <v>1</v>
      </c>
      <c r="O14" t="inlineStr">
        <is>
          <t>La scena mostra un operatore che raggiunge l'interno di una grande macchina industriale (probabilmente una pressa a iniezione) con il cancello di sicurezza aperto, esponendosi a punti di schiacciamento e organi pericolosi. Questa è una grave violazione delle procedure di sicurezza. Inoltre, entrambi gli individui non indossano elmetti o occhiali di sicurezza, DPI essenziali in un ambiente industriale con macchinari pesanti. I guanti sono presenti, ma non compensano la mancanza di altri DPI critici e il comportamento non sicuro.</t>
        </is>
      </c>
      <c r="P14" t="n">
        <v>0</v>
      </c>
      <c r="Q14" t="n">
        <v>0.0067</v>
      </c>
      <c r="R14" t="n">
        <v>0.237</v>
      </c>
      <c r="S14" t="n">
        <v>0.1588</v>
      </c>
      <c r="T14" t="n">
        <v>0.3</v>
      </c>
      <c r="U14" t="n">
        <v>0</v>
      </c>
      <c r="V14" t="n">
        <v>0</v>
      </c>
      <c r="W14" t="n">
        <v>0.066</v>
      </c>
      <c r="X14" t="n">
        <v>0</v>
      </c>
      <c r="Y14" t="n">
        <v>0</v>
      </c>
      <c r="Z14" t="n">
        <v>0</v>
      </c>
      <c r="AA14" t="n">
        <v>0.0067</v>
      </c>
      <c r="AB14" t="n">
        <v>0.144</v>
      </c>
      <c r="AC14" t="n">
        <v>0.0965</v>
      </c>
      <c r="AD14" t="n">
        <v>0.18</v>
      </c>
      <c r="AE14" t="n">
        <v>1</v>
      </c>
      <c r="AF14" t="n">
        <v>0.9986</v>
      </c>
      <c r="AG14" t="n">
        <v>0.38</v>
      </c>
      <c r="AH14" t="n">
        <v>37.9468</v>
      </c>
      <c r="AI14" t="n">
        <v>71.62</v>
      </c>
      <c r="AJ14" t="n">
        <v>1</v>
      </c>
      <c r="AK14" t="n">
        <v>1</v>
      </c>
      <c r="AL14" t="n">
        <v>0.044</v>
      </c>
      <c r="AM14" t="n">
        <v>4.4</v>
      </c>
      <c r="AN14" t="n">
        <v>8.31</v>
      </c>
      <c r="AO14" t="n">
        <v>1</v>
      </c>
      <c r="AP14" t="n">
        <v>0.8892</v>
      </c>
      <c r="AQ14" t="n">
        <v>0.101</v>
      </c>
      <c r="AR14" t="n">
        <v>8.9809</v>
      </c>
      <c r="AS14" t="n">
        <v>16.95</v>
      </c>
      <c r="AT14" t="n">
        <v>0.75</v>
      </c>
      <c r="AU14" t="n">
        <v>0.5</v>
      </c>
      <c r="AV14" t="n">
        <v>0.028</v>
      </c>
      <c r="AW14" t="n">
        <v>1.4</v>
      </c>
      <c r="AX14" t="n">
        <v>2.64</v>
      </c>
    </row>
    <row r="15">
      <c r="A15" t="n">
        <v>13</v>
      </c>
      <c r="B15" t="n">
        <v>26</v>
      </c>
      <c r="C15" t="n">
        <v>30</v>
      </c>
      <c r="D15" t="inlineStr">
        <is>
          <t>{"scene_state": "Scena interna di un ambiente industriale o di produzione.", "environmental_conditions": ["Illuminazione adeguata", "Ambiente interno"], "actors": ["Una persona con cappellino nero e maglietta chiara, in piedi sul lato sinistro.", "Una persona con capelli corti, con guanto blu sulla mano destra, parzialmente visibile in primo piano a destra, che osserva la macchina.", "Una terza persona appare brevemente sullo sfondo a sinistra."], "objects": ["Scaffali con oggetti impilati di plastica colorata (cestini o contenitori).", "Uno sgabello o tavolino bianco davanti alla persona con il cappellino.", "Un piccolo oggetto rosso sullo sgabello/tavolino.", "Un oggetto cilindrico nero sul pavimento."], "machines": ["Una grande macchina industriale arancione (probabilmente una pressa a iniezione) con un pannello di controllo e schermo blu visibile."], "observable_actions": ["La persona con il cappellino è in piedi e osserva.", "La persona con il guanto blu è in piedi accanto alla macchina, con la mano destra vicino all'apertura o al pannello della macchina.", "La macchina sembra essere in funzione o in fase di osservazione/regolazione.", "Una terza persona cammina brevemente sullo sfondo."], "notes_visibility_limitations": "La persona in primo piano a destra è parzialmente fuori dall'inquadratura. I dettagli esatti del funzionamento della macchina non sono completamente chiari."}</t>
        </is>
      </c>
      <c r="E15" t="inlineStr">
        <is>
          <t>{"unsafe_behaviors": ["Mano dell'operatore in prossimità di un'apertura o punto di schiacciamento di una grande macchina industriale.", "Interazione con macchinario industriale senza apparente utilizzo di tutti i DPI essenziali (es. occhiali di protezione, casco)."], "vulnerable_elements": ["Mano dell'operatore (esposta a potenziali punti di schiacciamento o organi in movimento).", "Operatori in generale (a causa della prossimità a macchinari pesanti e potenziale carenza di DPI)."], "risk_cues": {"R1_pedestrian_vehicle_interference": 0.0, "R2_pedestrian_segregation_violation": 0.0, "R3_load_storage_instability": 0.0, "R4_crush_points_dangerous_parts_exposure": 0.75, "R5_unsafe_operational_proximity": 0.75, "R6_unsafe_behavior_posture_manoeuvre": 0.5, "R7_essential_ppe_non_compliance": 0.5}, "cue_confidence": 0.8, "diagnostic_notes": "La persona con il guanto blu ha la mano destra vicino all'apertura di una grande macchina industriale (probabilmente una pressa a iniezione), creando un rischio elevato di esposizione a punti di schiacciamento. La prossimità operativa è pericolosa. Sebbene un guanto sia visibile, l'assenza di altri DPI comuni in ambienti industriali (es. occhiali di protezione, casco) solleva dubbi sulla conformità. Lo stato operativo esatto della macchina non è completamente chiaro, ma il potenziale di rischio è significativo."}</t>
        </is>
      </c>
      <c r="F15" t="inlineStr">
        <is>
          <t>{"causal_chain_plausible": true, "causal_chain_text": "L'operatore posiziona la mano in una zona pericolosa di una grande macchina industriale. Un movimento inatteso o un'attivazione improvvisa della macchina porta al contatto della mano con un punto di schiacciamento o parti in movimento, causando un infortunio.", "near_miss_or_incident_scenario": "La mano dell'operatore viene schiacciata o intrappolata tra le parti mobili della macchina industriale (es. stampo o meccanismo di chiusura) a causa di un movimento inatteso o di un'attivazione accidentale.", "contributing_factors": ["Comportamento non sicuro (mano in zona pericolosa)", "Prossimità operativa non sicura alla macchina", "Potenziale assenza di protezioni di sicurezza (es. interblocchi)", "Mancanza di DPI essenziali (es. occhiali, casco)"]}</t>
        </is>
      </c>
      <c r="G15" t="n">
        <v>75</v>
      </c>
      <c r="H15" t="inlineStr">
        <is>
          <t>La mano dell'operatore è in prossimità di un punto di schiacciamento di una grande macchina industriale, creando un rischio elevato di infortunio grave. La prossimità operativa è pericolosa e l'assenza di DPI essenziali aumenta il rischio.</t>
        </is>
      </c>
      <c r="I15" t="n">
        <v>90</v>
      </c>
      <c r="J15" t="inlineStr">
        <is>
          <t>rosso</t>
        </is>
      </c>
      <c r="K15" t="n">
        <v>47.86</v>
      </c>
      <c r="L15" t="n">
        <v>58.04</v>
      </c>
      <c r="M15" t="inlineStr">
        <is>
          <t>arancione</t>
        </is>
      </c>
      <c r="N15" t="n">
        <v>0.8</v>
      </c>
      <c r="O15" t="inlineStr">
        <is>
          <t>La persona con il guanto blu ha la mano destra vicino all'apertura di una grande macchina industriale (probabilmente una pressa a iniezione), creando un rischio elevato di esposizione a punti di schiacciamento. La prossimità operativa è pericolosa. Sebbene un guanto sia visibile, l'assenza di altri DPI comuni in ambienti industriali (es. occhiali di protezione, casco) solleva dubbi sulla conformità. Lo stato operativo esatto della macchina non è completamente chiaro, ma il potenziale di rischio è significativo.</t>
        </is>
      </c>
      <c r="P15" t="n">
        <v>0</v>
      </c>
      <c r="Q15" t="n">
        <v>0.0067</v>
      </c>
      <c r="R15" t="n">
        <v>0.237</v>
      </c>
      <c r="S15" t="n">
        <v>0.1588</v>
      </c>
      <c r="T15" t="n">
        <v>0.33</v>
      </c>
      <c r="U15" t="n">
        <v>0</v>
      </c>
      <c r="V15" t="n">
        <v>0</v>
      </c>
      <c r="W15" t="n">
        <v>0.066</v>
      </c>
      <c r="X15" t="n">
        <v>0</v>
      </c>
      <c r="Y15" t="n">
        <v>0</v>
      </c>
      <c r="Z15" t="n">
        <v>0</v>
      </c>
      <c r="AA15" t="n">
        <v>0.0067</v>
      </c>
      <c r="AB15" t="n">
        <v>0.144</v>
      </c>
      <c r="AC15" t="n">
        <v>0.0965</v>
      </c>
      <c r="AD15" t="n">
        <v>0.2</v>
      </c>
      <c r="AE15" t="n">
        <v>0.75</v>
      </c>
      <c r="AF15" t="n">
        <v>0.9734</v>
      </c>
      <c r="AG15" t="n">
        <v>0.38</v>
      </c>
      <c r="AH15" t="n">
        <v>36.9892</v>
      </c>
      <c r="AI15" t="n">
        <v>77.29000000000001</v>
      </c>
      <c r="AJ15" t="n">
        <v>0.75</v>
      </c>
      <c r="AK15" t="n">
        <v>0.5625</v>
      </c>
      <c r="AL15" t="n">
        <v>0.044</v>
      </c>
      <c r="AM15" t="n">
        <v>2.475</v>
      </c>
      <c r="AN15" t="n">
        <v>5.17</v>
      </c>
      <c r="AO15" t="n">
        <v>0.5</v>
      </c>
      <c r="AP15" t="n">
        <v>0.6671</v>
      </c>
      <c r="AQ15" t="n">
        <v>0.101</v>
      </c>
      <c r="AR15" t="n">
        <v>6.7377</v>
      </c>
      <c r="AS15" t="n">
        <v>14.08</v>
      </c>
      <c r="AT15" t="n">
        <v>0.5</v>
      </c>
      <c r="AU15" t="n">
        <v>0.5</v>
      </c>
      <c r="AV15" t="n">
        <v>0.028</v>
      </c>
      <c r="AW15" t="n">
        <v>1.4</v>
      </c>
      <c r="AX15" t="n">
        <v>2.93</v>
      </c>
    </row>
    <row r="16">
      <c r="A16" t="n">
        <v>14</v>
      </c>
      <c r="B16" t="n">
        <v>28</v>
      </c>
      <c r="C16" t="n">
        <v>32</v>
      </c>
      <c r="D16" t="inlineStr">
        <is>
          <t>{"scene_state": "Ambiente industriale con tre individui presenti vicino a un macchinario di grandi dimensioni.", "environmental_conditions": ["Interno", "Ben illuminato", "Ambiente di fabbrica o officina"], "actors": [{"description": "Un uomo con maglietta rosa e cappellino nero, indossa guanti blu, tiene in mano uno smartphone e lo osserva."}, {"description": "Un uomo con maglietta grigia e guanti blu, parzialmente visibile, guarda verso l'alto, con una mano vicino al pannello di controllo della macchina."}, {"description": "Un uomo con maglietta a righe e cappellino nero, cammina sullo sfondo, sorride e gesticola con la mano destra."}], "objects": ["Smartphone (tenuto dall'uomo in maglietta rosa)", "Scaffali con contenitori o oggetti di plastica colorati (sullo sfondo)", "Piccolo sgabello o tavolo bianco (vicino all'uomo in maglietta rosa)"], "machines": ["Grande macchina industriale arancione (probabilmente una pressa a iniezione) con cancello di sicurezza aperto e pannello di controllo con schermo."], "observable_actions": ["L'uomo in maglietta rosa osserva e tiene in mano uno smartphone.", "L'uomo in maglietta grigia è in piedi vicino alla macchina, guarda verso l'alto e ha una mano vicino al pannello di controllo.", "L'uomo in maglietta a righe cammina sullo sfondo, sorride e gesticola."], "notes_visibility_limitations": "Nessuna limitazione significativa della visibilità; la scena è chiara."}</t>
        </is>
      </c>
      <c r="E16" t="inlineStr">
        <is>
          <t>{"unsafe_behaviors": ["Distrazione con smartphone in prossimità di macchinario industriale aperto.", "Permanenza in prossimità di un macchinario industriale con cancello di sicurezza aperto."], "vulnerable_elements": ["Operatori (in particolare quello distratto dallo smartphone)", "Macchinario industriale con cancello di sicurezza aperto"], "risk_cues": {"R1_pedestrian_vehicle_interference": 0.0, "R2_pedestrian_segregation_violation": 0.0, "R3_load_storage_instability": 0.0, "R4_crush_points_dangerous_parts_exposure": 0.75, "R5_unsafe_operational_proximity": 0.75, "R6_unsafe_behavior_posture_manoeuvre": 0.75, "R7_essential_ppe_non_compliance": 0.0}, "cue_confidence": 0.9, "diagnostic_notes": "La presenza di un operatore distratto da uno smartphone in prossimità di un macchinario industriale con il cancello di sicurezza aperto rappresenta un rischio significativo di esposizione a punti di schiacciamento o organi pericolosi. La macchina, sebbene non in movimento, presenta un'apertura che rende accessibili le sue parti interne."}</t>
        </is>
      </c>
      <c r="F16" t="inlineStr">
        <is>
          <t>{"causal_chain_plausible": true, "causal_chain_text": "Cancello di sicurezza della macchina aperto + operatore distratto da smartphone in prossimità + potenziale avvio inatteso della macchina -&gt; esposizione a parti in movimento/punti di schiacciamento.", "near_miss_or_incident_scenario": "L'operatore distratto dallo smartphone si avvicina troppo o inserisce involontariamente una parte del corpo nell'area pericolosa della macchina con cancello aperto. La macchina si avvia inaspettatamente, causando un near miss (es. sfioramento) o un incidente (es. schiacciamento).", "contributing_factors": ["Cancello di sicurezza della macchina aperto", "Distrazione dell'operatore con smartphone", "Presenza di personale in prossimità di area pericolosa", "Potenziale avvio inatteso della macchina"]}</t>
        </is>
      </c>
      <c r="G16" t="n">
        <v>90</v>
      </c>
      <c r="H16" t="inlineStr">
        <is>
          <t>Il cancello di sicurezza della macchina è aperto e un operatore è distratto da uno smartphone in prossimità, creando un rischio elevato di esposizione a punti di schiacciamento o parti pericolose. Questa combinazione di fattori aumenta drasticamente la probabilità di un incidente grave.</t>
        </is>
      </c>
      <c r="I16" t="n">
        <v>100</v>
      </c>
      <c r="J16" t="inlineStr">
        <is>
          <t>rosso</t>
        </is>
      </c>
      <c r="K16" t="n">
        <v>47.88</v>
      </c>
      <c r="L16" t="n">
        <v>53.99</v>
      </c>
      <c r="M16" t="inlineStr">
        <is>
          <t>arancione</t>
        </is>
      </c>
      <c r="N16" t="n">
        <v>0.9</v>
      </c>
      <c r="O16" t="inlineStr">
        <is>
          <t>La presenza di un operatore distratto da uno smartphone in prossimità di un macchinario industriale con il cancello di sicurezza aperto rappresenta un rischio significativo di esposizione a punti di schiacciamento o organi pericolosi. La macchina, sebbene non in movimento, presenta un'apertura che rende accessibili le sue parti interne.</t>
        </is>
      </c>
      <c r="P16" t="n">
        <v>0</v>
      </c>
      <c r="Q16" t="n">
        <v>0.0067</v>
      </c>
      <c r="R16" t="n">
        <v>0.237</v>
      </c>
      <c r="S16" t="n">
        <v>0.1588</v>
      </c>
      <c r="T16" t="n">
        <v>0.33</v>
      </c>
      <c r="U16" t="n">
        <v>0</v>
      </c>
      <c r="V16" t="n">
        <v>0</v>
      </c>
      <c r="W16" t="n">
        <v>0.066</v>
      </c>
      <c r="X16" t="n">
        <v>0</v>
      </c>
      <c r="Y16" t="n">
        <v>0</v>
      </c>
      <c r="Z16" t="n">
        <v>0</v>
      </c>
      <c r="AA16" t="n">
        <v>0.0067</v>
      </c>
      <c r="AB16" t="n">
        <v>0.144</v>
      </c>
      <c r="AC16" t="n">
        <v>0.0965</v>
      </c>
      <c r="AD16" t="n">
        <v>0.2</v>
      </c>
      <c r="AE16" t="n">
        <v>0.75</v>
      </c>
      <c r="AF16" t="n">
        <v>0.9734</v>
      </c>
      <c r="AG16" t="n">
        <v>0.38</v>
      </c>
      <c r="AH16" t="n">
        <v>36.9892</v>
      </c>
      <c r="AI16" t="n">
        <v>77.25</v>
      </c>
      <c r="AJ16" t="n">
        <v>0.75</v>
      </c>
      <c r="AK16" t="n">
        <v>0.5625</v>
      </c>
      <c r="AL16" t="n">
        <v>0.044</v>
      </c>
      <c r="AM16" t="n">
        <v>2.475</v>
      </c>
      <c r="AN16" t="n">
        <v>5.17</v>
      </c>
      <c r="AO16" t="n">
        <v>0.75</v>
      </c>
      <c r="AP16" t="n">
        <v>0.8080000000000001</v>
      </c>
      <c r="AQ16" t="n">
        <v>0.101</v>
      </c>
      <c r="AR16" t="n">
        <v>8.1608</v>
      </c>
      <c r="AS16" t="n">
        <v>17.04</v>
      </c>
      <c r="AT16" t="n">
        <v>0</v>
      </c>
      <c r="AU16" t="n">
        <v>0</v>
      </c>
      <c r="AV16" t="n">
        <v>0.028</v>
      </c>
      <c r="AW16" t="n">
        <v>0</v>
      </c>
      <c r="AX16" t="n">
        <v>0</v>
      </c>
    </row>
    <row r="17">
      <c r="A17" t="n">
        <v>15</v>
      </c>
      <c r="B17" t="n">
        <v>30</v>
      </c>
      <c r="C17" t="n">
        <v>34</v>
      </c>
      <c r="D17" t="inlineStr">
        <is>
          <t>{"scene_state": "Ambiente industriale con macchinari e personale.", "environmental_conditions": ["Illuminazione artificiale.", "Ambiente organizzato."], "actors": [{"description": "Uomo in maglietta rosa e cappellino nero, guanti blu, guarda smartphone."}, {"description": "Uomo in maglietta a righe, parzialmente visibile, si allontana."}, {"description": "Uomo in maglietta scura, guanti blu, osserva macchinario."}], "objects": [{"description": "Smartphone."}, {"description": "Guanti blu."}, {"description": "Articoli in plastica su scaffali."}, {"description": "Sgabello bianco."}, {"description": "Componenti industriali a terra."}], "machines": [{"description": "Grande macchina industriale arancione/bianca (probabilmente pressa ad iniezione) con pannello di controllo. Parti mobili in chiusura."}], "observable_actions": [{"description": "Uomo in rosa guarda smartphone."}, {"description": "Uomo a righe si allontana."}, {"description": "Uomo in scuro osserva macchina."}, {"description": "Parti mobili della macchina si chiudono."}], "notes_visibility_limitations": "Corpi di due uomini parzialmente occlusi o fuori campo. Funzione esatta del ciclo macchina deducibile dal movimento."}</t>
        </is>
      </c>
      <c r="E17" t="inlineStr">
        <is>
          <t>{"unsafe_behaviors": ["Distrazione dell'operatore (uso dello smartphone) in prossimità di macchinario in funzione.", "Prossimità eccessiva degli operatori a punti di schiacciamento attivi durante il ciclo macchina."], "vulnerable_elements": ["Operatori in prossimità di macchinario con parti in movimento.", "Punti di schiacciamento della macchina industriale."], "risk_cues": {"R1_pedestrian_vehicle_interference": 0.0, "R2_pedestrian_segregation_violation": 0.0, "R3_load_storage_instability": 0.0, "R4_crush_points_dangerous_parts_exposure": 0.75, "R5_unsafe_operational_proximity": 0.75, "R6_unsafe_behavior_posture_manoeuvre": 0.75, "R7_essential_ppe_non_compliance": 0.0}, "cue_confidence": 0.9, "diagnostic_notes": "La macchina industriale (probabilmente una pressa ad iniezione) è in fase di chiusura delle parti mobili, creando un punto di schiacciamento significativo. Un operatore è distratto dal suo smartphone mentre si trova in prossimità del macchinario in funzione. Un altro operatore è molto vicino alla macchina in movimento, osservandola. Entrambi gli operatori indossano guanti."}</t>
        </is>
      </c>
      <c r="F17" t="inlineStr">
        <is>
          <t>{"causal_chain_plausible": true, "causal_chain_text": "Operatore distratto o troppo vicino a macchina con parti mobili in chiusura -&gt; Mancata percezione del pericolo o tempo di reazione insufficiente -&gt; Contatto con punto di schiacciamento -&gt; Infortunio da schiacciamento.", "near_miss_or_incident_scenario": "Un operatore, a causa di distrazione (smartphone) o eccessiva prossimità, posiziona involontariamente una mano o un braccio nell'area di chiusura della macchina, subendo un infortunio da schiacciamento.", "contributing_factors": ["Distrazione dell'operatore (uso smartphone)", "Prossimità eccessiva a punti di schiacciamento attivi", "Macchinario in funzione con parti mobili esposte"]}</t>
        </is>
      </c>
      <c r="G17" t="n">
        <v>90</v>
      </c>
      <c r="H17" t="inlineStr">
        <is>
          <t>Il rischio è elevato a causa della combinazione di un macchinario con parti mobili in chiusura (punto di schiacciamento attivo) e la distrazione di un operatore con smartphone in prossimità. La vicinanza di un altro operatore alla macchina in movimento aumenta ulteriormente il pericolo di infortunio grave.</t>
        </is>
      </c>
      <c r="I17" t="n">
        <v>96</v>
      </c>
      <c r="J17" t="inlineStr">
        <is>
          <t>rosso</t>
        </is>
      </c>
      <c r="K17" t="n">
        <v>47.88</v>
      </c>
      <c r="L17" t="n">
        <v>51.55</v>
      </c>
      <c r="M17" t="inlineStr">
        <is>
          <t>arancione</t>
        </is>
      </c>
      <c r="N17" t="n">
        <v>0.9</v>
      </c>
      <c r="O17" t="inlineStr">
        <is>
          <t>La macchina industriale (probabilmente una pressa ad iniezione) è in fase di chiusura delle parti mobili, creando un punto di schiacciamento significativo. Un operatore è distratto dal suo smartphone mentre si trova in prossimità del macchinario in funzione. Un altro operatore è molto vicino alla macchina in movimento, osservandola. Entrambi gli operatori indossano guanti.</t>
        </is>
      </c>
      <c r="P17" t="n">
        <v>0</v>
      </c>
      <c r="Q17" t="n">
        <v>0.0067</v>
      </c>
      <c r="R17" t="n">
        <v>0.237</v>
      </c>
      <c r="S17" t="n">
        <v>0.1588</v>
      </c>
      <c r="T17" t="n">
        <v>0.33</v>
      </c>
      <c r="U17" t="n">
        <v>0</v>
      </c>
      <c r="V17" t="n">
        <v>0</v>
      </c>
      <c r="W17" t="n">
        <v>0.066</v>
      </c>
      <c r="X17" t="n">
        <v>0</v>
      </c>
      <c r="Y17" t="n">
        <v>0</v>
      </c>
      <c r="Z17" t="n">
        <v>0</v>
      </c>
      <c r="AA17" t="n">
        <v>0.0067</v>
      </c>
      <c r="AB17" t="n">
        <v>0.144</v>
      </c>
      <c r="AC17" t="n">
        <v>0.0965</v>
      </c>
      <c r="AD17" t="n">
        <v>0.2</v>
      </c>
      <c r="AE17" t="n">
        <v>0.75</v>
      </c>
      <c r="AF17" t="n">
        <v>0.9734</v>
      </c>
      <c r="AG17" t="n">
        <v>0.38</v>
      </c>
      <c r="AH17" t="n">
        <v>36.9892</v>
      </c>
      <c r="AI17" t="n">
        <v>77.25</v>
      </c>
      <c r="AJ17" t="n">
        <v>0.75</v>
      </c>
      <c r="AK17" t="n">
        <v>0.5625</v>
      </c>
      <c r="AL17" t="n">
        <v>0.044</v>
      </c>
      <c r="AM17" t="n">
        <v>2.475</v>
      </c>
      <c r="AN17" t="n">
        <v>5.17</v>
      </c>
      <c r="AO17" t="n">
        <v>0.75</v>
      </c>
      <c r="AP17" t="n">
        <v>0.8080000000000001</v>
      </c>
      <c r="AQ17" t="n">
        <v>0.101</v>
      </c>
      <c r="AR17" t="n">
        <v>8.1608</v>
      </c>
      <c r="AS17" t="n">
        <v>17.04</v>
      </c>
      <c r="AT17" t="n">
        <v>0</v>
      </c>
      <c r="AU17" t="n">
        <v>0</v>
      </c>
      <c r="AV17" t="n">
        <v>0.028</v>
      </c>
      <c r="AW17" t="n">
        <v>0</v>
      </c>
      <c r="AX17" t="n">
        <v>0</v>
      </c>
    </row>
    <row r="18">
      <c r="A18" t="n">
        <v>16</v>
      </c>
      <c r="B18" t="n">
        <v>32</v>
      </c>
      <c r="C18" t="n">
        <v>36</v>
      </c>
      <c r="D18" t="inlineStr">
        <is>
          <t>{"scene_state": "La scena si svolge in un ambiente industriale o di officina, probabilmente un impianto di produzione.", "environmental_conditions": ["Ambiente interno ben illuminato.", "Scaffali con oggetti colorati (possibilmente cesti di plastica) sullo sfondo.", "Pavimento in cemento."], "actors": ["Un uomo con maglietta rosa e berretto nero, parzialmente di spalle alla telecamera.", "Un uomo (parzialmente visibile, testa e spalla) in primo piano, con guanti blu.", "Una terza persona (parzialmente visibile, braccio e busto) sulla sinistra."], "objects": ["Cesti/contenitori di plastica colorati impilati su scaffali.", "Un tavolino/sgabello bianco vicino all'uomo con la maglietta rosa.", "Piccoli oggetti bianchi sul pavimento.", "Un piccolo attrezzo (possibilmente un cacciavite) tenuto dall'uomo con la maglietta rosa."], "machines": ["Una grande macchina industriale arancione e bianca, probabilmente una pressa a iniezione, con un pannello di controllo."], "observable_actions": ["L'uomo con la maglietta rosa si trova accanto alla macchina aperta.", "L'uomo con la maglietta rosa allunga la mano destra nell'apertura della macchina, manipolando qualcosa all'interno.", "La parte mobile della macchina (piastra) si sta leggermente chiudendo.", "L'uomo in primo piano osserva la macchina e l'altro uomo."], "notes_visibility_limitations": "L'uomo in primo piano ostruisce parzialmente la vista del pannello di controllo della macchina e delle azioni dell'uomo con la maglietta rosa. La natura esatta dell'oggetto manipolato all'interno della macchina non è chiaramente visibile."}</t>
        </is>
      </c>
      <c r="E18" t="inlineStr">
        <is>
          <t>{"unsafe_behaviors": ["L'operatore inserisce la mano all'interno di una macchina industriale (pressa a iniezione) mentre la parte mobile (piastra) si sta chiudendo.", "Manipolazione di componenti all'interno dell'area di lavoro di una macchina in movimento senza apparenti misure di sicurezza (es. blocco macchina)."], "vulnerable_elements": ["Mano e braccio destro dell'operatore.", "L'operatore stesso, esposto a gravi lesioni da schiacciamento."], "risk_cues": {"R1_pedestrian_vehicle_interference": 0.0, "R2_pedestrian_segregation_violation": 0.0, "R3_load_storage_instability": 0.0, "R4_crush_points_dangerous_parts_exposure": 1.0, "R5_unsafe_operational_proximity": 1.0, "R6_unsafe_behavior_posture_manoeuvre": 1.0, "R7_essential_ppe_non_compliance": 0.75}, "cue_confidence": 1.0, "diagnostic_notes": "L'operatore con la maglietta rosa inserisce la mano destra all'interno della pressa a iniezione mentre la piastra mobile si sta chiudendo, esponendosi a un rischio critico e imminente di schiacciamento. Non indossa guanti protettivi per la manipolazione all'interno della macchina."}</t>
        </is>
      </c>
      <c r="F18" t="inlineStr">
        <is>
          <t>{"causal_chain_plausible": true, "causal_chain_text": "L'operatore inserisce la mano destra nell'apertura della pressa a iniezione. Contemporaneamente, la piastra mobile della macchina si sta chiudendo. Questo porta al contatto della mano/braccio dell'operatore con le parti in movimento, causando schiacciamento o intrappolamento.", "near_miss_or_incident_scenario": "L'operatore subisce lo schiacciamento della mano o del braccio destro a causa della chiusura della piastra mobile della pressa a iniezione mentre la sua mano si trova all'interno dell'area di lavoro.", "contributing_factors": ["Inserimento della mano in una macchina industriale in movimento.", "Mancanza di blocco o arresto della macchina durante l'intervento.", "Esposizione diretta a punti di schiacciamento della macchina."]}</t>
        </is>
      </c>
      <c r="G18" t="n">
        <v>95</v>
      </c>
      <c r="H18" t="inlineStr">
        <is>
          <t>L'operatore ha inserito la mano all'interno di una pressa a iniezione in movimento mentre la piastra si sta chiudendo, esponendosi a un rischio critico e imminente di schiacciamento. Questa azione costituisce una grave violazione delle procedure di sicurezza con potenziale di lesioni gravissime.</t>
        </is>
      </c>
      <c r="I18" t="n">
        <v>99.59999999999999</v>
      </c>
      <c r="J18" t="inlineStr">
        <is>
          <t>rosso</t>
        </is>
      </c>
      <c r="K18" t="n">
        <v>52.98</v>
      </c>
      <c r="L18" t="n">
        <v>56.2</v>
      </c>
      <c r="M18" t="inlineStr">
        <is>
          <t>arancione</t>
        </is>
      </c>
      <c r="N18" t="n">
        <v>1</v>
      </c>
      <c r="O18" t="inlineStr">
        <is>
          <t>L'operatore con la maglietta rosa inserisce la mano destra all'interno della pressa a iniezione mentre la piastra mobile si sta chiudendo, esponendosi a un rischio critico e imminente di schiacciamento. Non indossa guanti protettivi per la manipolazione all'interno della macchina.</t>
        </is>
      </c>
      <c r="P18" t="n">
        <v>0</v>
      </c>
      <c r="Q18" t="n">
        <v>0.0067</v>
      </c>
      <c r="R18" t="n">
        <v>0.237</v>
      </c>
      <c r="S18" t="n">
        <v>0.1588</v>
      </c>
      <c r="T18" t="n">
        <v>0.3</v>
      </c>
      <c r="U18" t="n">
        <v>0</v>
      </c>
      <c r="V18" t="n">
        <v>0</v>
      </c>
      <c r="W18" t="n">
        <v>0.066</v>
      </c>
      <c r="X18" t="n">
        <v>0</v>
      </c>
      <c r="Y18" t="n">
        <v>0</v>
      </c>
      <c r="Z18" t="n">
        <v>0</v>
      </c>
      <c r="AA18" t="n">
        <v>0.0067</v>
      </c>
      <c r="AB18" t="n">
        <v>0.144</v>
      </c>
      <c r="AC18" t="n">
        <v>0.0965</v>
      </c>
      <c r="AD18" t="n">
        <v>0.18</v>
      </c>
      <c r="AE18" t="n">
        <v>1</v>
      </c>
      <c r="AF18" t="n">
        <v>0.9986</v>
      </c>
      <c r="AG18" t="n">
        <v>0.38</v>
      </c>
      <c r="AH18" t="n">
        <v>37.9468</v>
      </c>
      <c r="AI18" t="n">
        <v>71.62</v>
      </c>
      <c r="AJ18" t="n">
        <v>1</v>
      </c>
      <c r="AK18" t="n">
        <v>1</v>
      </c>
      <c r="AL18" t="n">
        <v>0.044</v>
      </c>
      <c r="AM18" t="n">
        <v>4.4</v>
      </c>
      <c r="AN18" t="n">
        <v>8.31</v>
      </c>
      <c r="AO18" t="n">
        <v>1</v>
      </c>
      <c r="AP18" t="n">
        <v>0.8892</v>
      </c>
      <c r="AQ18" t="n">
        <v>0.101</v>
      </c>
      <c r="AR18" t="n">
        <v>8.9809</v>
      </c>
      <c r="AS18" t="n">
        <v>16.95</v>
      </c>
      <c r="AT18" t="n">
        <v>0.75</v>
      </c>
      <c r="AU18" t="n">
        <v>0.5</v>
      </c>
      <c r="AV18" t="n">
        <v>0.028</v>
      </c>
      <c r="AW18" t="n">
        <v>1.4</v>
      </c>
      <c r="AX18" t="n">
        <v>2.64</v>
      </c>
    </row>
    <row r="19">
      <c r="A19" t="n">
        <v>17</v>
      </c>
      <c r="B19" t="n">
        <v>34</v>
      </c>
      <c r="C19" t="n">
        <v>38</v>
      </c>
      <c r="D19" t="inlineStr">
        <is>
          <t>{"scene_state": "La scena è un ambiente industriale, probabilmente un'officina o un'area di produzione, con macchinari e aree di stoccaggio visibili sullo sfondo.", "environmental_conditions": ["L'illuminazione è buona e uniforme.", "L'area di lavoro intorno alla macchina appare relativamente ordinata."], "actors": [{"id": "individuo_1", "description": "Un uomo con maglietta rosa, cappellino nero e guanti blu, posizionato di fronte alla macchina."}, {"id": "individuo_2", "description": "Un uomo parzialmente visibile in primo piano, con maglietta scura, che osserva la scena."}], "objects": ["Cesti di plastica colorati impilati su scaffali", "Sacchi bianchi impilati", "Un contenitore cilindrico nero", "Una superficie bianca con oggetti simili a penne/matite"], "machines": ["Una grande macchina industriale arancione e bianca con etichetta 'MR', dotata di pannello di controllo digitale e schermo blu. La macchina ha un'apertura laterale."], "observable_actions": ["L'individuo 1 inserisce il braccio destro nell'apertura della macchina.", "L'individuo 1 ritira il braccio dalla macchina e si raddrizza.", "L'individuo 2 osserva l'individuo 1 e la macchina."], "notes_visibility_limitations": "L'individuo 2 è visibile solo parzialmente. L'interno esatto della macchina non è chiaramente visibile. La parte superiore della macchina è fuori campo."}</t>
        </is>
      </c>
      <c r="E19" t="inlineStr">
        <is>
          <t>{"unsafe_behaviors": ["L'individuo 1 inserisce il braccio destro all'interno dell'apertura di una macchina industriale, esponendosi a rischi di schiacciamento o intrappolamento."], "vulnerable_elements": ["L'individuo 1", "Il braccio destro dell'individuo 1"], "risk_cues": {"R1_pedestrian_vehicle_interference": 0.0, "R2_pedestrian_segregation_violation": 0.0, "R3_load_storage_instability": 0.0, "R4_crush_points_dangerous_parts_exposure": 1.0, "R5_unsafe_operational_proximity": 1.0, "R6_unsafe_behavior_posture_manoeuvre": 1.0, "R7_essential_ppe_non_compliance": 0.0}, "cue_confidence": 1.0, "diagnostic_notes": "L'individuo 1 inserisce il braccio destro all'interno dell'apertura di una macchina industriale, che appare essere una pressa o una macchina per stampaggio a iniezione. Questa azione espone l'operatore a gravi rischi di schiacciamento o intrappolamento da parti in movimento. Il comportamento è altamente non conforme alle procedure di sicurezza standard per l'interazione con macchinari industriali. I guanti sono indossati, ma non mitigano il rischio intrinseco dell'azione."}</t>
        </is>
      </c>
      <c r="F19" t="inlineStr">
        <is>
          <t>{"causal_chain_plausible": true, "causal_chain_text": "L'individuo 1 inserisce il braccio destro nell'apertura di una macchina industriale. Se la macchina si attiva inaspettatamente o una parte mobile si muove, il braccio dell'individuo 1 può subire schiacciamento o intrappolamento.", "near_miss_or_incident_scenario": "Mentre l'individuo 1 ha il braccio all'interno dell'apertura della macchina, un meccanismo interno si attiva improvvisamente, causando il blocco o lo schiacciamento del suo braccio.", "contributing_factors": ["Comportamento non sicuro dell'individuo 1 (inserimento del braccio in un'apertura di macchina industriale).", "Esposizione a punti di schiacciamento/parti pericolose della macchina (R4).", "Prossimità operativa non sicura a parti potenzialmente in movimento (R5).", "Mancanza di rispetto delle procedure di sicurezza per l'interazione con macchinari (R6)."]}</t>
        </is>
      </c>
      <c r="G19" t="n">
        <v>95</v>
      </c>
      <c r="H19" t="inlineStr">
        <is>
          <t>L'individuo sta inserendo il braccio direttamente in un'apertura di una macchina industriale, esponendosi a un rischio immediato e grave di schiacciamento o intrappolamento. Questo comportamento è altamente non conforme alle procedure di sicurezza e può causare lesioni severe.</t>
        </is>
      </c>
      <c r="I19" t="n">
        <v>97.76000000000001</v>
      </c>
      <c r="J19" t="inlineStr">
        <is>
          <t>rosso</t>
        </is>
      </c>
      <c r="K19" t="n">
        <v>51.58</v>
      </c>
      <c r="L19" t="n">
        <v>54.35</v>
      </c>
      <c r="M19" t="inlineStr">
        <is>
          <t>arancione</t>
        </is>
      </c>
      <c r="N19" t="n">
        <v>1</v>
      </c>
      <c r="O19" t="inlineStr">
        <is>
          <t>L'individuo 1 inserisce il braccio destro all'interno dell'apertura di una macchina industriale, che appare essere una pressa o una macchina per stampaggio a iniezione. Questa azione espone l'operatore a gravi rischi di schiacciamento o intrappolamento da parti in movimento. Il comportamento è altamente non conforme alle procedure di sicurezza standard per l'interazione con macchinari industriali. I guanti sono indossati, ma non mitigano il rischio intrinseco dell'azione.</t>
        </is>
      </c>
      <c r="P19" t="n">
        <v>0</v>
      </c>
      <c r="Q19" t="n">
        <v>0.0067</v>
      </c>
      <c r="R19" t="n">
        <v>0.237</v>
      </c>
      <c r="S19" t="n">
        <v>0.1588</v>
      </c>
      <c r="T19" t="n">
        <v>0.31</v>
      </c>
      <c r="U19" t="n">
        <v>0</v>
      </c>
      <c r="V19" t="n">
        <v>0</v>
      </c>
      <c r="W19" t="n">
        <v>0.066</v>
      </c>
      <c r="X19" t="n">
        <v>0</v>
      </c>
      <c r="Y19" t="n">
        <v>0</v>
      </c>
      <c r="Z19" t="n">
        <v>0</v>
      </c>
      <c r="AA19" t="n">
        <v>0.0067</v>
      </c>
      <c r="AB19" t="n">
        <v>0.144</v>
      </c>
      <c r="AC19" t="n">
        <v>0.0965</v>
      </c>
      <c r="AD19" t="n">
        <v>0.19</v>
      </c>
      <c r="AE19" t="n">
        <v>1</v>
      </c>
      <c r="AF19" t="n">
        <v>0.9986</v>
      </c>
      <c r="AG19" t="n">
        <v>0.38</v>
      </c>
      <c r="AH19" t="n">
        <v>37.9468</v>
      </c>
      <c r="AI19" t="n">
        <v>73.56999999999999</v>
      </c>
      <c r="AJ19" t="n">
        <v>1</v>
      </c>
      <c r="AK19" t="n">
        <v>1</v>
      </c>
      <c r="AL19" t="n">
        <v>0.044</v>
      </c>
      <c r="AM19" t="n">
        <v>4.4</v>
      </c>
      <c r="AN19" t="n">
        <v>8.529999999999999</v>
      </c>
      <c r="AO19" t="n">
        <v>1</v>
      </c>
      <c r="AP19" t="n">
        <v>0.8892</v>
      </c>
      <c r="AQ19" t="n">
        <v>0.101</v>
      </c>
      <c r="AR19" t="n">
        <v>8.9809</v>
      </c>
      <c r="AS19" t="n">
        <v>17.41</v>
      </c>
      <c r="AT19" t="n">
        <v>0</v>
      </c>
      <c r="AU19" t="n">
        <v>0</v>
      </c>
      <c r="AV19" t="n">
        <v>0.028</v>
      </c>
      <c r="AW19" t="n">
        <v>0</v>
      </c>
      <c r="AX19" t="n">
        <v>0</v>
      </c>
    </row>
    <row r="20">
      <c r="A20" t="n">
        <v>18</v>
      </c>
      <c r="B20" t="n">
        <v>36</v>
      </c>
      <c r="C20" t="n">
        <v>40</v>
      </c>
      <c r="D20" t="inlineStr">
        <is>
          <t>{"scene_state": "La scena si svolge in un ambiente industriale o di fabbrica, con macchinari e aree di stoccaggio visibili.", "environmental_conditions": ["Illuminazione interna, probabilmente artificiale.", "L'ambiente appare organizzato in alcune aree, con prodotti impilati su scaffali."], "actors": [{"id": "attore_1", "description": "Un uomo con maglietta rosa, cappellino nero con logo bianco, e un guanto blu sulla mano destra. Si trova in piedi di fronte a un macchinario."}, {"id": "attore_2", "description": "Un uomo parzialmente visibile in primo piano (testa e spalla destra), che sembra osservare l'attore 1."}, {"id": "attore_3", "description": "Un uomo con maglietta a righe, visibile brevemente sul lato sinistro della scena."}], "objects": ["Scaffali con prodotti impilati (simili a sedie o contenitori colorati) sullo sfondo a sinistra.", "Diversi sacchi bianchi a terra.", "Un piccolo sgabello o tavolino bianco con alcuni oggetti (simili a penne o matite) sopra.", "Un contenitore cilindrico nero a terra sul lato sinistro."], "machines": ["Una grande macchina industriale di colore arancione e grigio, con un pannello di controllo digitale illuminato di blu. Presenta la scritta 'MIR' su un lato."], "observable_actions": ["L'attore 1 si china e guarda all'interno del macchinario arancione, armeggiando con la mano guantata sul bordo o all'interno del macchinario.", "L'attore 2 osserva l'attore 1.", "L'attore 3 si muove brevemente sul lato sinistro della scena."], "notes_visibility_limitations": "L'attore 2 in primo piano occlude parzialmente la vista dell'attore 1 e del macchinario. La parte interna del macchinario non è completamente visibile. La parte inferiore del corpo degli attori non è sempre visibile."}</t>
        </is>
      </c>
      <c r="E20" t="inlineStr">
        <is>
          <t>{"unsafe_behaviors": ["Inserimento di una parte del corpo (mano/braccio) all'interno dell'area operativa di una macchina industriale senza apparenti procedure di sicurezza (es. lockout/tagout).", "Permanenza in una zona critica con comportamento non sicuro."], "vulnerable_elements": ["Mano e braccio destro dell'attore 1", "Corpo dell'attore 1"], "risk_cues": {"R1_pedestrian_vehicle_interference": 0.0, "R2_pedestrian_segregation_violation": 0.0, "R3_load_storage_instability": 0.0, "R4_crush_points_dangerous_parts_exposure": 1.0, "R5_unsafe_operational_proximity": 1.0, "R6_unsafe_behavior_posture_manoeuvre": 1.0, "R7_essential_ppe_non_compliance": 0.5}, "cue_confidence": 0.9, "diagnostic_notes": "L'attore 1 inserisce la mano e il braccio destro all'interno dell'apertura di una grande macchina industriale (probabilmente una pressa a iniezione), esponendosi a un rischio critico di schiacciamento. Non sono visibili procedure di blocco/sblocco (lockout/tagout). Sebbene sia presente un guanto, è inadeguato per il rischio di schiacciamento. L'attore 2 è in prossimità, osservando l'azione pericolosa."}</t>
        </is>
      </c>
      <c r="F20" t="inlineStr">
        <is>
          <t>{"causal_chain_plausible": true, "causal_chain_text": "L'attore 1 inserisce la mano/braccio nell'area operativa del macchinario (comportamento non sicuro). In assenza di procedure di blocco/sblocco (lockout/tagout) o di un'attivazione accidentale/inaspettata del macchinario, si verifica un contatto con parti in movimento o un evento di schiacciamento.", "near_miss_or_incident_scenario": "La mano o il braccio destro dell'attore 1 viene intrappolato o schiacciato dalle parti mobili del macchinario industriale a seguito di un'attivazione improvvisa o inattesa mentre l'arto si trova all'interno dell'area operativa.", "contributing_factors": ["Comportamento non sicuro dell'attore 1 (inserimento arto in zona pericolosa).", "Mancanza di visibili procedure di sicurezza (es. lockout/tagout) per prevenire l'attivazione del macchinario.", "Esposizione a punti di schiacciamento e parti pericolose del macchinario.", "PPE (guanto) inadeguato per il rischio di schiacciamento."]}</t>
        </is>
      </c>
      <c r="G20" t="n">
        <v>90</v>
      </c>
      <c r="H20" t="inlineStr">
        <is>
          <t>L'attore inserisce direttamente un arto nell'area operativa di un macchinario industriale, esponendosi a un rischio critico di schiacciamento. L'assenza di procedure di sicurezza visibili (es. lockout/tagout) e il PPE inadeguato aggravano significativamente il pericolo.</t>
        </is>
      </c>
      <c r="I20" t="n">
        <v>94.66</v>
      </c>
      <c r="J20" t="inlineStr">
        <is>
          <t>rosso</t>
        </is>
      </c>
      <c r="K20" t="n">
        <v>52.98</v>
      </c>
      <c r="L20" t="n">
        <v>54.92</v>
      </c>
      <c r="M20" t="inlineStr">
        <is>
          <t>arancione</t>
        </is>
      </c>
      <c r="N20" t="n">
        <v>0.9</v>
      </c>
      <c r="O20" t="inlineStr">
        <is>
          <t>L'attore 1 inserisce la mano e il braccio destro all'interno dell'apertura di una grande macchina industriale (probabilmente una pressa a iniezione), esponendosi a un rischio critico di schiacciamento. Non sono visibili procedure di blocco/sblocco (lockout/tagout). Sebbene sia presente un guanto, è inadeguato per il rischio di schiacciamento. L'attore 2 è in prossimità, osservando l'azione pericolosa.</t>
        </is>
      </c>
      <c r="P20" t="n">
        <v>0</v>
      </c>
      <c r="Q20" t="n">
        <v>0.0067</v>
      </c>
      <c r="R20" t="n">
        <v>0.237</v>
      </c>
      <c r="S20" t="n">
        <v>0.1588</v>
      </c>
      <c r="T20" t="n">
        <v>0.3</v>
      </c>
      <c r="U20" t="n">
        <v>0</v>
      </c>
      <c r="V20" t="n">
        <v>0</v>
      </c>
      <c r="W20" t="n">
        <v>0.066</v>
      </c>
      <c r="X20" t="n">
        <v>0</v>
      </c>
      <c r="Y20" t="n">
        <v>0</v>
      </c>
      <c r="Z20" t="n">
        <v>0</v>
      </c>
      <c r="AA20" t="n">
        <v>0.0067</v>
      </c>
      <c r="AB20" t="n">
        <v>0.144</v>
      </c>
      <c r="AC20" t="n">
        <v>0.0965</v>
      </c>
      <c r="AD20" t="n">
        <v>0.18</v>
      </c>
      <c r="AE20" t="n">
        <v>1</v>
      </c>
      <c r="AF20" t="n">
        <v>0.9986</v>
      </c>
      <c r="AG20" t="n">
        <v>0.38</v>
      </c>
      <c r="AH20" t="n">
        <v>37.9468</v>
      </c>
      <c r="AI20" t="n">
        <v>71.62</v>
      </c>
      <c r="AJ20" t="n">
        <v>1</v>
      </c>
      <c r="AK20" t="n">
        <v>1</v>
      </c>
      <c r="AL20" t="n">
        <v>0.044</v>
      </c>
      <c r="AM20" t="n">
        <v>4.4</v>
      </c>
      <c r="AN20" t="n">
        <v>8.31</v>
      </c>
      <c r="AO20" t="n">
        <v>1</v>
      </c>
      <c r="AP20" t="n">
        <v>0.8892</v>
      </c>
      <c r="AQ20" t="n">
        <v>0.101</v>
      </c>
      <c r="AR20" t="n">
        <v>8.9809</v>
      </c>
      <c r="AS20" t="n">
        <v>16.95</v>
      </c>
      <c r="AT20" t="n">
        <v>0.5</v>
      </c>
      <c r="AU20" t="n">
        <v>0.5</v>
      </c>
      <c r="AV20" t="n">
        <v>0.028</v>
      </c>
      <c r="AW20" t="n">
        <v>1.4</v>
      </c>
      <c r="AX20" t="n">
        <v>2.64</v>
      </c>
    </row>
    <row r="21">
      <c r="A21" t="n">
        <v>19</v>
      </c>
      <c r="B21" t="n">
        <v>38</v>
      </c>
      <c r="C21" t="n">
        <v>42</v>
      </c>
      <c r="D21" t="inlineStr">
        <is>
          <t>{"scene_state": "Ambiente industriale, probabilmente un reparto di produzione.", "environmental_conditions": ["Ambiente interno ben illuminato."], "actors": ["Una persona (cappellino nero, maglietta rosa/arancione, guanti blu) opera sulla macchina.", "Una persona (maglietta a righe, cappellino nero) si avvicina da sinistra con un attrezzo.", "Una terza persona (parzialmente visibile, maglietta blu, guanti blu) è vicino alla macchina."], "objects": ["Uno sgabello/scatola bianco.", "Un attrezzo (leva o raschietto).", "Articoli in plastica colorati impilati sullo sfondo.", "Sacchi bianchi sullo sfondo.", "Un oggetto cilindrico nero.", "Attrezzi sullo sgabello."], "machines": ["Una grande macchina industriale arancione (probabilmente una pressa a iniezione) con pannello di controllo e area di lavoro aperta. Marchio 'MIR' visibile."], "observable_actions": ["La persona in rosa/arancione inserisce le mani nell'area aperta della macchina.", "La persona in maglietta a righe si avvicina e inserisce un attrezzo nell'area aperta della macchina.", "La terza persona osserva o assiste."], "notes_visibility_limitations": "La visibilità della terza persona è parzialmente ostruita. La natura esatta degli oggetti manipolati all'interno della macchina non è completamente chiara."}</t>
        </is>
      </c>
      <c r="E21" t="inlineStr">
        <is>
          <t>{"unsafe_behaviors": ["Inserimento di mani e attrezzi nell'area di lavoro aperta di una macchina industriale (pressa a iniezione) potenzialmente attiva.", "Mancanza di apparenti procedure di sicurezza (es. lockout/tagout) prima di intervenire all'interno della macchina.", "Presenza di più operatori in prossimità critica di organi pericolosi della macchina."], "vulnerable_elements": ["Mani e braccia degli operatori esposte a punti di schiacciamento e organi in movimento.", "Operatori stessi a causa della prossimità e interazione diretta con la macchina."], "risk_cues": {"R1_pedestrian_vehicle_interference": 0.0, "R2_pedestrian_segregation_violation": 0.0, "R3_load_storage_instability": 0.0, "R4_crush_points_dangerous_parts_exposure": 1.0, "R5_unsafe_operational_proximity": 1.0, "R6_unsafe_behavior_posture_manoeuvre": 1.0, "R7_essential_ppe_non_compliance": 0.25}, "cue_confidence": 1.0, "diagnostic_notes": "Gli operatori inseriscono mani e attrezzi direttamente nell'area di lavoro aperta di una pressa a iniezione, esponendosi a gravi rischi di schiacciamento e contatto con organi pericolosi. Non sono visibili procedure di sicurezza come il lockout/tagout. La mancanza di occhiali di protezione non può essere confermata con certezza, ma sarebbe un DPI atteso per questo tipo di operazione, sebbene i guanti siano presenti."}</t>
        </is>
      </c>
      <c r="F21" t="inlineStr">
        <is>
          <t>{"causal_chain_plausible": true, "causal_chain_text": "Intervento manuale e con attrezzi nell'area di lavoro aperta di una pressa a iniezione potenzialmente attiva -&gt; Mancanza di blocco/tagout o attivazione accidentale della macchina -&gt; Contatto delle mani/braccia/attrezzi con gli organi in movimento o i punti di schiacciamento della macchina.", "near_miss_or_incident_scenario": "Un operatore subisce lo schiacciamento di una mano o un braccio a causa della chiusura inaspettata dello stampo o del movimento di altre parti pericolose della pressa a iniezione mentre sta intervenendo al suo interno.", "contributing_factors": ["Intervento manuale e con attrezzi in area pericolosa", "Mancanza di procedure di sicurezza (es. lockout/tagout)", "Prossimità critica a organi in movimento/punti di schiacciamento", "Presenza di più operatori in area pericolosa"]}</t>
        </is>
      </c>
      <c r="G21" t="n">
        <v>95</v>
      </c>
      <c r="H21" t="inlineStr">
        <is>
          <t>Il rischio è elevato a causa dell'intervento manuale e con attrezzi nell'area di lavoro aperta di una pressa a iniezione potenzialmente attiva, senza apparenti procedure di sicurezza come il lockout/tagout. Ciò espone gli operatori a un rischio critico di schiacciamento e contatto con organi in movimento.</t>
        </is>
      </c>
      <c r="I21" t="n">
        <v>98.8</v>
      </c>
      <c r="J21" t="inlineStr">
        <is>
          <t>rosso</t>
        </is>
      </c>
      <c r="K21" t="n">
        <v>51.58</v>
      </c>
      <c r="L21" t="n">
        <v>53.58</v>
      </c>
      <c r="M21" t="inlineStr">
        <is>
          <t>arancione</t>
        </is>
      </c>
      <c r="N21" t="n">
        <v>1</v>
      </c>
      <c r="O21" t="inlineStr">
        <is>
          <t>Gli operatori inseriscono mani e attrezzi direttamente nell'area di lavoro aperta di una pressa a iniezione, esponendosi a gravi rischi di schiacciamento e contatto con organi pericolosi. Non sono visibili procedure di sicurezza come il lockout/tagout. La mancanza di occhiali di protezione non può essere confermata con certezza, ma sarebbe un DPI atteso per questo tipo di operazione, sebbene i guanti siano presenti.</t>
        </is>
      </c>
      <c r="P21" t="n">
        <v>0</v>
      </c>
      <c r="Q21" t="n">
        <v>0.0067</v>
      </c>
      <c r="R21" t="n">
        <v>0.237</v>
      </c>
      <c r="S21" t="n">
        <v>0.1588</v>
      </c>
      <c r="T21" t="n">
        <v>0.31</v>
      </c>
      <c r="U21" t="n">
        <v>0</v>
      </c>
      <c r="V21" t="n">
        <v>0</v>
      </c>
      <c r="W21" t="n">
        <v>0.066</v>
      </c>
      <c r="X21" t="n">
        <v>0</v>
      </c>
      <c r="Y21" t="n">
        <v>0</v>
      </c>
      <c r="Z21" t="n">
        <v>0</v>
      </c>
      <c r="AA21" t="n">
        <v>0.0067</v>
      </c>
      <c r="AB21" t="n">
        <v>0.144</v>
      </c>
      <c r="AC21" t="n">
        <v>0.0965</v>
      </c>
      <c r="AD21" t="n">
        <v>0.19</v>
      </c>
      <c r="AE21" t="n">
        <v>1</v>
      </c>
      <c r="AF21" t="n">
        <v>0.9986</v>
      </c>
      <c r="AG21" t="n">
        <v>0.38</v>
      </c>
      <c r="AH21" t="n">
        <v>37.9468</v>
      </c>
      <c r="AI21" t="n">
        <v>73.56999999999999</v>
      </c>
      <c r="AJ21" t="n">
        <v>1</v>
      </c>
      <c r="AK21" t="n">
        <v>1</v>
      </c>
      <c r="AL21" t="n">
        <v>0.044</v>
      </c>
      <c r="AM21" t="n">
        <v>4.4</v>
      </c>
      <c r="AN21" t="n">
        <v>8.529999999999999</v>
      </c>
      <c r="AO21" t="n">
        <v>1</v>
      </c>
      <c r="AP21" t="n">
        <v>0.8892</v>
      </c>
      <c r="AQ21" t="n">
        <v>0.101</v>
      </c>
      <c r="AR21" t="n">
        <v>8.9809</v>
      </c>
      <c r="AS21" t="n">
        <v>17.41</v>
      </c>
      <c r="AT21" t="n">
        <v>0.25</v>
      </c>
      <c r="AU21" t="n">
        <v>0</v>
      </c>
      <c r="AV21" t="n">
        <v>0.028</v>
      </c>
      <c r="AW21" t="n">
        <v>0</v>
      </c>
      <c r="AX21" t="n">
        <v>0</v>
      </c>
    </row>
    <row r="22">
      <c r="A22" t="n">
        <v>20</v>
      </c>
      <c r="B22" t="n">
        <v>40</v>
      </c>
      <c r="C22" t="n">
        <v>44</v>
      </c>
      <c r="D22" t="inlineStr">
        <is>
          <t>{"scene_state": "Ambiente industriale interno, probabilmente una fabbrica o magazzino.", "environmental_conditions": ["Ben illuminato", "Interno"], "actors": [{"id": "attore_1", "description": "Uomo con maglietta a righe e cappellino nero, sulla sinistra."}, {"id": "attore_2", "description": "Uomo con maglietta rosa/arancione e cappellino nero, al centro."}, {"id": "attore_3", "description": "Uomo con maglietta blu, parzialmente visibile sulla destra."}], "objects": ["Attrezzo (simile a un piede di porco) tenuto dall'attore 1", "Contenitore bianco sul lato sinistro", "Scaffali con oggetti colorati sullo sfondo", "Sacchi bianchi sullo sfondo", "Materiale di scarto sul pavimento a destra"], "machines": ["Grande macchina industriale arancione (probabilmente pressa a iniezione) con pannello di controllo e schermo."], "observable_actions": ["L'attore 2 sta protendendo il braccio all'interno dell'apertura della macchina arancione.", "L'attore 1 è in piedi, tiene un attrezzo e osserva la scena.", "L'attore 3 è in piedi vicino al pannello di controllo della macchina.", "Le parti mobili della macchina si stanno chiudendo."], "notes_visibility_limitations": "L'attore 3 è parzialmente occluso. La natura esatta degli oggetti all'interno della macchina non è completamente chiara."}</t>
        </is>
      </c>
      <c r="E22" t="inlineStr">
        <is>
          <t>{"unsafe_behaviors": ["Inserimento di un arto (braccio) all'interno di una macchina industriale in movimento (pressa a iniezione) mentre le sue parti si stanno chiudendo.", "Mancanza di blocco/tagout o altre procedure di sicurezza per prevenire l'attivazione della macchina durante l'intervento manuale."], "vulnerable_elements": ["L'attore 2 (in particolare il suo braccio e la sua mano) è direttamente esposto a un punto di schiacciamento critico."], "risk_cues": {"R1_pedestrian_vehicle_interference": 0.0, "R2_pedestrian_segregation_violation": 0.0, "R3_load_storage_instability": 0.0, "R4_crush_points_dangerous_parts_exposure": 1.0, "R5_unsafe_operational_proximity": 1.0, "R6_unsafe_behavior_posture_manoeuvre": 1.0, "R7_essential_ppe_non_compliance": 0.5}, "cue_confidence": 1.0, "diagnostic_notes": "L'attore 2 ha il braccio all'interno di una pressa industriale che si sta chiudendo, creando un rischio immediato e critico di schiacciamento. Questa è una grave violazione delle procedure di sicurezza operative. Non sono visibili caschi di protezione per gli operatori in un ambiente industriale. I guanti presenti non sono adeguati a prevenire il rischio di schiacciamento."}</t>
        </is>
      </c>
      <c r="F22" t="inlineStr">
        <is>
          <t>{"causal_chain_plausible": true, "causal_chain_text": "L'attore 2 inserisce il braccio all'interno dell'apertura della macchina industriale arancione mentre le sue parti mobili si stanno chiudendo. Questa azione, in assenza di blocco della macchina o altre procedure di sicurezza, porta al contatto diretto tra l'arto e le parti in movimento, causando un potenziale schiacciamento.", "near_miss_or_incident_scenario": "Schiacciamento del braccio o della mano dell'attore 2 tra le parti mobili della pressa a iniezione, con conseguenti lesioni gravi come fratture, amputazioni o lesioni da schiacciamento.", "contributing_factors": ["Inserimento di un arto in una macchina industriale in movimento.", "Mancanza di blocco/tagout o altre procedure di sicurezza operative.", "Esposizione diretta a punti di schiacciamento critici della macchina.", "Mancanza di DPI adeguati (i guanti non proteggono dallo schiacciamento, assenza di caschi)."]}</t>
        </is>
      </c>
      <c r="G22" t="n">
        <v>98</v>
      </c>
      <c r="H22" t="inlineStr">
        <is>
          <t>L'attore 2 ha il braccio all'interno di una pressa industriale in chiusura, esponendolo a un rischio immediato e critico di schiacciamento. Questa è una grave violazione delle procedure di sicurezza operative con potenziale di lesioni gravissime.</t>
        </is>
      </c>
      <c r="I22" t="n">
        <v>100</v>
      </c>
      <c r="J22" t="inlineStr">
        <is>
          <t>rosso</t>
        </is>
      </c>
      <c r="K22" t="n">
        <v>52.98</v>
      </c>
      <c r="L22" t="n">
        <v>54.46</v>
      </c>
      <c r="M22" t="inlineStr">
        <is>
          <t>arancione</t>
        </is>
      </c>
      <c r="N22" t="n">
        <v>1</v>
      </c>
      <c r="O22" t="inlineStr">
        <is>
          <t>L'attore 2 ha il braccio all'interno di una pressa industriale che si sta chiudendo, creando un rischio immediato e critico di schiacciamento. Questa è una grave violazione delle procedure di sicurezza operative. Non sono visibili caschi di protezione per gli operatori in un ambiente industriale. I guanti presenti non sono adeguati a prevenire il rischio di schiacciamento.</t>
        </is>
      </c>
      <c r="P22" t="n">
        <v>0</v>
      </c>
      <c r="Q22" t="n">
        <v>0.0067</v>
      </c>
      <c r="R22" t="n">
        <v>0.237</v>
      </c>
      <c r="S22" t="n">
        <v>0.1588</v>
      </c>
      <c r="T22" t="n">
        <v>0.3</v>
      </c>
      <c r="U22" t="n">
        <v>0</v>
      </c>
      <c r="V22" t="n">
        <v>0</v>
      </c>
      <c r="W22" t="n">
        <v>0.066</v>
      </c>
      <c r="X22" t="n">
        <v>0</v>
      </c>
      <c r="Y22" t="n">
        <v>0</v>
      </c>
      <c r="Z22" t="n">
        <v>0</v>
      </c>
      <c r="AA22" t="n">
        <v>0.0067</v>
      </c>
      <c r="AB22" t="n">
        <v>0.144</v>
      </c>
      <c r="AC22" t="n">
        <v>0.0965</v>
      </c>
      <c r="AD22" t="n">
        <v>0.18</v>
      </c>
      <c r="AE22" t="n">
        <v>1</v>
      </c>
      <c r="AF22" t="n">
        <v>0.9986</v>
      </c>
      <c r="AG22" t="n">
        <v>0.38</v>
      </c>
      <c r="AH22" t="n">
        <v>37.9468</v>
      </c>
      <c r="AI22" t="n">
        <v>71.62</v>
      </c>
      <c r="AJ22" t="n">
        <v>1</v>
      </c>
      <c r="AK22" t="n">
        <v>1</v>
      </c>
      <c r="AL22" t="n">
        <v>0.044</v>
      </c>
      <c r="AM22" t="n">
        <v>4.4</v>
      </c>
      <c r="AN22" t="n">
        <v>8.31</v>
      </c>
      <c r="AO22" t="n">
        <v>1</v>
      </c>
      <c r="AP22" t="n">
        <v>0.8892</v>
      </c>
      <c r="AQ22" t="n">
        <v>0.101</v>
      </c>
      <c r="AR22" t="n">
        <v>8.9809</v>
      </c>
      <c r="AS22" t="n">
        <v>16.95</v>
      </c>
      <c r="AT22" t="n">
        <v>0.5</v>
      </c>
      <c r="AU22" t="n">
        <v>0.5</v>
      </c>
      <c r="AV22" t="n">
        <v>0.028</v>
      </c>
      <c r="AW22" t="n">
        <v>1.4</v>
      </c>
      <c r="AX22" t="n">
        <v>2.64</v>
      </c>
    </row>
    <row r="23">
      <c r="A23" t="n">
        <v>21</v>
      </c>
      <c r="B23" t="n">
        <v>42</v>
      </c>
      <c r="C23" t="n">
        <v>46</v>
      </c>
      <c r="D23" t="inlineStr">
        <is>
          <t>{"scene_state": "Ambiente interno di tipo industriale o officina.", "environmental_conditions": ["Illuminazione adeguata", "Interno"], "actors": [{"id": "attore_1", "description": "Uomo con maglietta a righe e cappellino nero, in piedi, tiene un attrezzo."}, {"id": "attore_2", "description": "Uomo con maglietta blu, parzialmente visibile, chinato."}, {"id": "attore_3", "description": "Persona con maglietta rosa, parzialmente visibile, chinata."}], "objects": [{"id": "oggetto_1", "description": "Scatola o contenitore bianco su una superficie."}, {"id": "oggetto_2", "description": "Attrezzo (simile a un piede di porco) tenuto dall'attore 1."}, {"id": "oggetto_3", "description": "Scaffali con contenitori colorati sullo sfondo."}], "machines": [{"id": "macchinario_1", "description": "Grande macchina industriale arancione e bianca con pannello di controllo, probabilmente una pressa o macchina per stampaggio a iniezione."}], "observable_actions": ["L'attore 1 è in piedi e tiene un attrezzo.", "L'attore 2 e l'attore 3 sono chinati, interagendo con la superficie o gli oggetti su di essa."], "notes_visibility_limitations": "Alcuni attori sono parzialmente oscurati. La natura esatta dell'interazione degli attori chinati non è completamente chiara."}</t>
        </is>
      </c>
      <c r="E23" t="inlineStr">
        <is>
          <t>{"unsafe_behaviors": ["Prossimità non sicura a macchinari industriali potenzialmente operativi", "Mancanza di DPI essenziali in un ambiente industriale", "Potenziale interazione con la zona di pericolo della macchina senza adeguate protezioni"], "vulnerable_elements": ["Attore_1", "Attore_2", "Attore_3", "Mani e braccia degli operatori"], "risk_cues": {"R1_pedestrian_vehicle_interference": 0.0, "R2_pedestrian_segregation_violation": 0.0, "R3_load_storage_instability": 0.0, "R4_crush_points_dangerous_parts_exposure": 0.75, "R5_unsafe_operational_proximity": 0.75, "R6_unsafe_behavior_posture_manoeuvre": 0.5, "R7_essential_ppe_non_compliance": 0.75}, "cue_confidence": 0.9, "diagnostic_notes": "Gli operatori si trovano in stretta prossimità a una grande macchina industriale (probabilmente una pressa o macchina per stampaggio a iniezione) con il pannello di controllo acceso, indicando che potrebbe essere operativa o in standby. Non sono visibili barriere di sicurezza o procedure di lockout/tagout. L'assenza di DPI essenziali come occhiali di sicurezza e caschi è evidente, aumentando il rischio in un ambiente industriale. La postura chinata di alcuni operatori vicino alla macchina aumenta il rischio di esposizione a punti di schiacciamento."}</t>
        </is>
      </c>
      <c r="F23" t="inlineStr">
        <is>
          <t>{"causal_chain_plausible": true, "causal_chain_text": "Operatori in prossimità di macchinario industriale potenzialmente operativo (pannello acceso) senza DPI e barriere di sicurezza. Un avvio inatteso o movimento improvviso della macchina porta al contatto con punti di schiacciamento o parti in movimento.", "near_miss_or_incident_scenario": "Un operatore viene schiacciato o colpito da una parte mobile della macchina (es. piastra di una pressa) a causa di un avvio inatteso, mentre si trova nella zona di pericolo senza protezioni.", "contributing_factors": ["Prossimità non sicura a macchinari industriali potenzialmente operativi", "Mancanza di DPI essenziali (occhiali, caschi)", "Esposizione a punti di schiacciamento e parti pericolose", "Assenza di barriere di sicurezza o procedure LOTO", "Postura degli operatori (chinati) in zona di pericolo"]}</t>
        </is>
      </c>
      <c r="G23" t="n">
        <v>90</v>
      </c>
      <c r="H23" t="inlineStr">
        <is>
          <t>Il rischio è elevato a causa della stretta prossimità degli operatori a un macchinario industriale potenzialmente operativo, senza DPI essenziali e senza barriere di sicurezza o procedure LOTO. Ciò espone a gravi pericoli come schiacciamento o contatto con parti in movimento.</t>
        </is>
      </c>
      <c r="I23" t="n">
        <v>96</v>
      </c>
      <c r="J23" t="inlineStr">
        <is>
          <t>rosso</t>
        </is>
      </c>
      <c r="K23" t="n">
        <v>47.86</v>
      </c>
      <c r="L23" t="n">
        <v>51.82</v>
      </c>
      <c r="M23" t="inlineStr">
        <is>
          <t>arancione</t>
        </is>
      </c>
      <c r="N23" t="n">
        <v>0.9</v>
      </c>
      <c r="O23" t="inlineStr">
        <is>
          <t>Gli operatori si trovano in stretta prossimità a una grande macchina industriale (probabilmente una pressa o macchina per stampaggio a iniezione) con il pannello di controllo acceso, indicando che potrebbe essere operativa o in standby. Non sono visibili barriere di sicurezza o procedure di lockout/tagout. L'assenza di DPI essenziali come occhiali di sicurezza e caschi è evidente, aumentando il rischio in un ambiente industriale. La postura chinata di alcuni operatori vicino alla macchina aumenta il rischio di esposizione a punti di schiacciamento.</t>
        </is>
      </c>
      <c r="P23" t="n">
        <v>0</v>
      </c>
      <c r="Q23" t="n">
        <v>0.0067</v>
      </c>
      <c r="R23" t="n">
        <v>0.237</v>
      </c>
      <c r="S23" t="n">
        <v>0.1588</v>
      </c>
      <c r="T23" t="n">
        <v>0.33</v>
      </c>
      <c r="U23" t="n">
        <v>0</v>
      </c>
      <c r="V23" t="n">
        <v>0</v>
      </c>
      <c r="W23" t="n">
        <v>0.066</v>
      </c>
      <c r="X23" t="n">
        <v>0</v>
      </c>
      <c r="Y23" t="n">
        <v>0</v>
      </c>
      <c r="Z23" t="n">
        <v>0</v>
      </c>
      <c r="AA23" t="n">
        <v>0.0067</v>
      </c>
      <c r="AB23" t="n">
        <v>0.144</v>
      </c>
      <c r="AC23" t="n">
        <v>0.0965</v>
      </c>
      <c r="AD23" t="n">
        <v>0.2</v>
      </c>
      <c r="AE23" t="n">
        <v>0.75</v>
      </c>
      <c r="AF23" t="n">
        <v>0.9734</v>
      </c>
      <c r="AG23" t="n">
        <v>0.38</v>
      </c>
      <c r="AH23" t="n">
        <v>36.9892</v>
      </c>
      <c r="AI23" t="n">
        <v>77.29000000000001</v>
      </c>
      <c r="AJ23" t="n">
        <v>0.75</v>
      </c>
      <c r="AK23" t="n">
        <v>0.5625</v>
      </c>
      <c r="AL23" t="n">
        <v>0.044</v>
      </c>
      <c r="AM23" t="n">
        <v>2.475</v>
      </c>
      <c r="AN23" t="n">
        <v>5.17</v>
      </c>
      <c r="AO23" t="n">
        <v>0.5</v>
      </c>
      <c r="AP23" t="n">
        <v>0.6671</v>
      </c>
      <c r="AQ23" t="n">
        <v>0.101</v>
      </c>
      <c r="AR23" t="n">
        <v>6.7377</v>
      </c>
      <c r="AS23" t="n">
        <v>14.08</v>
      </c>
      <c r="AT23" t="n">
        <v>0.75</v>
      </c>
      <c r="AU23" t="n">
        <v>0.5</v>
      </c>
      <c r="AV23" t="n">
        <v>0.028</v>
      </c>
      <c r="AW23" t="n">
        <v>1.4</v>
      </c>
      <c r="AX23" t="n">
        <v>2.93</v>
      </c>
    </row>
    <row r="24">
      <c r="A24" t="n">
        <v>22</v>
      </c>
      <c r="B24" t="n">
        <v>44</v>
      </c>
      <c r="C24" t="n">
        <v>48</v>
      </c>
      <c r="D24" t="inlineStr">
        <is>
          <t>{"scene_state": "La scena mostra un ambiente industriale con macchinari in funzione o in attesa di operazione.", "environmental_conditions": ["Illuminazione adeguata", "Ambiente interno"], "actors": ["Un uomo con maglietta a righe e cappellino nero, posizionato a sinistra.", "Un uomo con maglietta blu, parzialmente visibile in primo piano a destra.", "Un terzo uomo, parzialmente visibile a destra, vicino al macchinario."], "objects": ["Un attrezzo simile a un piede di porco o leva, tenuto dall'uomo a sinistra.", "Una scatola o contenitore bianco su cui poggia l'attrezzo.", "Scaffali con contenitori o cesti di plastica colorati sullo sfondo."], "machines": ["Una grande macchina industriale di colore arancione e bianco (probabilmente una pressa a iniezione), con un pannello di controllo e schermo."], "observable_actions": ["Due uomini sono in piedi vicino al macchinario.", "L'uomo a sinistra tiene un attrezzo e osserva verso il macchinario.", "L'uomo in primo piano a destra è parzialmente piegato e si muove leggermente."], "notes_visibility_limitations": "La visibilità di due degli attori è parziale. I dettagli specifici degli attrezzi e dello stato operativo del macchinario non sono completamente chiari."}</t>
        </is>
      </c>
      <c r="E24" t="inlineStr">
        <is>
          <t>{"unsafe_behaviors": ["Permanenza in stretta prossimità con la zona operativa di una pressa a iniezione industriale.", "Potenziale interazione con macchinari pesanti senza apparenti misure di sicurezza (es. blocco macchina, protezioni attive)."], "vulnerable_elements": ["Operatori esposti a potenziali punti di schiacciamento della macchina.", "Mancanza di DPI essenziali per l'ambiente industriale e l'interazione con macchinari."], "risk_cues": {"R1_pedestrian_vehicle_interference": 0.0, "R2_pedestrian_segregation_violation": 0.0, "R3_load_storage_instability": 0.0, "R4_crush_points_dangerous_parts_exposure": 0.75, "R5_unsafe_operational_proximity": 0.75, "R6_unsafe_behavior_posture_manoeuvre": 0.75, "R7_essential_ppe_non_compliance": 0.75}, "cue_confidence": 0.9, "diagnostic_notes": "Gli operatori si trovano in stretta prossimità con una pressa a iniezione industriale, una macchina con significativi punti di schiacciamento. Non sono visibili DPI essenziali come caschi o occhiali di protezione. La presenza di un attrezzo (piede di porco) in mano a un operatore vicino alla macchina suggerisce una potenziale interazione o manutenzione senza chiare misure di sicurezza (es. blocco macchina)."}</t>
        </is>
      </c>
      <c r="F24" t="inlineStr">
        <is>
          <t>{"causal_chain_plausible": true, "causal_chain_text": "La permanenza degli operatori in stretta prossimità con una pressa a iniezione, potenzialmente in funzione o in fase di manutenzione senza blocco macchina, aumenta il rischio. L'uso di un attrezzo (leva) in tale contesto, unito alla mancanza di DPI, può portare a un contatto accidentale con parti mobili della macchina o a un avvio inatteso, causando lesioni.", "near_miss_or_incident_scenario": "Un operatore, mentre si trova in prossimità della pressa e maneggia l'attrezzo, potrebbe essere colpito o schiacciato da un movimento improvviso e inatteso delle parti mobili della macchina, o subire lesioni a causa della caduta o dello scivolamento dell'attrezzo stesso, aggravato dalla mancanza di DPI.", "contributing_factors": ["Mancanza di DPI essenziali (es. caschi, occhiali)", "Prossimità non sicura alla zona operativa di una pressa a iniezione", "Potenziale interazione o manutenzione senza blocco di sicurezza del macchinario", "Presenza e uso di attrezzi (leva) in prossimità di parti mobili"]}</t>
        </is>
      </c>
      <c r="G24" t="n">
        <v>90</v>
      </c>
      <c r="H24" t="inlineStr">
        <is>
          <t>La prossimità degli operatori a una pressa a iniezione con punti di schiacciamento critici, l'uso di un attrezzo e la mancanza di DPI essenziali creano un rischio elevato. Questo scenario suggerisce una potenziale interazione o manutenzione senza adeguate misure di sicurezza.</t>
        </is>
      </c>
      <c r="I24" t="n">
        <v>93.59999999999999</v>
      </c>
      <c r="J24" t="inlineStr">
        <is>
          <t>rosso</t>
        </is>
      </c>
      <c r="K24" t="n">
        <v>49.28</v>
      </c>
      <c r="L24" t="n">
        <v>51.94</v>
      </c>
      <c r="M24" t="inlineStr">
        <is>
          <t>arancione</t>
        </is>
      </c>
      <c r="N24" t="n">
        <v>0.9</v>
      </c>
      <c r="O24" t="inlineStr">
        <is>
          <t>Gli operatori si trovano in stretta prossimità con una pressa a iniezione industriale, una macchina con significativi punti di schiacciamento. Non sono visibili DPI essenziali come caschi o occhiali di protezione. La presenza di un attrezzo (piede di porco) in mano a un operatore vicino alla macchina suggerisce una potenziale interazione o manutenzione senza chiare misure di sicurezza (es. blocco macchina).</t>
        </is>
      </c>
      <c r="P24" t="n">
        <v>0</v>
      </c>
      <c r="Q24" t="n">
        <v>0.0067</v>
      </c>
      <c r="R24" t="n">
        <v>0.237</v>
      </c>
      <c r="S24" t="n">
        <v>0.1588</v>
      </c>
      <c r="T24" t="n">
        <v>0.32</v>
      </c>
      <c r="U24" t="n">
        <v>0</v>
      </c>
      <c r="V24" t="n">
        <v>0</v>
      </c>
      <c r="W24" t="n">
        <v>0.066</v>
      </c>
      <c r="X24" t="n">
        <v>0</v>
      </c>
      <c r="Y24" t="n">
        <v>0</v>
      </c>
      <c r="Z24" t="n">
        <v>0</v>
      </c>
      <c r="AA24" t="n">
        <v>0.0067</v>
      </c>
      <c r="AB24" t="n">
        <v>0.144</v>
      </c>
      <c r="AC24" t="n">
        <v>0.0965</v>
      </c>
      <c r="AD24" t="n">
        <v>0.2</v>
      </c>
      <c r="AE24" t="n">
        <v>0.75</v>
      </c>
      <c r="AF24" t="n">
        <v>0.9734</v>
      </c>
      <c r="AG24" t="n">
        <v>0.38</v>
      </c>
      <c r="AH24" t="n">
        <v>36.9892</v>
      </c>
      <c r="AI24" t="n">
        <v>75.06</v>
      </c>
      <c r="AJ24" t="n">
        <v>0.75</v>
      </c>
      <c r="AK24" t="n">
        <v>0.5625</v>
      </c>
      <c r="AL24" t="n">
        <v>0.044</v>
      </c>
      <c r="AM24" t="n">
        <v>2.475</v>
      </c>
      <c r="AN24" t="n">
        <v>5.02</v>
      </c>
      <c r="AO24" t="n">
        <v>0.75</v>
      </c>
      <c r="AP24" t="n">
        <v>0.8080000000000001</v>
      </c>
      <c r="AQ24" t="n">
        <v>0.101</v>
      </c>
      <c r="AR24" t="n">
        <v>8.1608</v>
      </c>
      <c r="AS24" t="n">
        <v>16.56</v>
      </c>
      <c r="AT24" t="n">
        <v>0.75</v>
      </c>
      <c r="AU24" t="n">
        <v>0.5</v>
      </c>
      <c r="AV24" t="n">
        <v>0.028</v>
      </c>
      <c r="AW24" t="n">
        <v>1.4</v>
      </c>
      <c r="AX24" t="n">
        <v>2.84</v>
      </c>
    </row>
    <row r="25">
      <c r="A25" t="n">
        <v>23</v>
      </c>
      <c r="B25" t="n">
        <v>46</v>
      </c>
      <c r="C25" t="n">
        <v>50</v>
      </c>
      <c r="D25" t="inlineStr">
        <is>
          <t>{"scene_state": "La scena si svolge in un ambiente industriale, probabilmente un'officina o una fabbrica, con macchinari e scaffalature visibili.", "environmental_conditions": ["Ambiente interno ben illuminato."], "actors": [{"id": "attore_1", "description": "Un individuo di sesso maschile, con una maglietta a righe orizzontali e un cappellino nero, visibile dalla vita in su, posizionato a sinistra del frame."}, {"id": "attore_2", "description": "Un individuo di sesso maschile, parzialmente visibile (parte posteriore della testa e spalla), posizionato a destra, vicino al macchinario."}, {"id": "attore_3", "description": "Un terzo individuo, di cui si intravede solo la parte superiore della testa e una spalla, appare brevemente tra gli altri due."}], "objects": ["Contenitori/cesti di plastica colorati su scaffali sullo sfondo a sinistra.", "Sacchi bianchi sul pavimento sullo sfondo a sinistra.", "Un tavolo o carrello bianco con alcuni attrezzi (es. una chiave inglese, un attrezzo con manico rosso) in primo piano a sinistra."], "machines": ["Un grande macchinario industriale di colore arancione e beige, probabilmente una pressa a iniezione, con un pannello di controllo e uno schermo blu, che occupa il centro-destro del frame."], "observable_actions": ["L'attore 1 è in piedi, guarda verso il macchinario e l'attore 2.", "L'attore 1 gesticola con il braccio destro verso il macchinario tra 00:48 e 00:49.", "L'attore 2 è in piedi vicino al macchinario, rivolto lontano dalla telecamera.", "L'attore 3 si muove brevemente nel campo visivo."], "notes_visibility_limitations": "I corpi degli individui non sono completamente visibili. I volti dell'attore 2 e dell'attore 3 non sono chiaramente visibili. Parti dello sfondo e dei macchinari sono parzialmente oscurate dagli elementi in primo piano e dagli individui."}</t>
        </is>
      </c>
      <c r="E25" t="inlineStr">
        <is>
          <t>{"unsafe_behaviors": [], "vulnerable_elements": ["Individui in prossimità del macchinario industriale."], "risk_cues": {"R1_pedestrian_vehicle_interference": 0.0, "R2_pedestrian_segregation_violation": 0.0, "R3_load_storage_instability": 0.0, "R4_crush_points_dangerous_parts_exposure": 0.5, "R5_unsafe_operational_proximity": 0.75, "R6_unsafe_behavior_posture_manoeuvre": 0.0, "R7_essential_ppe_non_compliance": 0.25}, "cue_confidence": 0.8, "diagnostic_notes": "Gli attori sono in stretta prossimità a un macchinario industriale di grandi dimensioni. Sebbene non si osservino operazioni attive o esposizioni dirette a punti di schiacciamento, la vicinanza a tale attrezzatura comporta un rischio potenziale. Non sono visibili DPI essenziali come caschi o occhiali di protezione, che potrebbero essere attesi in un ambiente industriale."}</t>
        </is>
      </c>
      <c r="F25" t="inlineStr">
        <is>
          <t>{"causal_chain_plausible": true, "causal_chain_text": "Individui in stretta prossimità a un grande macchinario industriale senza DPI essenziali visibili -&gt; Rischio potenziale di attivazione inattesa o movimento di parti del macchinario -&gt; Contatto accidentale con punti di schiacciamento o parti in movimento -&gt; Possibile infortunio aggravato dalla mancanza di DPI.", "near_miss_or_incident_scenario": "Un individuo (es. attore 2) si sporge o si muove inavvertitamente, entrando in contatto con una parte del macchinario che si muove in modo inatteso o che presenta un punto di schiacciamento, causando un infortunio lieve o un near miss.", "contributing_factors": ["Prossimità non sicura al macchinario industriale.", "Potenziale esposizione a punti di schiacciamento o parti mobili del macchinario.", "Mancanza di DPI essenziali (es. caschi, occhiali) per gli individui.", "Mancanza di segregazione o barriere fisiche tra gli individui e il macchinario."]}</t>
        </is>
      </c>
      <c r="G25" t="n">
        <v>70</v>
      </c>
      <c r="H25" t="inlineStr">
        <is>
          <t>Il punteggio riflette l'elevata prossimità degli individui a un grande macchinario industriale, con potenziale esposizione a punti di schiacciamento o parti in movimento. La mancanza di DPI essenziali aggrava ulteriormente il rischio di infortunio in caso di incidente.</t>
        </is>
      </c>
      <c r="I25" t="n">
        <v>84.16</v>
      </c>
      <c r="J25" t="inlineStr">
        <is>
          <t>rosso</t>
        </is>
      </c>
      <c r="K25" t="n">
        <v>27.27</v>
      </c>
      <c r="L25" t="n">
        <v>42.07</v>
      </c>
      <c r="M25" t="inlineStr">
        <is>
          <t>giallo</t>
        </is>
      </c>
      <c r="N25" t="n">
        <v>0.8</v>
      </c>
      <c r="O25" t="inlineStr">
        <is>
          <t>Gli attori sono in stretta prossimità a un macchinario industriale di grandi dimensioni. Sebbene non si osservino operazioni attive o esposizioni dirette a punti di schiacciamento, la vicinanza a tale attrezzatura comporta un rischio potenziale. Non sono visibili DPI essenziali come caschi o occhiali di protezione, che potrebbero essere attesi in un ambiente industriale.</t>
        </is>
      </c>
      <c r="P25" t="n">
        <v>0</v>
      </c>
      <c r="Q25" t="n">
        <v>0.0067</v>
      </c>
      <c r="R25" t="n">
        <v>0.237</v>
      </c>
      <c r="S25" t="n">
        <v>0.1588</v>
      </c>
      <c r="T25" t="n">
        <v>0.58</v>
      </c>
      <c r="U25" t="n">
        <v>0</v>
      </c>
      <c r="V25" t="n">
        <v>0</v>
      </c>
      <c r="W25" t="n">
        <v>0.066</v>
      </c>
      <c r="X25" t="n">
        <v>0</v>
      </c>
      <c r="Y25" t="n">
        <v>0</v>
      </c>
      <c r="Z25" t="n">
        <v>0</v>
      </c>
      <c r="AA25" t="n">
        <v>0.0067</v>
      </c>
      <c r="AB25" t="n">
        <v>0.144</v>
      </c>
      <c r="AC25" t="n">
        <v>0.0965</v>
      </c>
      <c r="AD25" t="n">
        <v>0.35</v>
      </c>
      <c r="AE25" t="n">
        <v>0.5</v>
      </c>
      <c r="AF25" t="n">
        <v>0.6457000000000001</v>
      </c>
      <c r="AG25" t="n">
        <v>0.38</v>
      </c>
      <c r="AH25" t="n">
        <v>24.5366</v>
      </c>
      <c r="AI25" t="n">
        <v>89.98</v>
      </c>
      <c r="AJ25" t="n">
        <v>0.75</v>
      </c>
      <c r="AK25" t="n">
        <v>0.5625</v>
      </c>
      <c r="AL25" t="n">
        <v>0.044</v>
      </c>
      <c r="AM25" t="n">
        <v>2.475</v>
      </c>
      <c r="AN25" t="n">
        <v>9.08</v>
      </c>
      <c r="AO25" t="n">
        <v>0</v>
      </c>
      <c r="AP25" t="n">
        <v>0</v>
      </c>
      <c r="AQ25" t="n">
        <v>0.101</v>
      </c>
      <c r="AR25" t="n">
        <v>0</v>
      </c>
      <c r="AS25" t="n">
        <v>0</v>
      </c>
      <c r="AT25" t="n">
        <v>0.25</v>
      </c>
      <c r="AU25" t="n">
        <v>0</v>
      </c>
      <c r="AV25" t="n">
        <v>0.028</v>
      </c>
      <c r="AW25" t="n">
        <v>0</v>
      </c>
      <c r="AX25" t="n">
        <v>0</v>
      </c>
    </row>
    <row r="26">
      <c r="A26" t="n">
        <v>24</v>
      </c>
      <c r="B26" t="n">
        <v>48</v>
      </c>
      <c r="C26" t="n">
        <v>52</v>
      </c>
      <c r="D26" t="inlineStr">
        <is>
          <t>{"scene_state": "Ambiente industriale interno, probabilmente una fabbrica, con macchinari e materiali stoccati.", "environmental_conditions": ["Illuminazione interna adeguata."], "actors": [{"description": "Uomo con maglietta a righe orizzontali e cappellino nero (a sinistra)."}, {"description": "Uomo con maglietta blu (a destra)."}, {"description": "Uomo con maglietta rosa (al centro)."}], "objects": [{"description": "Guanti blu (indossati dall'uomo in rosa)."}, {"description": "Sedie/sgabelli impilati di vari colori e sacchi bianchi (sfondo a sinistra)."}, {"description": "Oggetto cilindrico metallico (tenuto brevemente dall'uomo in blu)."}], "machines": [{"description": "Grande macchina industriale arancione e grigia, con pannello di controllo digitale e sezione mobile (probabilmente pressa o stampaggio a iniezione)."}], "observable_actions": ["Due uomini (righe e blu) sono in piedi vicino alla macchina.", "Un terzo uomo (rosa) si posiziona tra loro.", "L'uomo a righe interagisce con l'uomo in rosa, afferrandolo per un braccio/spalla.", "L'uomo in blu afferra l'uomo in rosa per la parte superiore del corpo.", "L'uomo in rosa si muove tra i due, appare spinto/tirato.", "L'uomo in blu tiene brevemente un oggetto cilindrico metallico."], "notes_visibility_limitations": "Parte superiore della macchina parzialmente fuori campo. Interazioni tra attori oscurate dai corpi. Natura esatta dell'oggetto cilindrico non completamente chiara."}</t>
        </is>
      </c>
      <c r="E26" t="inlineStr">
        <is>
          <t>{"unsafe_behaviors": ["Interazione fisica/alterco tra operatori in area operativa di una macchina industriale.", "Permanenza e movimento non controllato nell'area di lavoro di una macchina industriale.", "Distrazione dal contesto di sicurezza industriale."], "vulnerable_elements": ["Operatori (tutti e tre) esposti a rischi di schiacciamento/intrappolamento.", "Area operativa della macchina industriale."], "risk_cues": {"R1_pedestrian_vehicle_interference": 0.0, "R2_pedestrian_segregation_violation": 0.25, "R3_load_storage_instability": 0.0, "R4_crush_points_dangerous_parts_exposure": 0.75, "R5_unsafe_operational_proximity": 1.0, "R6_unsafe_behavior_posture_manoeuvre": 1.0, "R7_essential_ppe_non_compliance": 0.25}, "cue_confidence": 0.9, "diagnostic_notes": "Tre uomini sono in stretta prossimità con una grande macchina industriale (probabilmente pressa o stampaggio a iniezione). Due uomini stanno fisicamente interagendo (afferrando/tirando) un terzo uomo, posizionandolo direttamente nell'area operativa della macchina. Questo comportamento distrae e aumenta significativamente il rischio di contatto accidentale con punti di schiacciamento o organi in movimento, oltre a violare le distanze di sicurezza operative. Non sono presenti mezzi mobili. Un operatore indossa guanti, gli altri no per un'interazione non lavorativa."}</t>
        </is>
      </c>
      <c r="F26" t="inlineStr">
        <is>
          <t>{"causal_chain_plausible": true, "causal_chain_text": "L'interazione fisica e la distrazione degli operatori in prossimità della macchina industriale portano a una violazione delle distanze di sicurezza e a un movimento non controllato nell'area operativa, aumentando il rischio di contatto accidentale con parti mobili o punti di schiacciamento.", "near_miss_or_incident_scenario": "Un operatore (quello in rosa) viene spinto/tirato involontariamente o perde l'equilibrio e finisce con una parte del corpo intrappolata o colpita da una sezione mobile della macchina (es. pressa o stampo), causando lesioni.", "contributing_factors": ["Interazione fisica non lavorativa tra operatori", "Distrazione dal contesto di sicurezza", "Violazione delle distanze di sicurezza operative", "Esposizione a punti di schiacciamento/parti pericolose della macchina"]}</t>
        </is>
      </c>
      <c r="G26" t="n">
        <v>95</v>
      </c>
      <c r="H26" t="inlineStr">
        <is>
          <t>L'interazione fisica e la distrazione degli operatori in stretta prossimità con una macchina industriale attiva creano un rischio elevatissimo di contatto con parti mobili o punti di schiacciamento. Questo comportamento viola gravemente le norme di sicurezza operative.</t>
        </is>
      </c>
      <c r="I26" t="n">
        <v>100</v>
      </c>
      <c r="J26" t="inlineStr">
        <is>
          <t>rosso</t>
        </is>
      </c>
      <c r="K26" t="n">
        <v>52.28</v>
      </c>
      <c r="L26" t="n">
        <v>66.16</v>
      </c>
      <c r="M26" t="inlineStr">
        <is>
          <t>arancione</t>
        </is>
      </c>
      <c r="N26" t="n">
        <v>0.9</v>
      </c>
      <c r="O26" t="inlineStr">
        <is>
          <t>Tre uomini sono in stretta prossimità con una grande macchina industriale (probabilmente pressa o stampaggio a iniezione). Due uomini stanno fisicamente interagendo (afferrando/tirando) un terzo uomo, posizionandolo direttamente nell'area operativa della macchina. Questo comportamento distrae e aumenta significativamente il rischio di contatto accidentale con punti di schiacciamento o organi in movimento, oltre a violare le distanze di sicurezza operative. Non sono presenti mezzi mobili. Un operatore indossa guanti, gli altri no per un'interazione non lavorativa.</t>
        </is>
      </c>
      <c r="P26" t="n">
        <v>0</v>
      </c>
      <c r="Q26" t="n">
        <v>0.0067</v>
      </c>
      <c r="R26" t="n">
        <v>0.237</v>
      </c>
      <c r="S26" t="n">
        <v>0.1588</v>
      </c>
      <c r="T26" t="n">
        <v>0.3</v>
      </c>
      <c r="U26" t="n">
        <v>0.25</v>
      </c>
      <c r="V26" t="n">
        <v>0.25</v>
      </c>
      <c r="W26" t="n">
        <v>0.066</v>
      </c>
      <c r="X26" t="n">
        <v>1.65</v>
      </c>
      <c r="Y26" t="n">
        <v>3.16</v>
      </c>
      <c r="Z26" t="n">
        <v>0</v>
      </c>
      <c r="AA26" t="n">
        <v>0.0067</v>
      </c>
      <c r="AB26" t="n">
        <v>0.144</v>
      </c>
      <c r="AC26" t="n">
        <v>0.0965</v>
      </c>
      <c r="AD26" t="n">
        <v>0.18</v>
      </c>
      <c r="AE26" t="n">
        <v>0.75</v>
      </c>
      <c r="AF26" t="n">
        <v>0.9734</v>
      </c>
      <c r="AG26" t="n">
        <v>0.38</v>
      </c>
      <c r="AH26" t="n">
        <v>36.9892</v>
      </c>
      <c r="AI26" t="n">
        <v>70.75</v>
      </c>
      <c r="AJ26" t="n">
        <v>1</v>
      </c>
      <c r="AK26" t="n">
        <v>1</v>
      </c>
      <c r="AL26" t="n">
        <v>0.044</v>
      </c>
      <c r="AM26" t="n">
        <v>4.4</v>
      </c>
      <c r="AN26" t="n">
        <v>8.42</v>
      </c>
      <c r="AO26" t="n">
        <v>1</v>
      </c>
      <c r="AP26" t="n">
        <v>0.8892</v>
      </c>
      <c r="AQ26" t="n">
        <v>0.101</v>
      </c>
      <c r="AR26" t="n">
        <v>8.9809</v>
      </c>
      <c r="AS26" t="n">
        <v>17.18</v>
      </c>
      <c r="AT26" t="n">
        <v>0.25</v>
      </c>
      <c r="AU26" t="n">
        <v>0</v>
      </c>
      <c r="AV26" t="n">
        <v>0.028</v>
      </c>
      <c r="AW26" t="n">
        <v>0</v>
      </c>
      <c r="AX26" t="n">
        <v>0</v>
      </c>
    </row>
    <row r="27">
      <c r="A27" t="n">
        <v>25</v>
      </c>
      <c r="B27" t="n">
        <v>50</v>
      </c>
      <c r="C27" t="n">
        <v>54</v>
      </c>
      <c r="D27" t="inlineStr">
        <is>
          <t>{"scene_state": "La scena si svolge in un ambiente interno che appare essere un'area di produzione o un magazzino industriale.", "environmental_conditions": ["Illuminazione interna adeguata", "Presenza di scaffalature e macchinari industriali"], "actors": [{"id": "attore_1", "description": "Uomo con cappellino scuro e maglietta a righe orizzontali chiare e scure."}, {"id": "attore_2", "description": "Uomo con maglietta rosa e guanti blu."}, {"id": "attore_3", "description": "Uomo con maglietta sportiva blu e bianca."}], "objects": ["Scaffali metallici con contenitori di plastica colorati (verdi, rossi, blu)", "Un oggetto lungo e sottile, simile a un bastone o tubo, appoggiato a terra nell'angolo inferiore sinistro", "Materiale granulare o frammenti sparsi sul pavimento vicino al macchinario"], "machines": ["Una grande macchina industriale di colore arancione e grigio chiaro, dotata di un pannello di controllo digitale con schermo e pulsanti. Sembra essere una pressa a iniezione o un macchinario simile per la lavorazione."], "observable_actions": ["L'attore 1 e l'attore 3 sono vicini all'attore 2, che si sta allontanando dalla macchina verso il fondo della scena.", "L'attore 1 sembra accompagnare o interagire con l'attore 2 mentre si muove.", "L'attore 3 osserva la scena, rimanendo vicino alla macchina.", "L'attore 2 si allontana completamente dalla visuale verso la fine della clip."], "notes_visibility_limitations": "La parte superiore della macchina e alcune aree del pavimento sono parzialmente fuori campo o oscurate dagli attori. La profondità della stanza oltre la macchina non è completamente visibile."}</t>
        </is>
      </c>
      <c r="E27" t="inlineStr">
        <is>
          <t>{"unsafe_behaviors": ["Prossimità di più persone a una macchina industriale potenzialmente operativa", "Movimento di un individuo apparentemente in difficoltà o infortunato all'interno di un'area di lavoro critica"], "vulnerable_elements": ["Personale (Attore_1, Attore_2, Attore_3) a causa della vicinanza a macchinari e potenziale mancanza di DPI adeguati", "Attore_2, che appare in stato di disagio e viene allontanato dalla macchina"], "risk_cues": {"R1_pedestrian_vehicle_interference": 0.0, "R2_pedestrian_segregation_violation": 0.0, "R3_load_storage_instability": 0.0, "R4_crush_points_dangerous_parts_exposure": 0.75, "R5_unsafe_operational_proximity": 1.0, "R6_unsafe_behavior_posture_manoeuvre": 0.75, "R7_essential_ppe_non_compliance": 0.5}, "cue_confidence": 0.9, "diagnostic_notes": "La scena mostra più individui in stretta prossimità con una grande macchina industriale. L'attore 2 viene supportato e allontanato dalla macchina dagli altri due attori, suggerendo un potenziale incidente o malore. Il pannello di controllo della macchina è illuminato, indicando che è accesa. Non sono visibili DPI essenziali come occhiali di sicurezza o caschi per l'attore 1 e l'attore 3, mentre l'attore 2 indossa guanti. Materiale granulare sul pavimento potrebbe rappresentare un rischio di scivolamento/inciampo."}</t>
        </is>
      </c>
      <c r="F27" t="inlineStr">
        <is>
          <t>{"causal_chain_plausible": true, "causal_chain_text": "Macchina industriale operativa (pannello acceso) -&gt; Prossimità non sicura di personale (Attore_1, Attore_2, Attore_3) -&gt; Potenziale interazione non sicura o incidente con la macchina da parte di Attore_2 (o malore) -&gt; Necessità di allontanamento di Attore_2 -&gt; Rischio aggiuntivo di scivolamento/inciampo per materiale a terra e vulnerabilità degli altri attori per mancanza di DPI.", "near_miss_or_incident_scenario": "Un operatore (Attore_2) subisce un infortunio lieve o un malore improvviso in prossimità della macchina operativa, o ha un near miss con essa. Viene assistito da Attore_1 per allontanarsi, mentre Attore_3 osserva. Il materiale granulare sul pavimento aumenta il rischio di caduta durante l'allontanamento.", "contributing_factors": ["Macchina industriale operativa con pannello acceso", "Prossimità di più persone alla macchina operativa", "Mancanza di DPI essenziali (occhiali, caschi) per Attore_1 e Attore_3", "Presenza di materiale granulare/frammenti sul pavimento", "Movimento di un individuo (Attore_2) in apparente difficoltà/infortunato", "Potenziale esposizione a punti di schiacciamento/parti pericolose"]}</t>
        </is>
      </c>
      <c r="G27" t="n">
        <v>90</v>
      </c>
      <c r="H27" t="inlineStr">
        <is>
          <t>La presenza di più persone in prossimità di una macchina industriale operativa, con un attore che viene allontanato in apparente difficoltà, indica un rischio elevato di incidente o infortunio. La mancanza di DPI essenziali e la presenza di materiale a terra aggravano ulteriormente la situazione.</t>
        </is>
      </c>
      <c r="I27" t="n">
        <v>96</v>
      </c>
      <c r="J27" t="inlineStr">
        <is>
          <t>rosso</t>
        </is>
      </c>
      <c r="K27" t="n">
        <v>51.21</v>
      </c>
      <c r="L27" t="n">
        <v>60.18</v>
      </c>
      <c r="M27" t="inlineStr">
        <is>
          <t>arancione</t>
        </is>
      </c>
      <c r="N27" t="n">
        <v>0.9</v>
      </c>
      <c r="O27" t="inlineStr">
        <is>
          <t>La scena mostra più individui in stretta prossimità con una grande macchina industriale. L'attore 2 viene supportato e allontanato dalla macchina dagli altri due attori, suggerendo un potenziale incidente o malore. Il pannello di controllo della macchina è illuminato, indicando che è accesa. Non sono visibili DPI essenziali come occhiali di sicurezza o caschi per l'attore 1 e l'attore 3, mentre l'attore 2 indossa guanti. Materiale granulare sul pavimento potrebbe rappresentare un rischio di scivolamento/inciampo.</t>
        </is>
      </c>
      <c r="P27" t="n">
        <v>0</v>
      </c>
      <c r="Q27" t="n">
        <v>0.0067</v>
      </c>
      <c r="R27" t="n">
        <v>0.237</v>
      </c>
      <c r="S27" t="n">
        <v>0.1588</v>
      </c>
      <c r="T27" t="n">
        <v>0.31</v>
      </c>
      <c r="U27" t="n">
        <v>0</v>
      </c>
      <c r="V27" t="n">
        <v>0</v>
      </c>
      <c r="W27" t="n">
        <v>0.066</v>
      </c>
      <c r="X27" t="n">
        <v>0</v>
      </c>
      <c r="Y27" t="n">
        <v>0</v>
      </c>
      <c r="Z27" t="n">
        <v>0</v>
      </c>
      <c r="AA27" t="n">
        <v>0.0067</v>
      </c>
      <c r="AB27" t="n">
        <v>0.144</v>
      </c>
      <c r="AC27" t="n">
        <v>0.0965</v>
      </c>
      <c r="AD27" t="n">
        <v>0.19</v>
      </c>
      <c r="AE27" t="n">
        <v>0.75</v>
      </c>
      <c r="AF27" t="n">
        <v>0.9734</v>
      </c>
      <c r="AG27" t="n">
        <v>0.38</v>
      </c>
      <c r="AH27" t="n">
        <v>36.9892</v>
      </c>
      <c r="AI27" t="n">
        <v>72.23</v>
      </c>
      <c r="AJ27" t="n">
        <v>1</v>
      </c>
      <c r="AK27" t="n">
        <v>1</v>
      </c>
      <c r="AL27" t="n">
        <v>0.044</v>
      </c>
      <c r="AM27" t="n">
        <v>4.4</v>
      </c>
      <c r="AN27" t="n">
        <v>8.59</v>
      </c>
      <c r="AO27" t="n">
        <v>0.75</v>
      </c>
      <c r="AP27" t="n">
        <v>0.8080000000000001</v>
      </c>
      <c r="AQ27" t="n">
        <v>0.101</v>
      </c>
      <c r="AR27" t="n">
        <v>8.1608</v>
      </c>
      <c r="AS27" t="n">
        <v>15.94</v>
      </c>
      <c r="AT27" t="n">
        <v>0.5</v>
      </c>
      <c r="AU27" t="n">
        <v>0.5</v>
      </c>
      <c r="AV27" t="n">
        <v>0.028</v>
      </c>
      <c r="AW27" t="n">
        <v>1.4</v>
      </c>
      <c r="AX27" t="n">
        <v>2.73</v>
      </c>
    </row>
    <row r="28">
      <c r="A28" t="n">
        <v>26</v>
      </c>
      <c r="B28" t="n">
        <v>52</v>
      </c>
      <c r="C28" t="n">
        <v>56</v>
      </c>
      <c r="D28" t="inlineStr">
        <is>
          <t>{"scene_state": "La scena mostra un ambiente industriale o di officina con un macchinario in funzione o in standby e diverse persone presenti. Sono visibili scaffali con prodotti immagazzinati sullo sfondo.", "environmental_conditions": ["Ambiente interno", "Illuminazione adeguata, probabilmente artificiale", "Data e ora visibili: 2019.09.11 16:36:54"], "actors": ["Un uomo con maglietta a righe e cappellino scuro (a sinistra)", "Un uomo con maglietta rosa/arancione chiaro (al centro-sinistra, in allontanamento)", "Un uomo con maglietta blu (al centro-destra, di fronte al macchinario)", "Una persona parzialmente visibile dietro l'uomo in maglietta rosa"], "objects": ["Cesti/contenitori di plastica colorati impilati su scaffali", "Un tavolo/supporto bianco in primo piano", "Possibili attrezzi (es. martello) vicino al bordo inferiore sinistro", "Detriti o materiale sparso sul pavimento vicino al macchinario"], "machines": ["Un grande macchinario industriale con telaio arancione, probabilmente una pressa a iniezione, con pannello di controllo e schermo. Il marchio 'MIR' è visibile."], "observable_actions": ["L'uomo in maglietta blu è in piedi vicino al macchinario, osservando o interagendo con esso", "L'uomo in maglietta rosa si sta allontanando dal macchinario", "L'uomo in maglietta a righe è in piedi vicino al tavolo bianco, guardando verso il macchinario", "Il macchinario ha la piastra mobile aperta, indicando un ciclo di lavoro o una fase di preparazione"], "notes_visibility_limitations": "Alcune parti della scena sono fuori campo. Alcuni individui sono parzialmente oscurati. La natura esatta dell'interazione con il macchinario non è completamente chiara. Gli oggetti sul tavolo bianco non sono ben distinguibili."}</t>
        </is>
      </c>
      <c r="E28" t="inlineStr">
        <is>
          <t>{"unsafe_behaviors": ["Permanenza in prossimità critica di una macchina industriale (pressa) con piastra mobile aperta.", "Potenziale interazione con macchinari senza adeguata distanza di sicurezza o procedure di blocco/tagout (non verificabile)."], "vulnerable_elements": ["Operatore in maglietta blu esposto a punti di schiacciamento della macchina.", "Altri operatori nell'area a causa della mancanza di DPI essenziali."], "risk_cues": {"R1_pedestrian_vehicle_interference": 0.0, "R2_pedestrian_segregation_violation": 0.0, "R3_load_storage_instability": 0.0, "R4_crush_points_dangerous_parts_exposure": 0.75, "R5_unsafe_operational_proximity": 0.75, "R6_unsafe_behavior_posture_manoeuvre": 0.5, "R7_essential_ppe_non_compliance": 0.75}, "cue_confidence": 0.9, "diagnostic_notes": "L'operatore in maglietta blu si trova in prossimità critica della piastra mobile aperta di una pressa industriale, esponendosi a potenziali punti di schiacciamento. Non sono visibili caschi per nessuno degli operatori in un ambiente industriale con macchinari pesanti. Non è possibile determinare se la macchina sia bloccata o inattiva in sicurezza durante la presenza dell'operatore in zona pericolosa."}</t>
        </is>
      </c>
      <c r="F28" t="inlineStr">
        <is>
          <t>{"causal_chain_plausible": true, "causal_chain_text": "L'operatore in maglietta blu si trova in prossimità critica della piastra mobile aperta di una pressa industriale. In assenza di DPI essenziali (casco) e con la macchina in uno stato che potrebbe indicare un ciclo di lavoro o preparazione, un avvio inatteso o una chiusura improvvisa della piastra potrebbe causare un impatto o schiacciamento dell'operatore.", "near_miss_or_incident_scenario": "L'operatore in maglietta blu, posizionato troppo vicino alla pressa, viene colpito o schiacciato dalla piastra mobile che si chiude improvvisamente, causando lesioni fisiche.", "contributing_factors": ["Prossimità critica dell'operatore a punti di schiacciamento della macchina", "Piastra mobile della pressa aperta, indicando un potenziale movimento", "Mancanza di DPI essenziali (casco) per gli operatori nell'ambiente industriale", "Incertezza sullo stato di sicurezza della macchina (es. blocco/tagout non verificabile)"]}</t>
        </is>
      </c>
      <c r="G28" t="n">
        <v>85</v>
      </c>
      <c r="H28" t="inlineStr">
        <is>
          <t>L'operatore si trova in prossimità critica di una pressa industriale con piastra mobile aperta, esponendosi a gravi rischi di schiacciamento. La mancanza di DPI essenziali (casco) per tutti gli operatori nell'area aggrava ulteriormente il rischio.</t>
        </is>
      </c>
      <c r="I28" t="n">
        <v>91.59999999999999</v>
      </c>
      <c r="J28" t="inlineStr">
        <is>
          <t>rosso</t>
        </is>
      </c>
      <c r="K28" t="n">
        <v>47.86</v>
      </c>
      <c r="L28" t="n">
        <v>55.25</v>
      </c>
      <c r="M28" t="inlineStr">
        <is>
          <t>arancione</t>
        </is>
      </c>
      <c r="N28" t="n">
        <v>0.9</v>
      </c>
      <c r="O28" t="inlineStr">
        <is>
          <t>L'operatore in maglietta blu si trova in prossimità critica della piastra mobile aperta di una pressa industriale, esponendosi a potenziali punti di schiacciamento. Non sono visibili caschi per nessuno degli operatori in un ambiente industriale con macchinari pesanti. Non è possibile determinare se la macchina sia bloccata o inattiva in sicurezza durante la presenza dell'operatore in zona pericolosa.</t>
        </is>
      </c>
      <c r="P28" t="n">
        <v>0</v>
      </c>
      <c r="Q28" t="n">
        <v>0.0067</v>
      </c>
      <c r="R28" t="n">
        <v>0.237</v>
      </c>
      <c r="S28" t="n">
        <v>0.1588</v>
      </c>
      <c r="T28" t="n">
        <v>0.33</v>
      </c>
      <c r="U28" t="n">
        <v>0</v>
      </c>
      <c r="V28" t="n">
        <v>0</v>
      </c>
      <c r="W28" t="n">
        <v>0.066</v>
      </c>
      <c r="X28" t="n">
        <v>0</v>
      </c>
      <c r="Y28" t="n">
        <v>0</v>
      </c>
      <c r="Z28" t="n">
        <v>0</v>
      </c>
      <c r="AA28" t="n">
        <v>0.0067</v>
      </c>
      <c r="AB28" t="n">
        <v>0.144</v>
      </c>
      <c r="AC28" t="n">
        <v>0.0965</v>
      </c>
      <c r="AD28" t="n">
        <v>0.2</v>
      </c>
      <c r="AE28" t="n">
        <v>0.75</v>
      </c>
      <c r="AF28" t="n">
        <v>0.9734</v>
      </c>
      <c r="AG28" t="n">
        <v>0.38</v>
      </c>
      <c r="AH28" t="n">
        <v>36.9892</v>
      </c>
      <c r="AI28" t="n">
        <v>77.29000000000001</v>
      </c>
      <c r="AJ28" t="n">
        <v>0.75</v>
      </c>
      <c r="AK28" t="n">
        <v>0.5625</v>
      </c>
      <c r="AL28" t="n">
        <v>0.044</v>
      </c>
      <c r="AM28" t="n">
        <v>2.475</v>
      </c>
      <c r="AN28" t="n">
        <v>5.17</v>
      </c>
      <c r="AO28" t="n">
        <v>0.5</v>
      </c>
      <c r="AP28" t="n">
        <v>0.6671</v>
      </c>
      <c r="AQ28" t="n">
        <v>0.101</v>
      </c>
      <c r="AR28" t="n">
        <v>6.7377</v>
      </c>
      <c r="AS28" t="n">
        <v>14.08</v>
      </c>
      <c r="AT28" t="n">
        <v>0.75</v>
      </c>
      <c r="AU28" t="n">
        <v>0.5</v>
      </c>
      <c r="AV28" t="n">
        <v>0.028</v>
      </c>
      <c r="AW28" t="n">
        <v>1.4</v>
      </c>
      <c r="AX28" t="n">
        <v>2.93</v>
      </c>
    </row>
    <row r="29">
      <c r="A29" t="n">
        <v>27</v>
      </c>
      <c r="B29" t="n">
        <v>54</v>
      </c>
      <c r="C29" t="n">
        <v>58</v>
      </c>
      <c r="D29" t="inlineStr">
        <is>
          <t>{"scene_state": "Ambiente industriale, area di produzione.", "environmental_conditions": ["Ben illuminato", "Interno", "Spazio di lavoro con materiali vari"], "actors": ["Uomo in maglietta blu, vicino al macchinario.", "Uomo in maglietta a righe, si muove nell'area.", "Uomo in maglietta rosa, si muove sullo sfondo."], "objects": ["Contenitori di plastica impilati (vari colori).", "Sacchi bianchi.", "Tavolo/supporto bianco.", "Utensili (rosso, verde) sul tavolo.", "Oggetto cilindrico nero a terra.", "Cavi/tubi a terra."], "machines": ["Grande macchina industriale arancione/bianca con pannello di controllo e schermo (probabile pressa a iniezione)."], "observable_actions": ["Uomo in maglietta blu fermo vicino al macchinario.", "Uomo in maglietta a righe maneggia e posiziona a terra un oggetto cilindrico nero, poi si sposta.", "Uomo in maglietta rosa si muove sullo sfondo, vicino a scaffali.", "Macchinario inattivo, senza movimenti visibili."], "notes_visibility_limitations": "Aree dello sfondo parzialmente oscurate da scaffali e materiali. Interazione uomo in blu con macchina non completamente chiara."}</t>
        </is>
      </c>
      <c r="E29" t="inlineStr">
        <is>
          <t>{"unsafe_behaviors": ["Permanenza in zona critica di una macchina industriale (pressa) senza chiare barriere o procedure di sicurezza.", "Mancanza di DPI essenziali (caschi) in un ambiente industriale con macchinari pesanti."], "vulnerable_elements": ["Operatore in maglietta blu, esposto a potenziali rischi di schiacciamento.", "Tutti gli operatori, per l'assenza di caschi."], "risk_cues": {"R1_pedestrian_vehicle_interference": 0.0, "R2_pedestrian_segregation_violation": 0.0, "R3_load_storage_instability": 0.0, "R4_crush_points_dangerous_parts_exposure": 0.75, "R5_unsafe_operational_proximity": 0.75, "R6_unsafe_behavior_posture_manoeuvre": 0.75, "R7_essential_ppe_non_compliance": 0.75}, "cue_confidence": 0.8, "diagnostic_notes": "L'operatore in maglietta blu si trova in prossimità critica della zona di lavoro di una grande pressa industriale, che presenta punti di schiacciamento. Sebbene la macchina appaia inattiva, la sua posizione è intrinsecamente pericolosa. Si osserva l'assenza di caschi per tutti gli operatori in un ambiente industriale con macchinari pesanti. La natura esatta dell'interazione dell'uomo in blu con la macchina non è completamente chiara, ma la prossimità è evidente."}</t>
        </is>
      </c>
      <c r="F29" t="inlineStr">
        <is>
          <t>{"causal_chain_plausible": true, "causal_chain_text": "Operatore in prossimità di punti di schiacciamento di macchina industriale inattiva -&gt; Attivazione improvvisa o accidentale della macchina -&gt; Operatore intrappolato/schiacciato.", "near_miss_or_incident_scenario": "L'operatore in maglietta blu viene schiacciato o colpito da una parte mobile della pressa industriale a seguito di un'attivazione improvvisa o accidentale, mentre si trova nella zona di pericolo.", "contributing_factors": ["Presenza dell'operatore in zona di pericolo della macchina", "Punti di schiacciamento sulla macchina industriale", "Mancanza di barriere fisiche o procedure di sicurezza chiare", "Assenza di DPI essenziali (caschi) per gli operatori."]}</t>
        </is>
      </c>
      <c r="G29" t="n">
        <v>85</v>
      </c>
      <c r="H29" t="inlineStr">
        <is>
          <t>Il punteggio è elevato a causa della presenza di un operatore in prossimità critica di punti di schiacciamento di una pressa industriale, con rischio di attivazione accidentale. L'assenza di DPI essenziali (caschi) per tutti gli operatori aggrava ulteriormente il rischio complessivo.</t>
        </is>
      </c>
      <c r="I29" t="n">
        <v>88.95999999999999</v>
      </c>
      <c r="J29" t="inlineStr">
        <is>
          <t>rosso</t>
        </is>
      </c>
      <c r="K29" t="n">
        <v>49.28</v>
      </c>
      <c r="L29" t="n">
        <v>54</v>
      </c>
      <c r="M29" t="inlineStr">
        <is>
          <t>arancione</t>
        </is>
      </c>
      <c r="N29" t="n">
        <v>0.8</v>
      </c>
      <c r="O29" t="inlineStr">
        <is>
          <t>L'operatore in maglietta blu si trova in prossimità critica della zona di lavoro di una grande pressa industriale, che presenta punti di schiacciamento. Sebbene la macchina appaia inattiva, la sua posizione è intrinsecamente pericolosa. Si osserva l'assenza di caschi per tutti gli operatori in un ambiente industriale con macchinari pesanti. La natura esatta dell'interazione dell'uomo in blu con la macchina non è completamente chiara, ma la prossimità è evidente.</t>
        </is>
      </c>
      <c r="P29" t="n">
        <v>0</v>
      </c>
      <c r="Q29" t="n">
        <v>0.0067</v>
      </c>
      <c r="R29" t="n">
        <v>0.237</v>
      </c>
      <c r="S29" t="n">
        <v>0.1588</v>
      </c>
      <c r="T29" t="n">
        <v>0.32</v>
      </c>
      <c r="U29" t="n">
        <v>0</v>
      </c>
      <c r="V29" t="n">
        <v>0</v>
      </c>
      <c r="W29" t="n">
        <v>0.066</v>
      </c>
      <c r="X29" t="n">
        <v>0</v>
      </c>
      <c r="Y29" t="n">
        <v>0</v>
      </c>
      <c r="Z29" t="n">
        <v>0</v>
      </c>
      <c r="AA29" t="n">
        <v>0.0067</v>
      </c>
      <c r="AB29" t="n">
        <v>0.144</v>
      </c>
      <c r="AC29" t="n">
        <v>0.0965</v>
      </c>
      <c r="AD29" t="n">
        <v>0.2</v>
      </c>
      <c r="AE29" t="n">
        <v>0.75</v>
      </c>
      <c r="AF29" t="n">
        <v>0.9734</v>
      </c>
      <c r="AG29" t="n">
        <v>0.38</v>
      </c>
      <c r="AH29" t="n">
        <v>36.9892</v>
      </c>
      <c r="AI29" t="n">
        <v>75.06</v>
      </c>
      <c r="AJ29" t="n">
        <v>0.75</v>
      </c>
      <c r="AK29" t="n">
        <v>0.5625</v>
      </c>
      <c r="AL29" t="n">
        <v>0.044</v>
      </c>
      <c r="AM29" t="n">
        <v>2.475</v>
      </c>
      <c r="AN29" t="n">
        <v>5.02</v>
      </c>
      <c r="AO29" t="n">
        <v>0.75</v>
      </c>
      <c r="AP29" t="n">
        <v>0.8080000000000001</v>
      </c>
      <c r="AQ29" t="n">
        <v>0.101</v>
      </c>
      <c r="AR29" t="n">
        <v>8.1608</v>
      </c>
      <c r="AS29" t="n">
        <v>16.56</v>
      </c>
      <c r="AT29" t="n">
        <v>0.75</v>
      </c>
      <c r="AU29" t="n">
        <v>0.5</v>
      </c>
      <c r="AV29" t="n">
        <v>0.028</v>
      </c>
      <c r="AW29" t="n">
        <v>1.4</v>
      </c>
      <c r="AX29" t="n">
        <v>2.84</v>
      </c>
    </row>
    <row r="30">
      <c r="A30" t="n">
        <v>28</v>
      </c>
      <c r="B30" t="n">
        <v>56</v>
      </c>
      <c r="C30" t="n">
        <v>60</v>
      </c>
      <c r="D30" t="inlineStr">
        <is>
          <t>{"scene_state": "Ambiente industriale di produzione con macchinari e prodotti finiti.", "environmental_conditions": ["Interno", "Ben illuminato"], "actors": ["Due individui di sesso maschile"], "objects": ["Sedie di plastica impilate di vari colori (verde, rosso, blu)", "Sacchi bianchi", "Un oggetto cilindrico nero", "Un tavolo/carrello bianco con piccoli oggetti sopra"], "machines": ["Una grande macchina industriale (probabilmente una pressa a iniezione) di colore arancione e bianco", "Un pannello di controllo con schermo digitale sulla macchina"], "observable_actions": ["Un individuo con maglietta a righe si sposta da un oggetto cilindrico nero verso l'area delle sedie impilate", "Un secondo individuo con maglietta blu si muove vicino alla macchina e poi si allontana verso l'area delle sedie impilate"], "notes_visibility_limitations": "Alcune aree della scena sono fuori campo o parzialmente oscurate da macchinari e oggetti."}</t>
        </is>
      </c>
      <c r="E30" t="inlineStr">
        <is>
          <t>{"unsafe_behaviors": ["Mancanza di DPI essenziali (casco, occhiali di protezione) in un ambiente industriale", "Prossimità di un operatore alla zona operativa di una macchina industriale in funzione"], "vulnerable_elements": ["Operatori (esposti a rischi da macchinari e senza DPI adeguati)", "Zona operativa della pressa a iniezione"], "risk_cues": {"R1_pedestrian_vehicle_interference": 0.0, "R2_pedestrian_segregation_violation": 0.0, "R3_load_storage_instability": 0.0, "R4_crush_points_dangerous_parts_exposure": 0.5, "R5_unsafe_operational_proximity": 0.5, "R6_unsafe_behavior_posture_manoeuvre": 0.0, "R7_essential_ppe_non_compliance": 0.75}, "cue_confidence": 0.9, "diagnostic_notes": "La scena mostra un ambiente di produzione industriale con una grande pressa a iniezione. Un operatore si avvicina brevemente alla zona operativa della macchina. Si rileva la mancanza di DPI essenziali come caschi e occhiali di protezione per entrambi gli operatori, il che rappresenta una non conformità significativa per questo tipo di ambiente. Non sono presenti mezzi mobili né instabilità di carichi."}</t>
        </is>
      </c>
      <c r="F30" t="inlineStr">
        <is>
          <t>{"causal_chain_plausible": true, "causal_chain_text": "La mancanza di DPI essenziali (occhiali, casco) e la prossimità di un operatore alla zona operativa di una pressa a iniezione in funzione aumentano l'esposizione a pericoli meccanici (schiacciamento) o di proiezione di materiale, potendo causare infortuni.", "near_miss_or_incident_scenario": "Un operatore, privo di DPI adeguati, si avvicina alla zona operativa della pressa. Un movimento inatteso della macchina o la proiezione di materiale causa un infortunio (es. agli occhi o alla testa) o un near miss per un soffio.", "contributing_factors": ["Mancanza di DPI essenziali (casco, occhiali di protezione)", "Prossimità di un operatore alla zona operativa di una macchina industriale in funzione", "Presenza di punti di schiacciamento e parti pericolose esposte (R4)", "Natura del macchinario (pressa a iniezione)"]}</t>
        </is>
      </c>
      <c r="G30" t="n">
        <v>75</v>
      </c>
      <c r="H30" t="inlineStr">
        <is>
          <t>Il punteggio è elevato a causa della grave non conformità con i DPI essenziali (casco, occhiali) in un ambiente industriale. La prossimità dell'operatore a una pressa a iniezione in funzione, con punti di schiacciamento esposti, aumenta significativamente il rischio di infortuni gravi.</t>
        </is>
      </c>
      <c r="I30" t="n">
        <v>83.38</v>
      </c>
      <c r="J30" t="inlineStr">
        <is>
          <t>rosso</t>
        </is>
      </c>
      <c r="K30" t="n">
        <v>27.29</v>
      </c>
      <c r="L30" t="n">
        <v>43.32</v>
      </c>
      <c r="M30" t="inlineStr">
        <is>
          <t>giallo</t>
        </is>
      </c>
      <c r="N30" t="n">
        <v>0.9</v>
      </c>
      <c r="O30" t="inlineStr">
        <is>
          <t>La scena mostra un ambiente di produzione industriale con una grande pressa a iniezione. Un operatore si avvicina brevemente alla zona operativa della macchina. Si rileva la mancanza di DPI essenziali come caschi e occhiali di protezione per entrambi gli operatori, il che rappresenta una non conformità significativa per questo tipo di ambiente. Non sono presenti mezzi mobili né instabilità di carichi.</t>
        </is>
      </c>
      <c r="P30" t="n">
        <v>0</v>
      </c>
      <c r="Q30" t="n">
        <v>0.0067</v>
      </c>
      <c r="R30" t="n">
        <v>0.237</v>
      </c>
      <c r="S30" t="n">
        <v>0.1588</v>
      </c>
      <c r="T30" t="n">
        <v>0.58</v>
      </c>
      <c r="U30" t="n">
        <v>0</v>
      </c>
      <c r="V30" t="n">
        <v>0</v>
      </c>
      <c r="W30" t="n">
        <v>0.066</v>
      </c>
      <c r="X30" t="n">
        <v>0</v>
      </c>
      <c r="Y30" t="n">
        <v>0</v>
      </c>
      <c r="Z30" t="n">
        <v>0</v>
      </c>
      <c r="AA30" t="n">
        <v>0.0067</v>
      </c>
      <c r="AB30" t="n">
        <v>0.144</v>
      </c>
      <c r="AC30" t="n">
        <v>0.0965</v>
      </c>
      <c r="AD30" t="n">
        <v>0.35</v>
      </c>
      <c r="AE30" t="n">
        <v>0.5</v>
      </c>
      <c r="AF30" t="n">
        <v>0.6457000000000001</v>
      </c>
      <c r="AG30" t="n">
        <v>0.38</v>
      </c>
      <c r="AH30" t="n">
        <v>24.5366</v>
      </c>
      <c r="AI30" t="n">
        <v>89.91</v>
      </c>
      <c r="AJ30" t="n">
        <v>0.5</v>
      </c>
      <c r="AK30" t="n">
        <v>0.25</v>
      </c>
      <c r="AL30" t="n">
        <v>0.044</v>
      </c>
      <c r="AM30" t="n">
        <v>1.1</v>
      </c>
      <c r="AN30" t="n">
        <v>4.03</v>
      </c>
      <c r="AO30" t="n">
        <v>0</v>
      </c>
      <c r="AP30" t="n">
        <v>0</v>
      </c>
      <c r="AQ30" t="n">
        <v>0.101</v>
      </c>
      <c r="AR30" t="n">
        <v>0</v>
      </c>
      <c r="AS30" t="n">
        <v>0</v>
      </c>
      <c r="AT30" t="n">
        <v>0.75</v>
      </c>
      <c r="AU30" t="n">
        <v>0.5</v>
      </c>
      <c r="AV30" t="n">
        <v>0.028</v>
      </c>
      <c r="AW30" t="n">
        <v>1.4</v>
      </c>
      <c r="AX30" t="n">
        <v>5.13</v>
      </c>
    </row>
    <row r="31">
      <c r="A31" t="n">
        <v>29</v>
      </c>
      <c r="B31" t="n">
        <v>58</v>
      </c>
      <c r="C31" t="n">
        <v>62</v>
      </c>
      <c r="D31" t="inlineStr">
        <is>
          <t>{"scene_state": "La scena mostra un ambiente industriale interno, probabilmente una fabbrica o un magazzino, con un macchinario industriale in primo piano e aree di stoccaggio sullo sfondo.", "environmental_conditions": ["Illuminazione interna adeguata.", "Data e ora visibili: 2019.09.11 16:36:59 - 2019.09.11 16:37:01."], "actors": ["Una persona con maglietta blu si muove da sinistra a destra sullo sfondo.", "Una persona parzialmente visibile con maglietta a righe sulla sinistra."], "objects": ["Sedie di plastica impilate (rosse, verdi, blu) su scaffali.", "Sacchi bianchi sul pavimento.", "Un oggetto cilindrico nero a sinistra.", "Una scatola bianca con piccoli oggetti (penne) in primo piano.", "Detriti di plastica sparsi sul pavimento."], "machines": ["Una grande macchina industriale arancione e bianca (probabilmente una pressa a iniezione) con un pannello di controllo e uno schermo illuminato."], "observable_actions": ["La persona con la maglietta blu cammina sullo sfondo.", "La macchina rimane in uno stato statico o di ciclo lento; i componenti interni sono visibili ma non mostrano movimenti rapidi."], "notes_visibility_limitations": "Alcune aree della scena sono fuori campo. La persona a sinistra è parzialmente occlusa. I dettagli operativi della macchina non sono completamente chiari data la breve durata della clip."}</t>
        </is>
      </c>
      <c r="E31" t="inlineStr">
        <is>
          <t>{"unsafe_behaviors": ["Assenza di DPI essenziali visibili sul lavoratore in movimento"], "vulnerable_elements": ["Lavoratore in ambiente industriale senza DPI essenziali visibili"], "risk_cues": {"R1_pedestrian_vehicle_interference": 0.0, "R2_pedestrian_segregation_violation": 0.25, "R3_load_storage_instability": 0.0, "R4_crush_points_dangerous_parts_exposure": 0.0, "R5_unsafe_operational_proximity": 0.0, "R6_unsafe_behavior_posture_manoeuvre": 0.0, "R7_essential_ppe_non_compliance": 0.5}, "cue_confidence": 0.7, "diagnostic_notes": "Nessun problema di sicurezza critico immediato osservato nella breve clip. La macchina principale sembra essere in funzione o in standby senza interazione umana diretta con le sue parti in movimento. Il lavoratore sullo sfondo cammina in un'area generica della fabbrica; l'assenza di DPI visibili (es. elmetto, occhiali di sicurezza) è notata, ma i requisiti specifici per quest'area/compito non sono noti. Non sono presenti mezzi mobili che possano causare problemi R1 o R2 diretti. La scena manca di percorsi pedonali chiari o segnaletica di segregazione, rendendo la valutazione R2 ambigua senza ulteriore contesto."}</t>
        </is>
      </c>
      <c r="F31" t="inlineStr">
        <is>
          <t>{"causal_chain_plausible": true, "causal_chain_text": "Un lavoratore si muove in un ambiente industriale con detriti a terra e senza DPI essenziali visibili. Questo aumenta il rischio di esposizione a pericoli ambientali e di infortunio in caso di incidente (es. caduta).", "near_miss_or_incident_scenario": "Il lavoratore, camminando, inciampa sui detriti di plastica sparsi sul pavimento. La mancanza di DPI (es. scarpe antinfortunistiche) non offre protezione adeguata, portando a una lesione al piede o a una caduta con conseguenze più gravi.", "contributing_factors": ["Assenza di DPI essenziali visibili sul lavoratore", "Presenza di detriti di plastica sparsi sul pavimento", "Ambiente industriale con macchinari e potenziale esposizione a pericoli generici", "Mancanza di percorsi pedonali chiari o segnaletica di segregazione"]}</t>
        </is>
      </c>
      <c r="G31" t="n">
        <v>50</v>
      </c>
      <c r="H31" t="inlineStr">
        <is>
          <t>L'assenza di DPI essenziali visibili sul lavoratore in un ambiente industriale con detriti a terra aumenta il rischio di infortunio, in particolare per cadute o esposizione a pericoli generici.</t>
        </is>
      </c>
      <c r="I31" t="n">
        <v>70.03</v>
      </c>
      <c r="J31" t="inlineStr">
        <is>
          <t>arancione</t>
        </is>
      </c>
      <c r="K31" t="n">
        <v>3.48</v>
      </c>
      <c r="L31" t="n">
        <v>27.38</v>
      </c>
      <c r="M31" t="inlineStr">
        <is>
          <t>giallo</t>
        </is>
      </c>
      <c r="N31" t="n">
        <v>0.7</v>
      </c>
      <c r="O31" t="inlineStr">
        <is>
          <t>Nessun problema di sicurezza critico immediato osservato nella breve clip. La macchina principale sembra essere in funzione o in standby senza interazione umana diretta con le sue parti in movimento. Il lavoratore sullo sfondo cammina in un'area generica della fabbrica; l'assenza di DPI visibili (es. elmetto, occhiali di sicurezza) è notata, ma i requisiti specifici per quest'area/compito non sono noti. Non sono presenti mezzi mobili che possano causare problemi R1 o R2 diretti. La scena manca di percorsi pedonali chiari o segnaletica di segregazione, rendendo la valutazione R2 ambigua senza ulteriore contesto.</t>
        </is>
      </c>
      <c r="P31" t="n">
        <v>0</v>
      </c>
      <c r="Q31" t="n">
        <v>0.0067</v>
      </c>
      <c r="R31" t="n">
        <v>0.237</v>
      </c>
      <c r="S31" t="n">
        <v>0.1588</v>
      </c>
      <c r="T31" t="n">
        <v>4.56</v>
      </c>
      <c r="U31" t="n">
        <v>0.25</v>
      </c>
      <c r="V31" t="n">
        <v>0.25</v>
      </c>
      <c r="W31" t="n">
        <v>0.066</v>
      </c>
      <c r="X31" t="n">
        <v>1.65</v>
      </c>
      <c r="Y31" t="n">
        <v>47.41</v>
      </c>
      <c r="Z31" t="n">
        <v>0</v>
      </c>
      <c r="AA31" t="n">
        <v>0.0067</v>
      </c>
      <c r="AB31" t="n">
        <v>0.144</v>
      </c>
      <c r="AC31" t="n">
        <v>0.0965</v>
      </c>
      <c r="AD31" t="n">
        <v>2.77</v>
      </c>
      <c r="AE31" t="n">
        <v>0</v>
      </c>
      <c r="AF31" t="n">
        <v>0.0045</v>
      </c>
      <c r="AG31" t="n">
        <v>0.38</v>
      </c>
      <c r="AH31" t="n">
        <v>0.171</v>
      </c>
      <c r="AI31" t="n">
        <v>4.91</v>
      </c>
      <c r="AJ31" t="n">
        <v>0</v>
      </c>
      <c r="AK31" t="n">
        <v>0</v>
      </c>
      <c r="AL31" t="n">
        <v>0.044</v>
      </c>
      <c r="AM31" t="n">
        <v>0</v>
      </c>
      <c r="AN31" t="n">
        <v>0</v>
      </c>
      <c r="AO31" t="n">
        <v>0</v>
      </c>
      <c r="AP31" t="n">
        <v>0</v>
      </c>
      <c r="AQ31" t="n">
        <v>0.101</v>
      </c>
      <c r="AR31" t="n">
        <v>0</v>
      </c>
      <c r="AS31" t="n">
        <v>0</v>
      </c>
      <c r="AT31" t="n">
        <v>0.5</v>
      </c>
      <c r="AU31" t="n">
        <v>0.5</v>
      </c>
      <c r="AV31" t="n">
        <v>0.028</v>
      </c>
      <c r="AW31" t="n">
        <v>1.4</v>
      </c>
      <c r="AX31" t="n">
        <v>40.23</v>
      </c>
    </row>
    <row r="32">
      <c r="A32" t="n">
        <v>30</v>
      </c>
      <c r="B32" t="n">
        <v>60</v>
      </c>
      <c r="C32" t="n">
        <v>62.533</v>
      </c>
      <c r="D32" t="inlineStr">
        <is>
          <t>{"scene_state": "La scena mostra un ambiente industriale, probabilmente un'officina di produzione o un magazzino, con macchinari in funzione e prodotti stoccati.", "environmental_conditions": ["Illuminazione ambientale adeguata.", "L'area appare generalmente ordinata, con prodotti impilati e materiali stoccati."], "actors": [], "objects": ["Casse/cestini di plastica impilati (verdi, rossi, blu, grigi) su scaffali sullo sfondo.", "Sacchi bianchi (possibilmente di materia prima) sul pavimento.", "Contenitori cilindrici neri sul pavimento.", "Una scatola/contenitore bianco sul pavimento in primo piano, con piccoli oggetti (penne/marcatori) sopra.", "Detriti o scarti di plastica sparsi sul pavimento vicino alla macchina."], "machines": ["Una grande macchina industriale di colore arancione e grigio, probabilmente una pressa ad iniezione, con un pannello di controllo dotato di schermo e pulsanti. La macchina è in funzione."], "observable_actions": ["La macchina industriale è in movimento; i suoi componenti interni (piatto mobile) si stanno chiudendo o serrando, indicando un ciclo di produzione in corso."], "notes_visibility_limitations": "La visibilità è limitata all'inquadratura fissa della telecamera. Alcune aree della stanza non sono visibili. La natura esatta del contenuto dei sacchi e dei contenitori non è chiaramente identificabile."}</t>
        </is>
      </c>
      <c r="E32" t="inlineStr">
        <is>
          <t>{"unsafe_behaviors": [], "vulnerable_elements": [], "risk_cues": {"R1_pedestrian_vehicle_interference": 0.0, "R2_pedestrian_segregation_violation": 0.0, "R3_load_storage_instability": 0.0, "R4_crush_points_dangerous_parts_exposure": 0.25, "R5_unsafe_operational_proximity": 0.0, "R6_unsafe_behavior_posture_manoeuvre": 0.0, "R7_essential_ppe_non_compliance": 0.0}, "cue_confidence": 0.5, "diagnostic_notes": "Nessun operatore o pedone è visibile nella clip, pertanto non è possibile valutare rischi legati all'interazione umana o all'uso di DPI. La macchina è in funzione e presenta punti di schiacciamento intrinseci (piatto mobile visibile), ma non si osserva esposizione diretta. Sono presenti detriti di plastica sul pavimento vicino alla macchina, che potrebbero rappresentare un rischio di inciampo o richiedere un intervento di pulizia."}</t>
        </is>
      </c>
      <c r="F32" t="inlineStr">
        <is>
          <t>{"causal_chain_plausible": true, "causal_chain_text": "La presenza di detriti di plastica sul pavimento vicino alla macchina in funzione crea un rischio di inciampo. Se un operatore dovesse accedere all'area, potrebbe inciampare e cadere, potenzialmente verso i punti di schiacciamento della macchina.", "near_miss_or_incident_scenario": "Un operatore, accedendo all'area di lavoro della macchina, inciampa sui detriti di plastica e cade, sfiorando i componenti mobili della macchina (near miss) o subendo un infortunio da schiacciamento (incidente).", "contributing_factors": ["Detriti di plastica sul pavimento", "Macchina con punti di schiacciamento in funzione", "Mancanza di ordine e pulizia nell'area di lavoro"]}</t>
        </is>
      </c>
      <c r="G32" t="n">
        <v>45</v>
      </c>
      <c r="H32" t="inlineStr">
        <is>
          <t>Il rischio è moderato-significativo a causa della presenza di detriti di plastica sul pavimento vicino a una macchina industriale in funzione con punti di schiacciamento. Questa situazione crea un potenziale rischio di inciampo e caduta verso parti pericolose per un operatore.</t>
        </is>
      </c>
      <c r="I32" t="n">
        <v>60.02</v>
      </c>
      <c r="J32" t="inlineStr">
        <is>
          <t>arancione</t>
        </is>
      </c>
      <c r="K32" t="n">
        <v>3.42</v>
      </c>
      <c r="L32" t="n">
        <v>17.8</v>
      </c>
      <c r="M32" t="inlineStr">
        <is>
          <t>verde</t>
        </is>
      </c>
      <c r="N32" t="n">
        <v>0.5</v>
      </c>
      <c r="O32" t="inlineStr">
        <is>
          <t>Nessun operatore o pedone è visibile nella clip, pertanto non è possibile valutare rischi legati all'interazione umana o all'uso di DPI. La macchina è in funzione e presenta punti di schiacciamento intrinseci (piatto mobile visibile), ma non si osserva esposizione diretta. Sono presenti detriti di plastica sul pavimento vicino alla macchina, che potrebbero rappresentare un rischio di inciampo o richiedere un intervento di pulizia.</t>
        </is>
      </c>
      <c r="P32" t="n">
        <v>0</v>
      </c>
      <c r="Q32" t="n">
        <v>0.0067</v>
      </c>
      <c r="R32" t="n">
        <v>0.237</v>
      </c>
      <c r="S32" t="n">
        <v>0.1588</v>
      </c>
      <c r="T32" t="n">
        <v>4.64</v>
      </c>
      <c r="U32" t="n">
        <v>0</v>
      </c>
      <c r="V32" t="n">
        <v>0</v>
      </c>
      <c r="W32" t="n">
        <v>0.066</v>
      </c>
      <c r="X32" t="n">
        <v>0</v>
      </c>
      <c r="Y32" t="n">
        <v>0</v>
      </c>
      <c r="Z32" t="n">
        <v>0</v>
      </c>
      <c r="AA32" t="n">
        <v>0.0067</v>
      </c>
      <c r="AB32" t="n">
        <v>0.144</v>
      </c>
      <c r="AC32" t="n">
        <v>0.0965</v>
      </c>
      <c r="AD32" t="n">
        <v>2.82</v>
      </c>
      <c r="AE32" t="n">
        <v>0.25</v>
      </c>
      <c r="AF32" t="n">
        <v>0.0832</v>
      </c>
      <c r="AG32" t="n">
        <v>0.38</v>
      </c>
      <c r="AH32" t="n">
        <v>3.1616</v>
      </c>
      <c r="AI32" t="n">
        <v>92.44</v>
      </c>
      <c r="AJ32" t="n">
        <v>0</v>
      </c>
      <c r="AK32" t="n">
        <v>0</v>
      </c>
      <c r="AL32" t="n">
        <v>0.044</v>
      </c>
      <c r="AM32" t="n">
        <v>0</v>
      </c>
      <c r="AN32" t="n">
        <v>0</v>
      </c>
      <c r="AO32" t="n">
        <v>0</v>
      </c>
      <c r="AP32" t="n">
        <v>0</v>
      </c>
      <c r="AQ32" t="n">
        <v>0.101</v>
      </c>
      <c r="AR32" t="n">
        <v>0</v>
      </c>
      <c r="AS32" t="n">
        <v>0</v>
      </c>
      <c r="AT32" t="n">
        <v>0</v>
      </c>
      <c r="AU32" t="n">
        <v>0</v>
      </c>
      <c r="AV32" t="n">
        <v>0.028</v>
      </c>
      <c r="AW32" t="n">
        <v>0</v>
      </c>
      <c r="AX32" t="n">
        <v>0</v>
      </c>
    </row>
    <row r="33">
      <c r="A33" t="n">
        <v>31</v>
      </c>
      <c r="B33" t="n">
        <v>62</v>
      </c>
      <c r="C33" t="n">
        <v>62.533</v>
      </c>
      <c r="D33" t="inlineStr">
        <is>
          <t>{"scene_state": "La scena mostra un ambiente industriale, probabilmente un'area di produzione o magazzino.", "environmental_conditions": ["Ambiente interno ben illuminato."], "actors": [], "objects": ["Pile di sedie o sgabelli in plastica di vari colori (verde, rosso, blu) sullo sfondo a sinistra.", "Sacchi bianchi impilati.", "Un bidone nero.", "Un oggetto bianco a forma di cubo/scatola con piccoli oggetti (simili a penne o utensili) sopra.", "Componenti plastici o scarti sul pavimento vicino alla macchina.", "Cavi vari."], "machines": ["Una grande macchina per lo stampaggio a iniezione di colore arancione e grigio chiaro, dotata di un pannello di controllo digitale e pulsanti."], "observable_actions": ["La parte mobile della pressa della macchina per lo stampaggio a iniezione è in movimento, suggerendo un ciclo di produzione in corso (chiusura o apertura)."], "notes_visibility_limitations": "La parte superiore sinistra della scena è parzialmente fuori campo. Alcuni dettagli sul pavimento sono difficili da distinguere. Il contenuto esatto dei sacchi bianchi non è visibile. L'interno della pressa non è completamente visibile."}</t>
        </is>
      </c>
      <c r="E33" t="inlineStr">
        <is>
          <t>{"unsafe_behaviors": [], "vulnerable_elements": ["Punti di schiacciamento della pressa in movimento della macchina per lo stampaggio a iniezione."], "risk_cues": {"R1_pedestrian_vehicle_interference": 0.0, "R2_pedestrian_segregation_violation": 0.0, "R3_load_storage_instability": 0.0, "R4_crush_points_dangerous_parts_exposure": 0.0, "R5_unsafe_operational_proximity": 0.0, "R6_unsafe_behavior_posture_manoeuvre": 0.0, "R7_essential_ppe_non_compliance": 0.0}, "cue_confidence": 1.0, "diagnostic_notes": "Nessun operatore è visibile nella finestra temporale analizzata, impedendo la valutazione dei rischi legati all'interazione umana (R1, R2, R4, R5, R6, R7). La macchina per lo stampaggio a iniezione è in funzione con la pressa in movimento, indicando la presenza di punti di schiacciamento intrinseci, ma senza esposizione attuale di personale."}</t>
        </is>
      </c>
      <c r="F33" t="inlineStr">
        <is>
          <t>{"causal_chain_plausible": false, "causal_chain_text": "", "near_miss_or_incident_scenario": "", "contributing_factors": ["Presenza di una macchina per lo stampaggio a iniezione in funzione.", "Movimento della pressa della macchina.", "Presenza di punti di schiacciamento intrinseci alla macchina."]}</t>
        </is>
      </c>
      <c r="G33" t="n">
        <v>15</v>
      </c>
      <c r="H33" t="inlineStr">
        <is>
          <t>La macchina per lo stampaggio a iniezione è in funzione con punti di schiacciamento in movimento. Tuttavia, nessun operatore è visibile nella scena, riducendo il rischio immediato di esposizione.</t>
        </is>
      </c>
      <c r="I33" t="n">
        <v>42.01</v>
      </c>
      <c r="J33" t="inlineStr">
        <is>
          <t>giallo</t>
        </is>
      </c>
      <c r="K33" t="n">
        <v>0.43</v>
      </c>
      <c r="L33" t="n">
        <v>10.85</v>
      </c>
      <c r="M33" t="inlineStr">
        <is>
          <t>verde</t>
        </is>
      </c>
      <c r="N33" t="n">
        <v>1</v>
      </c>
      <c r="O33" t="inlineStr">
        <is>
          <t>Nessun operatore è visibile nella finestra temporale analizzata, impedendo la valutazione dei rischi legati all'interazione umana (R1, R2, R4, R5, R6, R7). La macchina per lo stampaggio a iniezione è in funzione con la pressa in movimento, indicando la presenza di punti di schiacciamento intrinseci, ma senza esposizione attuale di personale.</t>
        </is>
      </c>
      <c r="P33" t="n">
        <v>0</v>
      </c>
      <c r="Q33" t="n">
        <v>0.0067</v>
      </c>
      <c r="R33" t="n">
        <v>0.237</v>
      </c>
      <c r="S33" t="n">
        <v>0.1588</v>
      </c>
      <c r="T33" t="n">
        <v>36.93</v>
      </c>
      <c r="U33" t="n">
        <v>0</v>
      </c>
      <c r="V33" t="n">
        <v>0</v>
      </c>
      <c r="W33" t="n">
        <v>0.066</v>
      </c>
      <c r="X33" t="n">
        <v>0</v>
      </c>
      <c r="Y33" t="n">
        <v>0</v>
      </c>
      <c r="Z33" t="n">
        <v>0</v>
      </c>
      <c r="AA33" t="n">
        <v>0.0067</v>
      </c>
      <c r="AB33" t="n">
        <v>0.144</v>
      </c>
      <c r="AC33" t="n">
        <v>0.0965</v>
      </c>
      <c r="AD33" t="n">
        <v>22.44</v>
      </c>
      <c r="AE33" t="n">
        <v>0</v>
      </c>
      <c r="AF33" t="n">
        <v>0.0045</v>
      </c>
      <c r="AG33" t="n">
        <v>0.38</v>
      </c>
      <c r="AH33" t="n">
        <v>0.171</v>
      </c>
      <c r="AI33" t="n">
        <v>39.77</v>
      </c>
      <c r="AJ33" t="n">
        <v>0</v>
      </c>
      <c r="AK33" t="n">
        <v>0</v>
      </c>
      <c r="AL33" t="n">
        <v>0.044</v>
      </c>
      <c r="AM33" t="n">
        <v>0</v>
      </c>
      <c r="AN33" t="n">
        <v>0</v>
      </c>
      <c r="AO33" t="n">
        <v>0</v>
      </c>
      <c r="AP33" t="n">
        <v>0</v>
      </c>
      <c r="AQ33" t="n">
        <v>0.101</v>
      </c>
      <c r="AR33" t="n">
        <v>0</v>
      </c>
      <c r="AS33" t="n">
        <v>0</v>
      </c>
      <c r="AT33" t="n">
        <v>0</v>
      </c>
      <c r="AU33" t="n">
        <v>0</v>
      </c>
      <c r="AV33" t="n">
        <v>0.028</v>
      </c>
      <c r="AW33" t="n">
        <v>0</v>
      </c>
      <c r="AX33"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33"/>
  <sheetViews>
    <sheetView workbookViewId="0">
      <selection activeCell="A1" sqref="A1"/>
    </sheetView>
  </sheetViews>
  <sheetFormatPr baseColWidth="8" defaultRowHeight="15"/>
  <cols>
    <col width="12" customWidth="1" min="1" max="1"/>
    <col width="14" customWidth="1" min="2" max="2"/>
    <col width="12" customWidth="1" min="3" max="3"/>
    <col width="25" customWidth="1" min="4" max="4"/>
    <col width="24" customWidth="1" min="5" max="5"/>
  </cols>
  <sheetData>
    <row r="1">
      <c r="A1" s="1" t="inlineStr">
        <is>
          <t>window_id</t>
        </is>
      </c>
      <c r="B1" s="1" t="inlineStr">
        <is>
          <t>start_time_s</t>
        </is>
      </c>
      <c r="C1" s="1" t="inlineStr">
        <is>
          <t>end_time_s</t>
        </is>
      </c>
      <c r="D1" s="1" t="inlineStr">
        <is>
          <t>traffic_light_color_vlm</t>
        </is>
      </c>
      <c r="E1" s="1" t="inlineStr">
        <is>
          <t>dynamic_risk_score_vlm</t>
        </is>
      </c>
    </row>
    <row r="2">
      <c r="A2" s="2" t="n">
        <v>0</v>
      </c>
      <c r="B2" s="2" t="n">
        <v>0</v>
      </c>
      <c r="C2" s="2" t="n">
        <v>4</v>
      </c>
      <c r="D2" s="3" t="inlineStr">
        <is>
          <t>rosso</t>
        </is>
      </c>
      <c r="E2" s="2" t="n">
        <v>95</v>
      </c>
    </row>
    <row r="3">
      <c r="A3" s="2" t="n">
        <v>1</v>
      </c>
      <c r="B3" s="2" t="n">
        <v>2</v>
      </c>
      <c r="C3" s="2" t="n">
        <v>6</v>
      </c>
      <c r="D3" s="3" t="inlineStr">
        <is>
          <t>rosso</t>
        </is>
      </c>
      <c r="E3" s="2" t="n">
        <v>93</v>
      </c>
    </row>
    <row r="4">
      <c r="A4" s="2" t="n">
        <v>2</v>
      </c>
      <c r="B4" s="2" t="n">
        <v>4</v>
      </c>
      <c r="C4" s="2" t="n">
        <v>8</v>
      </c>
      <c r="D4" s="3" t="inlineStr">
        <is>
          <t>rosso</t>
        </is>
      </c>
      <c r="E4" s="2" t="n">
        <v>91.8</v>
      </c>
    </row>
    <row r="5">
      <c r="A5" s="2" t="n">
        <v>3</v>
      </c>
      <c r="B5" s="2" t="n">
        <v>6</v>
      </c>
      <c r="C5" s="2" t="n">
        <v>10</v>
      </c>
      <c r="D5" s="3" t="inlineStr">
        <is>
          <t>rosso</t>
        </is>
      </c>
      <c r="E5" s="2" t="n">
        <v>87.08</v>
      </c>
    </row>
    <row r="6">
      <c r="A6" s="2" t="n">
        <v>4</v>
      </c>
      <c r="B6" s="2" t="n">
        <v>8</v>
      </c>
      <c r="C6" s="2" t="n">
        <v>12</v>
      </c>
      <c r="D6" s="3" t="inlineStr">
        <is>
          <t>rosso</t>
        </is>
      </c>
      <c r="E6" s="2" t="n">
        <v>100</v>
      </c>
    </row>
    <row r="7">
      <c r="A7" s="2" t="n">
        <v>5</v>
      </c>
      <c r="B7" s="2" t="n">
        <v>10</v>
      </c>
      <c r="C7" s="2" t="n">
        <v>14</v>
      </c>
      <c r="D7" s="3" t="inlineStr">
        <is>
          <t>rosso</t>
        </is>
      </c>
      <c r="E7" s="2" t="n">
        <v>96</v>
      </c>
    </row>
    <row r="8">
      <c r="A8" s="2" t="n">
        <v>6</v>
      </c>
      <c r="B8" s="2" t="n">
        <v>12</v>
      </c>
      <c r="C8" s="2" t="n">
        <v>16</v>
      </c>
      <c r="D8" s="3" t="inlineStr">
        <is>
          <t>rosso</t>
        </is>
      </c>
      <c r="E8" s="2" t="n">
        <v>89.59999999999999</v>
      </c>
    </row>
    <row r="9">
      <c r="A9" s="2" t="n">
        <v>7</v>
      </c>
      <c r="B9" s="2" t="n">
        <v>14</v>
      </c>
      <c r="C9" s="2" t="n">
        <v>18</v>
      </c>
      <c r="D9" s="3" t="inlineStr">
        <is>
          <t>rosso</t>
        </is>
      </c>
      <c r="E9" s="2" t="n">
        <v>97.76000000000001</v>
      </c>
    </row>
    <row r="10">
      <c r="A10" s="2" t="n">
        <v>8</v>
      </c>
      <c r="B10" s="2" t="n">
        <v>16</v>
      </c>
      <c r="C10" s="2" t="n">
        <v>20</v>
      </c>
      <c r="D10" s="3" t="inlineStr">
        <is>
          <t>rosso</t>
        </is>
      </c>
      <c r="E10" s="2" t="n">
        <v>76.66</v>
      </c>
    </row>
    <row r="11">
      <c r="A11" s="2" t="n">
        <v>9</v>
      </c>
      <c r="B11" s="2" t="n">
        <v>18</v>
      </c>
      <c r="C11" s="2" t="n">
        <v>22</v>
      </c>
      <c r="D11" s="3" t="inlineStr">
        <is>
          <t>rosso</t>
        </is>
      </c>
      <c r="E11" s="2" t="n">
        <v>82</v>
      </c>
    </row>
    <row r="12">
      <c r="A12" s="2" t="n">
        <v>10</v>
      </c>
      <c r="B12" s="2" t="n">
        <v>20</v>
      </c>
      <c r="C12" s="2" t="n">
        <v>24</v>
      </c>
      <c r="D12" s="3" t="inlineStr">
        <is>
          <t>rosso</t>
        </is>
      </c>
      <c r="E12" s="2" t="n">
        <v>100</v>
      </c>
    </row>
    <row r="13">
      <c r="A13" s="2" t="n">
        <v>11</v>
      </c>
      <c r="B13" s="2" t="n">
        <v>22</v>
      </c>
      <c r="C13" s="2" t="n">
        <v>26</v>
      </c>
      <c r="D13" s="3" t="inlineStr">
        <is>
          <t>rosso</t>
        </is>
      </c>
      <c r="E13" s="2" t="n">
        <v>100</v>
      </c>
    </row>
    <row r="14">
      <c r="A14" s="2" t="n">
        <v>12</v>
      </c>
      <c r="B14" s="2" t="n">
        <v>24</v>
      </c>
      <c r="C14" s="2" t="n">
        <v>28</v>
      </c>
      <c r="D14" s="3" t="inlineStr">
        <is>
          <t>rosso</t>
        </is>
      </c>
      <c r="E14" s="2" t="n">
        <v>100</v>
      </c>
    </row>
    <row r="15">
      <c r="A15" s="2" t="n">
        <v>13</v>
      </c>
      <c r="B15" s="2" t="n">
        <v>26</v>
      </c>
      <c r="C15" s="2" t="n">
        <v>30</v>
      </c>
      <c r="D15" s="3" t="inlineStr">
        <is>
          <t>rosso</t>
        </is>
      </c>
      <c r="E15" s="2" t="n">
        <v>90</v>
      </c>
    </row>
    <row r="16">
      <c r="A16" s="2" t="n">
        <v>14</v>
      </c>
      <c r="B16" s="2" t="n">
        <v>28</v>
      </c>
      <c r="C16" s="2" t="n">
        <v>32</v>
      </c>
      <c r="D16" s="3" t="inlineStr">
        <is>
          <t>rosso</t>
        </is>
      </c>
      <c r="E16" s="2" t="n">
        <v>100</v>
      </c>
    </row>
    <row r="17">
      <c r="A17" s="2" t="n">
        <v>15</v>
      </c>
      <c r="B17" s="2" t="n">
        <v>30</v>
      </c>
      <c r="C17" s="2" t="n">
        <v>34</v>
      </c>
      <c r="D17" s="3" t="inlineStr">
        <is>
          <t>rosso</t>
        </is>
      </c>
      <c r="E17" s="2" t="n">
        <v>96</v>
      </c>
    </row>
    <row r="18">
      <c r="A18" s="2" t="n">
        <v>16</v>
      </c>
      <c r="B18" s="2" t="n">
        <v>32</v>
      </c>
      <c r="C18" s="2" t="n">
        <v>36</v>
      </c>
      <c r="D18" s="3" t="inlineStr">
        <is>
          <t>rosso</t>
        </is>
      </c>
      <c r="E18" s="2" t="n">
        <v>99.59999999999999</v>
      </c>
    </row>
    <row r="19">
      <c r="A19" s="2" t="n">
        <v>17</v>
      </c>
      <c r="B19" s="2" t="n">
        <v>34</v>
      </c>
      <c r="C19" s="2" t="n">
        <v>38</v>
      </c>
      <c r="D19" s="3" t="inlineStr">
        <is>
          <t>rosso</t>
        </is>
      </c>
      <c r="E19" s="2" t="n">
        <v>97.76000000000001</v>
      </c>
    </row>
    <row r="20">
      <c r="A20" s="2" t="n">
        <v>18</v>
      </c>
      <c r="B20" s="2" t="n">
        <v>36</v>
      </c>
      <c r="C20" s="2" t="n">
        <v>40</v>
      </c>
      <c r="D20" s="3" t="inlineStr">
        <is>
          <t>rosso</t>
        </is>
      </c>
      <c r="E20" s="2" t="n">
        <v>94.66</v>
      </c>
    </row>
    <row r="21">
      <c r="A21" s="2" t="n">
        <v>19</v>
      </c>
      <c r="B21" s="2" t="n">
        <v>38</v>
      </c>
      <c r="C21" s="2" t="n">
        <v>42</v>
      </c>
      <c r="D21" s="3" t="inlineStr">
        <is>
          <t>rosso</t>
        </is>
      </c>
      <c r="E21" s="2" t="n">
        <v>98.8</v>
      </c>
    </row>
    <row r="22">
      <c r="A22" s="2" t="n">
        <v>20</v>
      </c>
      <c r="B22" s="2" t="n">
        <v>40</v>
      </c>
      <c r="C22" s="2" t="n">
        <v>44</v>
      </c>
      <c r="D22" s="3" t="inlineStr">
        <is>
          <t>rosso</t>
        </is>
      </c>
      <c r="E22" s="2" t="n">
        <v>100</v>
      </c>
    </row>
    <row r="23">
      <c r="A23" s="2" t="n">
        <v>21</v>
      </c>
      <c r="B23" s="2" t="n">
        <v>42</v>
      </c>
      <c r="C23" s="2" t="n">
        <v>46</v>
      </c>
      <c r="D23" s="3" t="inlineStr">
        <is>
          <t>rosso</t>
        </is>
      </c>
      <c r="E23" s="2" t="n">
        <v>96</v>
      </c>
    </row>
    <row r="24">
      <c r="A24" s="2" t="n">
        <v>22</v>
      </c>
      <c r="B24" s="2" t="n">
        <v>44</v>
      </c>
      <c r="C24" s="2" t="n">
        <v>48</v>
      </c>
      <c r="D24" s="3" t="inlineStr">
        <is>
          <t>rosso</t>
        </is>
      </c>
      <c r="E24" s="2" t="n">
        <v>93.59999999999999</v>
      </c>
    </row>
    <row r="25">
      <c r="A25" s="2" t="n">
        <v>23</v>
      </c>
      <c r="B25" s="2" t="n">
        <v>46</v>
      </c>
      <c r="C25" s="2" t="n">
        <v>50</v>
      </c>
      <c r="D25" s="3" t="inlineStr">
        <is>
          <t>rosso</t>
        </is>
      </c>
      <c r="E25" s="2" t="n">
        <v>84.16</v>
      </c>
    </row>
    <row r="26">
      <c r="A26" s="2" t="n">
        <v>24</v>
      </c>
      <c r="B26" s="2" t="n">
        <v>48</v>
      </c>
      <c r="C26" s="2" t="n">
        <v>52</v>
      </c>
      <c r="D26" s="3" t="inlineStr">
        <is>
          <t>rosso</t>
        </is>
      </c>
      <c r="E26" s="2" t="n">
        <v>100</v>
      </c>
    </row>
    <row r="27">
      <c r="A27" s="2" t="n">
        <v>25</v>
      </c>
      <c r="B27" s="2" t="n">
        <v>50</v>
      </c>
      <c r="C27" s="2" t="n">
        <v>54</v>
      </c>
      <c r="D27" s="3" t="inlineStr">
        <is>
          <t>rosso</t>
        </is>
      </c>
      <c r="E27" s="2" t="n">
        <v>96</v>
      </c>
    </row>
    <row r="28">
      <c r="A28" s="2" t="n">
        <v>26</v>
      </c>
      <c r="B28" s="2" t="n">
        <v>52</v>
      </c>
      <c r="C28" s="2" t="n">
        <v>56</v>
      </c>
      <c r="D28" s="3" t="inlineStr">
        <is>
          <t>rosso</t>
        </is>
      </c>
      <c r="E28" s="2" t="n">
        <v>91.59999999999999</v>
      </c>
    </row>
    <row r="29">
      <c r="A29" s="2" t="n">
        <v>27</v>
      </c>
      <c r="B29" s="2" t="n">
        <v>54</v>
      </c>
      <c r="C29" s="2" t="n">
        <v>58</v>
      </c>
      <c r="D29" s="3" t="inlineStr">
        <is>
          <t>rosso</t>
        </is>
      </c>
      <c r="E29" s="2" t="n">
        <v>88.95999999999999</v>
      </c>
    </row>
    <row r="30">
      <c r="A30" s="2" t="n">
        <v>28</v>
      </c>
      <c r="B30" s="2" t="n">
        <v>56</v>
      </c>
      <c r="C30" s="2" t="n">
        <v>60</v>
      </c>
      <c r="D30" s="3" t="inlineStr">
        <is>
          <t>rosso</t>
        </is>
      </c>
      <c r="E30" s="2" t="n">
        <v>83.38</v>
      </c>
    </row>
    <row r="31">
      <c r="A31" s="4" t="n">
        <v>29</v>
      </c>
      <c r="B31" s="4" t="n">
        <v>58</v>
      </c>
      <c r="C31" s="4" t="n">
        <v>62</v>
      </c>
      <c r="D31" s="5" t="inlineStr">
        <is>
          <t>arancione</t>
        </is>
      </c>
      <c r="E31" s="4" t="n">
        <v>70.03</v>
      </c>
    </row>
    <row r="32">
      <c r="A32" s="4" t="n">
        <v>30</v>
      </c>
      <c r="B32" s="4" t="n">
        <v>60</v>
      </c>
      <c r="C32" s="4" t="n">
        <v>62.533</v>
      </c>
      <c r="D32" s="5" t="inlineStr">
        <is>
          <t>arancione</t>
        </is>
      </c>
      <c r="E32" s="4" t="n">
        <v>60.02</v>
      </c>
    </row>
    <row r="33">
      <c r="A33" s="6" t="n">
        <v>31</v>
      </c>
      <c r="B33" s="6" t="n">
        <v>62</v>
      </c>
      <c r="C33" s="6" t="n">
        <v>62.533</v>
      </c>
      <c r="D33" s="7" t="inlineStr">
        <is>
          <t>giallo</t>
        </is>
      </c>
      <c r="E33" s="6" t="n">
        <v>42.01</v>
      </c>
    </row>
  </sheetData>
  <pageMargins left="0.75" right="0.75" top="1" bottom="1" header="0.5" footer="0.5"/>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E33"/>
  <sheetViews>
    <sheetView workbookViewId="0">
      <selection activeCell="A1" sqref="A1"/>
    </sheetView>
  </sheetViews>
  <sheetFormatPr baseColWidth="8" defaultRowHeight="15"/>
  <cols>
    <col width="12" customWidth="1" min="1" max="1"/>
    <col width="14" customWidth="1" min="2" max="2"/>
    <col width="12" customWidth="1" min="3" max="3"/>
    <col width="25" customWidth="1" min="4" max="4"/>
    <col width="24" customWidth="1" min="5" max="5"/>
  </cols>
  <sheetData>
    <row r="1">
      <c r="A1" s="1" t="inlineStr">
        <is>
          <t>window_id</t>
        </is>
      </c>
      <c r="B1" s="1" t="inlineStr">
        <is>
          <t>start_time_s</t>
        </is>
      </c>
      <c r="C1" s="1" t="inlineStr">
        <is>
          <t>end_time_s</t>
        </is>
      </c>
      <c r="D1" s="1" t="inlineStr">
        <is>
          <t>traffic_light_color_ahp</t>
        </is>
      </c>
      <c r="E1" s="1" t="inlineStr">
        <is>
          <t>dynamic_risk_score_ahp</t>
        </is>
      </c>
    </row>
    <row r="2">
      <c r="A2" s="4" t="n">
        <v>0</v>
      </c>
      <c r="B2" s="4" t="n">
        <v>0</v>
      </c>
      <c r="C2" s="4" t="n">
        <v>4</v>
      </c>
      <c r="D2" s="5" t="inlineStr">
        <is>
          <t>arancione</t>
        </is>
      </c>
      <c r="E2" s="4" t="n">
        <v>52.98</v>
      </c>
    </row>
    <row r="3">
      <c r="A3" s="4" t="n">
        <v>1</v>
      </c>
      <c r="B3" s="4" t="n">
        <v>2</v>
      </c>
      <c r="C3" s="4" t="n">
        <v>6</v>
      </c>
      <c r="D3" s="5" t="inlineStr">
        <is>
          <t>arancione</t>
        </is>
      </c>
      <c r="E3" s="4" t="n">
        <v>52.98</v>
      </c>
    </row>
    <row r="4">
      <c r="A4" s="4" t="n">
        <v>2</v>
      </c>
      <c r="B4" s="4" t="n">
        <v>4</v>
      </c>
      <c r="C4" s="4" t="n">
        <v>8</v>
      </c>
      <c r="D4" s="5" t="inlineStr">
        <is>
          <t>arancione</t>
        </is>
      </c>
      <c r="E4" s="4" t="n">
        <v>50.37</v>
      </c>
    </row>
    <row r="5">
      <c r="A5" s="4" t="n">
        <v>3</v>
      </c>
      <c r="B5" s="4" t="n">
        <v>6</v>
      </c>
      <c r="C5" s="4" t="n">
        <v>10</v>
      </c>
      <c r="D5" s="5" t="inlineStr">
        <is>
          <t>arancione</t>
        </is>
      </c>
      <c r="E5" s="4" t="n">
        <v>50.51</v>
      </c>
    </row>
    <row r="6">
      <c r="A6" s="4" t="n">
        <v>4</v>
      </c>
      <c r="B6" s="4" t="n">
        <v>8</v>
      </c>
      <c r="C6" s="4" t="n">
        <v>12</v>
      </c>
      <c r="D6" s="5" t="inlineStr">
        <is>
          <t>arancione</t>
        </is>
      </c>
      <c r="E6" s="4" t="n">
        <v>51.14</v>
      </c>
    </row>
    <row r="7">
      <c r="A7" s="6" t="n">
        <v>5</v>
      </c>
      <c r="B7" s="6" t="n">
        <v>10</v>
      </c>
      <c r="C7" s="6" t="n">
        <v>14</v>
      </c>
      <c r="D7" s="7" t="inlineStr">
        <is>
          <t>giallo</t>
        </is>
      </c>
      <c r="E7" s="6" t="n">
        <v>46.57</v>
      </c>
    </row>
    <row r="8">
      <c r="A8" s="6" t="n">
        <v>6</v>
      </c>
      <c r="B8" s="6" t="n">
        <v>12</v>
      </c>
      <c r="C8" s="6" t="n">
        <v>16</v>
      </c>
      <c r="D8" s="7" t="inlineStr">
        <is>
          <t>giallo</t>
        </is>
      </c>
      <c r="E8" s="6" t="n">
        <v>43.83</v>
      </c>
    </row>
    <row r="9">
      <c r="A9" s="4" t="n">
        <v>7</v>
      </c>
      <c r="B9" s="4" t="n">
        <v>14</v>
      </c>
      <c r="C9" s="4" t="n">
        <v>18</v>
      </c>
      <c r="D9" s="5" t="inlineStr">
        <is>
          <t>arancione</t>
        </is>
      </c>
      <c r="E9" s="4" t="n">
        <v>58.1</v>
      </c>
    </row>
    <row r="10">
      <c r="A10" s="6" t="n">
        <v>8</v>
      </c>
      <c r="B10" s="6" t="n">
        <v>16</v>
      </c>
      <c r="C10" s="6" t="n">
        <v>20</v>
      </c>
      <c r="D10" s="7" t="inlineStr">
        <is>
          <t>giallo</t>
        </is>
      </c>
      <c r="E10" s="6" t="n">
        <v>36.03</v>
      </c>
    </row>
    <row r="11">
      <c r="A11" s="4" t="n">
        <v>9</v>
      </c>
      <c r="B11" s="4" t="n">
        <v>18</v>
      </c>
      <c r="C11" s="4" t="n">
        <v>22</v>
      </c>
      <c r="D11" s="5" t="inlineStr">
        <is>
          <t>arancione</t>
        </is>
      </c>
      <c r="E11" s="4" t="n">
        <v>68.62</v>
      </c>
    </row>
    <row r="12">
      <c r="A12" s="4" t="n">
        <v>10</v>
      </c>
      <c r="B12" s="4" t="n">
        <v>20</v>
      </c>
      <c r="C12" s="4" t="n">
        <v>24</v>
      </c>
      <c r="D12" s="5" t="inlineStr">
        <is>
          <t>arancione</t>
        </is>
      </c>
      <c r="E12" s="4" t="n">
        <v>52.64</v>
      </c>
    </row>
    <row r="13">
      <c r="A13" s="4" t="n">
        <v>11</v>
      </c>
      <c r="B13" s="4" t="n">
        <v>22</v>
      </c>
      <c r="C13" s="4" t="n">
        <v>26</v>
      </c>
      <c r="D13" s="5" t="inlineStr">
        <is>
          <t>arancione</t>
        </is>
      </c>
      <c r="E13" s="4" t="n">
        <v>67.78</v>
      </c>
    </row>
    <row r="14">
      <c r="A14" s="4" t="n">
        <v>12</v>
      </c>
      <c r="B14" s="4" t="n">
        <v>24</v>
      </c>
      <c r="C14" s="4" t="n">
        <v>28</v>
      </c>
      <c r="D14" s="5" t="inlineStr">
        <is>
          <t>arancione</t>
        </is>
      </c>
      <c r="E14" s="4" t="n">
        <v>64.81999999999999</v>
      </c>
    </row>
    <row r="15">
      <c r="A15" s="4" t="n">
        <v>13</v>
      </c>
      <c r="B15" s="4" t="n">
        <v>26</v>
      </c>
      <c r="C15" s="4" t="n">
        <v>30</v>
      </c>
      <c r="D15" s="5" t="inlineStr">
        <is>
          <t>arancione</t>
        </is>
      </c>
      <c r="E15" s="4" t="n">
        <v>58.04</v>
      </c>
    </row>
    <row r="16">
      <c r="A16" s="4" t="n">
        <v>14</v>
      </c>
      <c r="B16" s="4" t="n">
        <v>28</v>
      </c>
      <c r="C16" s="4" t="n">
        <v>32</v>
      </c>
      <c r="D16" s="5" t="inlineStr">
        <is>
          <t>arancione</t>
        </is>
      </c>
      <c r="E16" s="4" t="n">
        <v>53.99</v>
      </c>
    </row>
    <row r="17">
      <c r="A17" s="4" t="n">
        <v>15</v>
      </c>
      <c r="B17" s="4" t="n">
        <v>30</v>
      </c>
      <c r="C17" s="4" t="n">
        <v>34</v>
      </c>
      <c r="D17" s="5" t="inlineStr">
        <is>
          <t>arancione</t>
        </is>
      </c>
      <c r="E17" s="4" t="n">
        <v>51.55</v>
      </c>
    </row>
    <row r="18">
      <c r="A18" s="4" t="n">
        <v>16</v>
      </c>
      <c r="B18" s="4" t="n">
        <v>32</v>
      </c>
      <c r="C18" s="4" t="n">
        <v>36</v>
      </c>
      <c r="D18" s="5" t="inlineStr">
        <is>
          <t>arancione</t>
        </is>
      </c>
      <c r="E18" s="4" t="n">
        <v>56.2</v>
      </c>
    </row>
    <row r="19">
      <c r="A19" s="4" t="n">
        <v>17</v>
      </c>
      <c r="B19" s="4" t="n">
        <v>34</v>
      </c>
      <c r="C19" s="4" t="n">
        <v>38</v>
      </c>
      <c r="D19" s="5" t="inlineStr">
        <is>
          <t>arancione</t>
        </is>
      </c>
      <c r="E19" s="4" t="n">
        <v>54.35</v>
      </c>
    </row>
    <row r="20">
      <c r="A20" s="4" t="n">
        <v>18</v>
      </c>
      <c r="B20" s="4" t="n">
        <v>36</v>
      </c>
      <c r="C20" s="4" t="n">
        <v>40</v>
      </c>
      <c r="D20" s="5" t="inlineStr">
        <is>
          <t>arancione</t>
        </is>
      </c>
      <c r="E20" s="4" t="n">
        <v>54.92</v>
      </c>
    </row>
    <row r="21">
      <c r="A21" s="4" t="n">
        <v>19</v>
      </c>
      <c r="B21" s="4" t="n">
        <v>38</v>
      </c>
      <c r="C21" s="4" t="n">
        <v>42</v>
      </c>
      <c r="D21" s="5" t="inlineStr">
        <is>
          <t>arancione</t>
        </is>
      </c>
      <c r="E21" s="4" t="n">
        <v>53.58</v>
      </c>
    </row>
    <row r="22">
      <c r="A22" s="4" t="n">
        <v>20</v>
      </c>
      <c r="B22" s="4" t="n">
        <v>40</v>
      </c>
      <c r="C22" s="4" t="n">
        <v>44</v>
      </c>
      <c r="D22" s="5" t="inlineStr">
        <is>
          <t>arancione</t>
        </is>
      </c>
      <c r="E22" s="4" t="n">
        <v>54.46</v>
      </c>
    </row>
    <row r="23">
      <c r="A23" s="4" t="n">
        <v>21</v>
      </c>
      <c r="B23" s="4" t="n">
        <v>42</v>
      </c>
      <c r="C23" s="4" t="n">
        <v>46</v>
      </c>
      <c r="D23" s="5" t="inlineStr">
        <is>
          <t>arancione</t>
        </is>
      </c>
      <c r="E23" s="4" t="n">
        <v>51.82</v>
      </c>
    </row>
    <row r="24">
      <c r="A24" s="4" t="n">
        <v>22</v>
      </c>
      <c r="B24" s="4" t="n">
        <v>44</v>
      </c>
      <c r="C24" s="4" t="n">
        <v>48</v>
      </c>
      <c r="D24" s="5" t="inlineStr">
        <is>
          <t>arancione</t>
        </is>
      </c>
      <c r="E24" s="4" t="n">
        <v>51.94</v>
      </c>
    </row>
    <row r="25">
      <c r="A25" s="6" t="n">
        <v>23</v>
      </c>
      <c r="B25" s="6" t="n">
        <v>46</v>
      </c>
      <c r="C25" s="6" t="n">
        <v>50</v>
      </c>
      <c r="D25" s="7" t="inlineStr">
        <is>
          <t>giallo</t>
        </is>
      </c>
      <c r="E25" s="6" t="n">
        <v>42.07</v>
      </c>
    </row>
    <row r="26">
      <c r="A26" s="4" t="n">
        <v>24</v>
      </c>
      <c r="B26" s="4" t="n">
        <v>48</v>
      </c>
      <c r="C26" s="4" t="n">
        <v>52</v>
      </c>
      <c r="D26" s="5" t="inlineStr">
        <is>
          <t>arancione</t>
        </is>
      </c>
      <c r="E26" s="4" t="n">
        <v>66.16</v>
      </c>
    </row>
    <row r="27">
      <c r="A27" s="4" t="n">
        <v>25</v>
      </c>
      <c r="B27" s="4" t="n">
        <v>50</v>
      </c>
      <c r="C27" s="4" t="n">
        <v>54</v>
      </c>
      <c r="D27" s="5" t="inlineStr">
        <is>
          <t>arancione</t>
        </is>
      </c>
      <c r="E27" s="4" t="n">
        <v>60.18</v>
      </c>
    </row>
    <row r="28">
      <c r="A28" s="4" t="n">
        <v>26</v>
      </c>
      <c r="B28" s="4" t="n">
        <v>52</v>
      </c>
      <c r="C28" s="4" t="n">
        <v>56</v>
      </c>
      <c r="D28" s="5" t="inlineStr">
        <is>
          <t>arancione</t>
        </is>
      </c>
      <c r="E28" s="4" t="n">
        <v>55.25</v>
      </c>
    </row>
    <row r="29">
      <c r="A29" s="4" t="n">
        <v>27</v>
      </c>
      <c r="B29" s="4" t="n">
        <v>54</v>
      </c>
      <c r="C29" s="4" t="n">
        <v>58</v>
      </c>
      <c r="D29" s="5" t="inlineStr">
        <is>
          <t>arancione</t>
        </is>
      </c>
      <c r="E29" s="4" t="n">
        <v>54</v>
      </c>
    </row>
    <row r="30">
      <c r="A30" s="6" t="n">
        <v>28</v>
      </c>
      <c r="B30" s="6" t="n">
        <v>56</v>
      </c>
      <c r="C30" s="6" t="n">
        <v>60</v>
      </c>
      <c r="D30" s="7" t="inlineStr">
        <is>
          <t>giallo</t>
        </is>
      </c>
      <c r="E30" s="6" t="n">
        <v>43.32</v>
      </c>
    </row>
    <row r="31">
      <c r="A31" s="6" t="n">
        <v>29</v>
      </c>
      <c r="B31" s="6" t="n">
        <v>58</v>
      </c>
      <c r="C31" s="6" t="n">
        <v>62</v>
      </c>
      <c r="D31" s="7" t="inlineStr">
        <is>
          <t>giallo</t>
        </is>
      </c>
      <c r="E31" s="6" t="n">
        <v>27.38</v>
      </c>
    </row>
    <row r="32">
      <c r="A32" s="8" t="n">
        <v>30</v>
      </c>
      <c r="B32" s="8" t="n">
        <v>60</v>
      </c>
      <c r="C32" s="8" t="n">
        <v>62.533</v>
      </c>
      <c r="D32" s="9" t="inlineStr">
        <is>
          <t>verde</t>
        </is>
      </c>
      <c r="E32" s="8" t="n">
        <v>17.8</v>
      </c>
    </row>
    <row r="33">
      <c r="A33" s="8" t="n">
        <v>31</v>
      </c>
      <c r="B33" s="8" t="n">
        <v>62</v>
      </c>
      <c r="C33" s="8" t="n">
        <v>62.533</v>
      </c>
      <c r="D33" s="9" t="inlineStr">
        <is>
          <t>verde</t>
        </is>
      </c>
      <c r="E33" s="8" t="n">
        <v>10.85</v>
      </c>
    </row>
  </sheetData>
  <pageMargins left="0.75" right="0.75" top="1" bottom="1" header="0.5" footer="0.5"/>
  <drawing xmlns:r="http://schemas.openxmlformats.org/officeDocument/2006/relationships" r:id="rId1"/>
</worksheet>
</file>

<file path=xl/worksheets/sheet4.xml><?xml version="1.0" encoding="utf-8"?>
<worksheet xmlns="http://schemas.openxmlformats.org/spreadsheetml/2006/main">
  <sheetPr>
    <outlinePr summaryBelow="1" summaryRight="1"/>
    <pageSetUpPr/>
  </sheetPr>
  <dimension ref="A1:L33"/>
  <sheetViews>
    <sheetView workbookViewId="0">
      <selection activeCell="A1" sqref="A1"/>
    </sheetView>
  </sheetViews>
  <sheetFormatPr baseColWidth="8" defaultRowHeight="15"/>
  <cols>
    <col width="12" customWidth="1" min="1" max="1"/>
    <col width="14" customWidth="1" min="2" max="2"/>
    <col width="12" customWidth="1" min="3" max="3"/>
    <col width="30" customWidth="1" min="4" max="4"/>
    <col width="24" customWidth="1" min="5" max="5"/>
    <col width="25" customWidth="1" min="6" max="6"/>
    <col width="30" customWidth="1" min="7" max="7"/>
    <col width="24" customWidth="1" min="8" max="8"/>
    <col width="25" customWidth="1" min="9" max="9"/>
    <col width="30" customWidth="1" min="10" max="10"/>
    <col width="24" customWidth="1" min="11" max="11"/>
    <col width="25" customWidth="1" min="12" max="12"/>
  </cols>
  <sheetData>
    <row r="1">
      <c r="A1" s="1" t="inlineStr">
        <is>
          <t>window_id</t>
        </is>
      </c>
      <c r="B1" s="1" t="inlineStr">
        <is>
          <t>start_time_s</t>
        </is>
      </c>
      <c r="C1" s="1" t="inlineStr">
        <is>
          <t>end_time_s</t>
        </is>
      </c>
      <c r="D1" s="1" t="inlineStr">
        <is>
          <t>instantaneous_risk_score_vlm</t>
        </is>
      </c>
      <c r="E1" s="1" t="inlineStr">
        <is>
          <t>dynamic_risk_score_vlm</t>
        </is>
      </c>
      <c r="F1" s="1" t="inlineStr">
        <is>
          <t>traffic_light_color_vlm</t>
        </is>
      </c>
      <c r="G1" s="1" t="inlineStr">
        <is>
          <t>instantaneous_risk_score_ahp</t>
        </is>
      </c>
      <c r="H1" s="1" t="inlineStr">
        <is>
          <t>dynamic_risk_score_ahp</t>
        </is>
      </c>
      <c r="I1" s="1" t="inlineStr">
        <is>
          <t>traffic_light_color_ahp</t>
        </is>
      </c>
      <c r="J1" s="1" t="inlineStr">
        <is>
          <t>instantaneous_score_abs_diff</t>
        </is>
      </c>
      <c r="K1" s="1" t="inlineStr">
        <is>
          <t>dynamic_score_abs_diff</t>
        </is>
      </c>
      <c r="L1" s="1" t="inlineStr">
        <is>
          <t>traffic_light_agreement</t>
        </is>
      </c>
    </row>
    <row r="2">
      <c r="A2" s="10" t="n">
        <v>0</v>
      </c>
      <c r="B2" s="10" t="n">
        <v>0</v>
      </c>
      <c r="C2" s="10" t="n">
        <v>4</v>
      </c>
      <c r="D2" s="10" t="n">
        <v>95</v>
      </c>
      <c r="E2" s="10" t="n">
        <v>95</v>
      </c>
      <c r="F2" s="10" t="inlineStr">
        <is>
          <t>rosso</t>
        </is>
      </c>
      <c r="G2" s="10" t="n">
        <v>52.98</v>
      </c>
      <c r="H2" s="10" t="n">
        <v>52.98</v>
      </c>
      <c r="I2" s="10" t="inlineStr">
        <is>
          <t>arancione</t>
        </is>
      </c>
      <c r="J2" s="10" t="n">
        <v>42.02</v>
      </c>
      <c r="K2" s="10" t="n">
        <v>42.02</v>
      </c>
      <c r="L2" s="10" t="inlineStr">
        <is>
          <t>disaccordo</t>
        </is>
      </c>
    </row>
    <row r="3">
      <c r="A3" s="10" t="n">
        <v>1</v>
      </c>
      <c r="B3" s="10" t="n">
        <v>2</v>
      </c>
      <c r="C3" s="10" t="n">
        <v>6</v>
      </c>
      <c r="D3" s="10" t="n">
        <v>90</v>
      </c>
      <c r="E3" s="10" t="n">
        <v>93</v>
      </c>
      <c r="F3" s="10" t="inlineStr">
        <is>
          <t>rosso</t>
        </is>
      </c>
      <c r="G3" s="10" t="n">
        <v>52.98</v>
      </c>
      <c r="H3" s="10" t="n">
        <v>52.98</v>
      </c>
      <c r="I3" s="10" t="inlineStr">
        <is>
          <t>arancione</t>
        </is>
      </c>
      <c r="J3" s="10" t="n">
        <v>37.02</v>
      </c>
      <c r="K3" s="10" t="n">
        <v>40.02</v>
      </c>
      <c r="L3" s="10" t="inlineStr">
        <is>
          <t>disaccordo</t>
        </is>
      </c>
    </row>
    <row r="4">
      <c r="A4" s="10" t="n">
        <v>2</v>
      </c>
      <c r="B4" s="10" t="n">
        <v>4</v>
      </c>
      <c r="C4" s="10" t="n">
        <v>8</v>
      </c>
      <c r="D4" s="10" t="n">
        <v>90</v>
      </c>
      <c r="E4" s="10" t="n">
        <v>91.8</v>
      </c>
      <c r="F4" s="10" t="inlineStr">
        <is>
          <t>rosso</t>
        </is>
      </c>
      <c r="G4" s="10" t="n">
        <v>46.46</v>
      </c>
      <c r="H4" s="10" t="n">
        <v>50.37</v>
      </c>
      <c r="I4" s="10" t="inlineStr">
        <is>
          <t>arancione</t>
        </is>
      </c>
      <c r="J4" s="10" t="n">
        <v>43.54</v>
      </c>
      <c r="K4" s="10" t="n">
        <v>41.43</v>
      </c>
      <c r="L4" s="10" t="inlineStr">
        <is>
          <t>disaccordo</t>
        </is>
      </c>
    </row>
    <row r="5">
      <c r="A5" s="10" t="n">
        <v>3</v>
      </c>
      <c r="B5" s="10" t="n">
        <v>6</v>
      </c>
      <c r="C5" s="10" t="n">
        <v>10</v>
      </c>
      <c r="D5" s="10" t="n">
        <v>80</v>
      </c>
      <c r="E5" s="10" t="n">
        <v>87.08</v>
      </c>
      <c r="F5" s="10" t="inlineStr">
        <is>
          <t>rosso</t>
        </is>
      </c>
      <c r="G5" s="10" t="n">
        <v>47.88</v>
      </c>
      <c r="H5" s="10" t="n">
        <v>50.51</v>
      </c>
      <c r="I5" s="10" t="inlineStr">
        <is>
          <t>arancione</t>
        </is>
      </c>
      <c r="J5" s="10" t="n">
        <v>32.12</v>
      </c>
      <c r="K5" s="10" t="n">
        <v>36.57</v>
      </c>
      <c r="L5" s="10" t="inlineStr">
        <is>
          <t>disaccordo</t>
        </is>
      </c>
    </row>
    <row r="6">
      <c r="A6" s="10" t="n">
        <v>4</v>
      </c>
      <c r="B6" s="10" t="n">
        <v>8</v>
      </c>
      <c r="C6" s="10" t="n">
        <v>12</v>
      </c>
      <c r="D6" s="10" t="n">
        <v>95</v>
      </c>
      <c r="E6" s="10" t="n">
        <v>100</v>
      </c>
      <c r="F6" s="10" t="inlineStr">
        <is>
          <t>rosso</t>
        </is>
      </c>
      <c r="G6" s="10" t="n">
        <v>49.28</v>
      </c>
      <c r="H6" s="10" t="n">
        <v>51.14</v>
      </c>
      <c r="I6" s="10" t="inlineStr">
        <is>
          <t>arancione</t>
        </is>
      </c>
      <c r="J6" s="10" t="n">
        <v>45.72</v>
      </c>
      <c r="K6" s="10" t="n">
        <v>48.86</v>
      </c>
      <c r="L6" s="10" t="inlineStr">
        <is>
          <t>disaccordo</t>
        </is>
      </c>
    </row>
    <row r="7">
      <c r="A7" s="10" t="n">
        <v>5</v>
      </c>
      <c r="B7" s="10" t="n">
        <v>10</v>
      </c>
      <c r="C7" s="10" t="n">
        <v>14</v>
      </c>
      <c r="D7" s="10" t="n">
        <v>90</v>
      </c>
      <c r="E7" s="10" t="n">
        <v>96</v>
      </c>
      <c r="F7" s="10" t="inlineStr">
        <is>
          <t>rosso</t>
        </is>
      </c>
      <c r="G7" s="10" t="n">
        <v>39.72</v>
      </c>
      <c r="H7" s="10" t="n">
        <v>46.57</v>
      </c>
      <c r="I7" s="10" t="inlineStr">
        <is>
          <t>giallo</t>
        </is>
      </c>
      <c r="J7" s="10" t="n">
        <v>50.28</v>
      </c>
      <c r="K7" s="10" t="n">
        <v>49.43</v>
      </c>
      <c r="L7" s="10" t="inlineStr">
        <is>
          <t>disaccordo</t>
        </is>
      </c>
    </row>
    <row r="8">
      <c r="A8" s="10" t="n">
        <v>6</v>
      </c>
      <c r="B8" s="10" t="n">
        <v>12</v>
      </c>
      <c r="C8" s="10" t="n">
        <v>16</v>
      </c>
      <c r="D8" s="10" t="n">
        <v>80</v>
      </c>
      <c r="E8" s="10" t="n">
        <v>89.59999999999999</v>
      </c>
      <c r="F8" s="10" t="inlineStr">
        <is>
          <t>rosso</t>
        </is>
      </c>
      <c r="G8" s="10" t="n">
        <v>39.72</v>
      </c>
      <c r="H8" s="10" t="n">
        <v>43.83</v>
      </c>
      <c r="I8" s="10" t="inlineStr">
        <is>
          <t>giallo</t>
        </is>
      </c>
      <c r="J8" s="10" t="n">
        <v>40.28</v>
      </c>
      <c r="K8" s="10" t="n">
        <v>45.77</v>
      </c>
      <c r="L8" s="10" t="inlineStr">
        <is>
          <t>disaccordo</t>
        </is>
      </c>
    </row>
    <row r="9">
      <c r="A9" s="10" t="n">
        <v>7</v>
      </c>
      <c r="B9" s="10" t="n">
        <v>14</v>
      </c>
      <c r="C9" s="10" t="n">
        <v>18</v>
      </c>
      <c r="D9" s="10" t="n">
        <v>90</v>
      </c>
      <c r="E9" s="10" t="n">
        <v>97.76000000000001</v>
      </c>
      <c r="F9" s="10" t="inlineStr">
        <is>
          <t>rosso</t>
        </is>
      </c>
      <c r="G9" s="10" t="n">
        <v>52.98</v>
      </c>
      <c r="H9" s="10" t="n">
        <v>58.1</v>
      </c>
      <c r="I9" s="10" t="inlineStr">
        <is>
          <t>arancione</t>
        </is>
      </c>
      <c r="J9" s="10" t="n">
        <v>37.02</v>
      </c>
      <c r="K9" s="10" t="n">
        <v>39.66</v>
      </c>
      <c r="L9" s="10" t="inlineStr">
        <is>
          <t>disaccordo</t>
        </is>
      </c>
    </row>
    <row r="10">
      <c r="A10" s="10" t="n">
        <v>8</v>
      </c>
      <c r="B10" s="10" t="n">
        <v>16</v>
      </c>
      <c r="C10" s="10" t="n">
        <v>20</v>
      </c>
      <c r="D10" s="10" t="n">
        <v>45</v>
      </c>
      <c r="E10" s="10" t="n">
        <v>76.66</v>
      </c>
      <c r="F10" s="10" t="inlineStr">
        <is>
          <t>rosso</t>
        </is>
      </c>
      <c r="G10" s="10" t="n">
        <v>2.93</v>
      </c>
      <c r="H10" s="10" t="n">
        <v>36.03</v>
      </c>
      <c r="I10" s="10" t="inlineStr">
        <is>
          <t>giallo</t>
        </is>
      </c>
      <c r="J10" s="10" t="n">
        <v>42.07</v>
      </c>
      <c r="K10" s="10" t="n">
        <v>40.63</v>
      </c>
      <c r="L10" s="10" t="inlineStr">
        <is>
          <t>disaccordo</t>
        </is>
      </c>
    </row>
    <row r="11">
      <c r="A11" s="10" t="n">
        <v>9</v>
      </c>
      <c r="B11" s="10" t="n">
        <v>18</v>
      </c>
      <c r="C11" s="10" t="n">
        <v>22</v>
      </c>
      <c r="D11" s="10" t="n">
        <v>60</v>
      </c>
      <c r="E11" s="10" t="n">
        <v>82</v>
      </c>
      <c r="F11" s="10" t="inlineStr">
        <is>
          <t>rosso</t>
        </is>
      </c>
      <c r="G11" s="10" t="n">
        <v>41.12</v>
      </c>
      <c r="H11" s="10" t="n">
        <v>68.62</v>
      </c>
      <c r="I11" s="10" t="inlineStr">
        <is>
          <t>arancione</t>
        </is>
      </c>
      <c r="J11" s="10" t="n">
        <v>18.88</v>
      </c>
      <c r="K11" s="10" t="n">
        <v>13.38</v>
      </c>
      <c r="L11" s="10" t="inlineStr">
        <is>
          <t>disaccordo</t>
        </is>
      </c>
    </row>
    <row r="12">
      <c r="A12" s="10" t="n">
        <v>10</v>
      </c>
      <c r="B12" s="10" t="n">
        <v>20</v>
      </c>
      <c r="C12" s="10" t="n">
        <v>24</v>
      </c>
      <c r="D12" s="10" t="n">
        <v>85</v>
      </c>
      <c r="E12" s="10" t="n">
        <v>100</v>
      </c>
      <c r="F12" s="10" t="inlineStr">
        <is>
          <t>rosso</t>
        </is>
      </c>
      <c r="G12" s="10" t="n">
        <v>28.67</v>
      </c>
      <c r="H12" s="10" t="n">
        <v>52.64</v>
      </c>
      <c r="I12" s="10" t="inlineStr">
        <is>
          <t>arancione</t>
        </is>
      </c>
      <c r="J12" s="10" t="n">
        <v>56.33</v>
      </c>
      <c r="K12" s="10" t="n">
        <v>47.36</v>
      </c>
      <c r="L12" s="10" t="inlineStr">
        <is>
          <t>disaccordo</t>
        </is>
      </c>
    </row>
    <row r="13">
      <c r="A13" s="10" t="n">
        <v>11</v>
      </c>
      <c r="B13" s="10" t="n">
        <v>22</v>
      </c>
      <c r="C13" s="10" t="n">
        <v>26</v>
      </c>
      <c r="D13" s="10" t="n">
        <v>90</v>
      </c>
      <c r="E13" s="10" t="n">
        <v>100</v>
      </c>
      <c r="F13" s="10" t="inlineStr">
        <is>
          <t>rosso</t>
        </is>
      </c>
      <c r="G13" s="10" t="n">
        <v>49.28</v>
      </c>
      <c r="H13" s="10" t="n">
        <v>67.78</v>
      </c>
      <c r="I13" s="10" t="inlineStr">
        <is>
          <t>arancione</t>
        </is>
      </c>
      <c r="J13" s="10" t="n">
        <v>40.72</v>
      </c>
      <c r="K13" s="10" t="n">
        <v>32.22</v>
      </c>
      <c r="L13" s="10" t="inlineStr">
        <is>
          <t>disaccordo</t>
        </is>
      </c>
    </row>
    <row r="14">
      <c r="A14" s="10" t="n">
        <v>12</v>
      </c>
      <c r="B14" s="10" t="n">
        <v>24</v>
      </c>
      <c r="C14" s="10" t="n">
        <v>28</v>
      </c>
      <c r="D14" s="10" t="n">
        <v>95</v>
      </c>
      <c r="E14" s="10" t="n">
        <v>100</v>
      </c>
      <c r="F14" s="10" t="inlineStr">
        <is>
          <t>rosso</t>
        </is>
      </c>
      <c r="G14" s="10" t="n">
        <v>52.98</v>
      </c>
      <c r="H14" s="10" t="n">
        <v>64.81999999999999</v>
      </c>
      <c r="I14" s="10" t="inlineStr">
        <is>
          <t>arancione</t>
        </is>
      </c>
      <c r="J14" s="10" t="n">
        <v>42.02</v>
      </c>
      <c r="K14" s="10" t="n">
        <v>35.18000000000001</v>
      </c>
      <c r="L14" s="10" t="inlineStr">
        <is>
          <t>disaccordo</t>
        </is>
      </c>
    </row>
    <row r="15">
      <c r="A15" s="10" t="n">
        <v>13</v>
      </c>
      <c r="B15" s="10" t="n">
        <v>26</v>
      </c>
      <c r="C15" s="10" t="n">
        <v>30</v>
      </c>
      <c r="D15" s="10" t="n">
        <v>75</v>
      </c>
      <c r="E15" s="10" t="n">
        <v>90</v>
      </c>
      <c r="F15" s="10" t="inlineStr">
        <is>
          <t>rosso</t>
        </is>
      </c>
      <c r="G15" s="10" t="n">
        <v>47.86</v>
      </c>
      <c r="H15" s="10" t="n">
        <v>58.04</v>
      </c>
      <c r="I15" s="10" t="inlineStr">
        <is>
          <t>arancione</t>
        </is>
      </c>
      <c r="J15" s="10" t="n">
        <v>27.14</v>
      </c>
      <c r="K15" s="10" t="n">
        <v>31.96</v>
      </c>
      <c r="L15" s="10" t="inlineStr">
        <is>
          <t>disaccordo</t>
        </is>
      </c>
    </row>
    <row r="16">
      <c r="A16" s="10" t="n">
        <v>14</v>
      </c>
      <c r="B16" s="10" t="n">
        <v>28</v>
      </c>
      <c r="C16" s="10" t="n">
        <v>32</v>
      </c>
      <c r="D16" s="10" t="n">
        <v>90</v>
      </c>
      <c r="E16" s="10" t="n">
        <v>100</v>
      </c>
      <c r="F16" s="10" t="inlineStr">
        <is>
          <t>rosso</t>
        </is>
      </c>
      <c r="G16" s="10" t="n">
        <v>47.88</v>
      </c>
      <c r="H16" s="10" t="n">
        <v>53.99</v>
      </c>
      <c r="I16" s="10" t="inlineStr">
        <is>
          <t>arancione</t>
        </is>
      </c>
      <c r="J16" s="10" t="n">
        <v>42.12</v>
      </c>
      <c r="K16" s="10" t="n">
        <v>46.01</v>
      </c>
      <c r="L16" s="10" t="inlineStr">
        <is>
          <t>disaccordo</t>
        </is>
      </c>
    </row>
    <row r="17">
      <c r="A17" s="10" t="n">
        <v>15</v>
      </c>
      <c r="B17" s="10" t="n">
        <v>30</v>
      </c>
      <c r="C17" s="10" t="n">
        <v>34</v>
      </c>
      <c r="D17" s="10" t="n">
        <v>90</v>
      </c>
      <c r="E17" s="10" t="n">
        <v>96</v>
      </c>
      <c r="F17" s="10" t="inlineStr">
        <is>
          <t>rosso</t>
        </is>
      </c>
      <c r="G17" s="10" t="n">
        <v>47.88</v>
      </c>
      <c r="H17" s="10" t="n">
        <v>51.55</v>
      </c>
      <c r="I17" s="10" t="inlineStr">
        <is>
          <t>arancione</t>
        </is>
      </c>
      <c r="J17" s="10" t="n">
        <v>42.12</v>
      </c>
      <c r="K17" s="10" t="n">
        <v>44.45</v>
      </c>
      <c r="L17" s="10" t="inlineStr">
        <is>
          <t>disaccordo</t>
        </is>
      </c>
    </row>
    <row r="18">
      <c r="A18" s="10" t="n">
        <v>16</v>
      </c>
      <c r="B18" s="10" t="n">
        <v>32</v>
      </c>
      <c r="C18" s="10" t="n">
        <v>36</v>
      </c>
      <c r="D18" s="10" t="n">
        <v>95</v>
      </c>
      <c r="E18" s="10" t="n">
        <v>99.59999999999999</v>
      </c>
      <c r="F18" s="10" t="inlineStr">
        <is>
          <t>rosso</t>
        </is>
      </c>
      <c r="G18" s="10" t="n">
        <v>52.98</v>
      </c>
      <c r="H18" s="10" t="n">
        <v>56.2</v>
      </c>
      <c r="I18" s="10" t="inlineStr">
        <is>
          <t>arancione</t>
        </is>
      </c>
      <c r="J18" s="10" t="n">
        <v>42.02</v>
      </c>
      <c r="K18" s="10" t="n">
        <v>43.39999999999999</v>
      </c>
      <c r="L18" s="10" t="inlineStr">
        <is>
          <t>disaccordo</t>
        </is>
      </c>
    </row>
    <row r="19">
      <c r="A19" s="10" t="n">
        <v>17</v>
      </c>
      <c r="B19" s="10" t="n">
        <v>34</v>
      </c>
      <c r="C19" s="10" t="n">
        <v>38</v>
      </c>
      <c r="D19" s="10" t="n">
        <v>95</v>
      </c>
      <c r="E19" s="10" t="n">
        <v>97.76000000000001</v>
      </c>
      <c r="F19" s="10" t="inlineStr">
        <is>
          <t>rosso</t>
        </is>
      </c>
      <c r="G19" s="10" t="n">
        <v>51.58</v>
      </c>
      <c r="H19" s="10" t="n">
        <v>54.35</v>
      </c>
      <c r="I19" s="10" t="inlineStr">
        <is>
          <t>arancione</t>
        </is>
      </c>
      <c r="J19" s="10" t="n">
        <v>43.42</v>
      </c>
      <c r="K19" s="10" t="n">
        <v>43.41</v>
      </c>
      <c r="L19" s="10" t="inlineStr">
        <is>
          <t>disaccordo</t>
        </is>
      </c>
    </row>
    <row r="20">
      <c r="A20" s="10" t="n">
        <v>18</v>
      </c>
      <c r="B20" s="10" t="n">
        <v>36</v>
      </c>
      <c r="C20" s="10" t="n">
        <v>40</v>
      </c>
      <c r="D20" s="10" t="n">
        <v>90</v>
      </c>
      <c r="E20" s="10" t="n">
        <v>94.66</v>
      </c>
      <c r="F20" s="10" t="inlineStr">
        <is>
          <t>rosso</t>
        </is>
      </c>
      <c r="G20" s="10" t="n">
        <v>52.98</v>
      </c>
      <c r="H20" s="10" t="n">
        <v>54.92</v>
      </c>
      <c r="I20" s="10" t="inlineStr">
        <is>
          <t>arancione</t>
        </is>
      </c>
      <c r="J20" s="10" t="n">
        <v>37.02</v>
      </c>
      <c r="K20" s="10" t="n">
        <v>39.73999999999999</v>
      </c>
      <c r="L20" s="10" t="inlineStr">
        <is>
          <t>disaccordo</t>
        </is>
      </c>
    </row>
    <row r="21">
      <c r="A21" s="10" t="n">
        <v>19</v>
      </c>
      <c r="B21" s="10" t="n">
        <v>38</v>
      </c>
      <c r="C21" s="10" t="n">
        <v>42</v>
      </c>
      <c r="D21" s="10" t="n">
        <v>95</v>
      </c>
      <c r="E21" s="10" t="n">
        <v>98.8</v>
      </c>
      <c r="F21" s="10" t="inlineStr">
        <is>
          <t>rosso</t>
        </is>
      </c>
      <c r="G21" s="10" t="n">
        <v>51.58</v>
      </c>
      <c r="H21" s="10" t="n">
        <v>53.58</v>
      </c>
      <c r="I21" s="10" t="inlineStr">
        <is>
          <t>arancione</t>
        </is>
      </c>
      <c r="J21" s="10" t="n">
        <v>43.42</v>
      </c>
      <c r="K21" s="10" t="n">
        <v>45.22</v>
      </c>
      <c r="L21" s="10" t="inlineStr">
        <is>
          <t>disaccordo</t>
        </is>
      </c>
    </row>
    <row r="22">
      <c r="A22" s="10" t="n">
        <v>20</v>
      </c>
      <c r="B22" s="10" t="n">
        <v>40</v>
      </c>
      <c r="C22" s="10" t="n">
        <v>44</v>
      </c>
      <c r="D22" s="10" t="n">
        <v>98</v>
      </c>
      <c r="E22" s="10" t="n">
        <v>100</v>
      </c>
      <c r="F22" s="10" t="inlineStr">
        <is>
          <t>rosso</t>
        </is>
      </c>
      <c r="G22" s="10" t="n">
        <v>52.98</v>
      </c>
      <c r="H22" s="10" t="n">
        <v>54.46</v>
      </c>
      <c r="I22" s="10" t="inlineStr">
        <is>
          <t>arancione</t>
        </is>
      </c>
      <c r="J22" s="10" t="n">
        <v>45.02</v>
      </c>
      <c r="K22" s="10" t="n">
        <v>45.54</v>
      </c>
      <c r="L22" s="10" t="inlineStr">
        <is>
          <t>disaccordo</t>
        </is>
      </c>
    </row>
    <row r="23">
      <c r="A23" s="10" t="n">
        <v>21</v>
      </c>
      <c r="B23" s="10" t="n">
        <v>42</v>
      </c>
      <c r="C23" s="10" t="n">
        <v>46</v>
      </c>
      <c r="D23" s="10" t="n">
        <v>90</v>
      </c>
      <c r="E23" s="10" t="n">
        <v>96</v>
      </c>
      <c r="F23" s="10" t="inlineStr">
        <is>
          <t>rosso</t>
        </is>
      </c>
      <c r="G23" s="10" t="n">
        <v>47.86</v>
      </c>
      <c r="H23" s="10" t="n">
        <v>51.82</v>
      </c>
      <c r="I23" s="10" t="inlineStr">
        <is>
          <t>arancione</t>
        </is>
      </c>
      <c r="J23" s="10" t="n">
        <v>42.14</v>
      </c>
      <c r="K23" s="10" t="n">
        <v>44.18</v>
      </c>
      <c r="L23" s="10" t="inlineStr">
        <is>
          <t>disaccordo</t>
        </is>
      </c>
    </row>
    <row r="24">
      <c r="A24" s="10" t="n">
        <v>22</v>
      </c>
      <c r="B24" s="10" t="n">
        <v>44</v>
      </c>
      <c r="C24" s="10" t="n">
        <v>48</v>
      </c>
      <c r="D24" s="10" t="n">
        <v>90</v>
      </c>
      <c r="E24" s="10" t="n">
        <v>93.59999999999999</v>
      </c>
      <c r="F24" s="10" t="inlineStr">
        <is>
          <t>rosso</t>
        </is>
      </c>
      <c r="G24" s="10" t="n">
        <v>49.28</v>
      </c>
      <c r="H24" s="10" t="n">
        <v>51.94</v>
      </c>
      <c r="I24" s="10" t="inlineStr">
        <is>
          <t>arancione</t>
        </is>
      </c>
      <c r="J24" s="10" t="n">
        <v>40.72</v>
      </c>
      <c r="K24" s="10" t="n">
        <v>41.66</v>
      </c>
      <c r="L24" s="10" t="inlineStr">
        <is>
          <t>disaccordo</t>
        </is>
      </c>
    </row>
    <row r="25">
      <c r="A25" s="10" t="n">
        <v>23</v>
      </c>
      <c r="B25" s="10" t="n">
        <v>46</v>
      </c>
      <c r="C25" s="10" t="n">
        <v>50</v>
      </c>
      <c r="D25" s="10" t="n">
        <v>70</v>
      </c>
      <c r="E25" s="10" t="n">
        <v>84.16</v>
      </c>
      <c r="F25" s="10" t="inlineStr">
        <is>
          <t>rosso</t>
        </is>
      </c>
      <c r="G25" s="10" t="n">
        <v>27.27</v>
      </c>
      <c r="H25" s="10" t="n">
        <v>42.07</v>
      </c>
      <c r="I25" s="10" t="inlineStr">
        <is>
          <t>giallo</t>
        </is>
      </c>
      <c r="J25" s="10" t="n">
        <v>42.73</v>
      </c>
      <c r="K25" s="10" t="n">
        <v>42.09</v>
      </c>
      <c r="L25" s="10" t="inlineStr">
        <is>
          <t>disaccordo</t>
        </is>
      </c>
    </row>
    <row r="26">
      <c r="A26" s="10" t="n">
        <v>24</v>
      </c>
      <c r="B26" s="10" t="n">
        <v>48</v>
      </c>
      <c r="C26" s="10" t="n">
        <v>52</v>
      </c>
      <c r="D26" s="10" t="n">
        <v>95</v>
      </c>
      <c r="E26" s="10" t="n">
        <v>100</v>
      </c>
      <c r="F26" s="10" t="inlineStr">
        <is>
          <t>rosso</t>
        </is>
      </c>
      <c r="G26" s="10" t="n">
        <v>52.28</v>
      </c>
      <c r="H26" s="10" t="n">
        <v>66.16</v>
      </c>
      <c r="I26" s="10" t="inlineStr">
        <is>
          <t>arancione</t>
        </is>
      </c>
      <c r="J26" s="10" t="n">
        <v>42.72</v>
      </c>
      <c r="K26" s="10" t="n">
        <v>33.84</v>
      </c>
      <c r="L26" s="10" t="inlineStr">
        <is>
          <t>disaccordo</t>
        </is>
      </c>
    </row>
    <row r="27">
      <c r="A27" s="10" t="n">
        <v>25</v>
      </c>
      <c r="B27" s="10" t="n">
        <v>50</v>
      </c>
      <c r="C27" s="10" t="n">
        <v>54</v>
      </c>
      <c r="D27" s="10" t="n">
        <v>90</v>
      </c>
      <c r="E27" s="10" t="n">
        <v>96</v>
      </c>
      <c r="F27" s="10" t="inlineStr">
        <is>
          <t>rosso</t>
        </is>
      </c>
      <c r="G27" s="10" t="n">
        <v>51.21</v>
      </c>
      <c r="H27" s="10" t="n">
        <v>60.18</v>
      </c>
      <c r="I27" s="10" t="inlineStr">
        <is>
          <t>arancione</t>
        </is>
      </c>
      <c r="J27" s="10" t="n">
        <v>38.79</v>
      </c>
      <c r="K27" s="10" t="n">
        <v>35.82</v>
      </c>
      <c r="L27" s="10" t="inlineStr">
        <is>
          <t>disaccordo</t>
        </is>
      </c>
    </row>
    <row r="28">
      <c r="A28" s="10" t="n">
        <v>26</v>
      </c>
      <c r="B28" s="10" t="n">
        <v>52</v>
      </c>
      <c r="C28" s="10" t="n">
        <v>56</v>
      </c>
      <c r="D28" s="10" t="n">
        <v>85</v>
      </c>
      <c r="E28" s="10" t="n">
        <v>91.59999999999999</v>
      </c>
      <c r="F28" s="10" t="inlineStr">
        <is>
          <t>rosso</t>
        </is>
      </c>
      <c r="G28" s="10" t="n">
        <v>47.86</v>
      </c>
      <c r="H28" s="10" t="n">
        <v>55.25</v>
      </c>
      <c r="I28" s="10" t="inlineStr">
        <is>
          <t>arancione</t>
        </is>
      </c>
      <c r="J28" s="10" t="n">
        <v>37.14</v>
      </c>
      <c r="K28" s="10" t="n">
        <v>36.34999999999999</v>
      </c>
      <c r="L28" s="10" t="inlineStr">
        <is>
          <t>disaccordo</t>
        </is>
      </c>
    </row>
    <row r="29">
      <c r="A29" s="10" t="n">
        <v>27</v>
      </c>
      <c r="B29" s="10" t="n">
        <v>54</v>
      </c>
      <c r="C29" s="10" t="n">
        <v>58</v>
      </c>
      <c r="D29" s="10" t="n">
        <v>85</v>
      </c>
      <c r="E29" s="10" t="n">
        <v>88.95999999999999</v>
      </c>
      <c r="F29" s="10" t="inlineStr">
        <is>
          <t>rosso</t>
        </is>
      </c>
      <c r="G29" s="10" t="n">
        <v>49.28</v>
      </c>
      <c r="H29" s="10" t="n">
        <v>54</v>
      </c>
      <c r="I29" s="10" t="inlineStr">
        <is>
          <t>arancione</t>
        </is>
      </c>
      <c r="J29" s="10" t="n">
        <v>35.72</v>
      </c>
      <c r="K29" s="10" t="n">
        <v>34.95999999999999</v>
      </c>
      <c r="L29" s="10" t="inlineStr">
        <is>
          <t>disaccordo</t>
        </is>
      </c>
    </row>
    <row r="30">
      <c r="A30" s="10" t="n">
        <v>28</v>
      </c>
      <c r="B30" s="10" t="n">
        <v>56</v>
      </c>
      <c r="C30" s="10" t="n">
        <v>60</v>
      </c>
      <c r="D30" s="10" t="n">
        <v>75</v>
      </c>
      <c r="E30" s="10" t="n">
        <v>83.38</v>
      </c>
      <c r="F30" s="10" t="inlineStr">
        <is>
          <t>rosso</t>
        </is>
      </c>
      <c r="G30" s="10" t="n">
        <v>27.29</v>
      </c>
      <c r="H30" s="10" t="n">
        <v>43.32</v>
      </c>
      <c r="I30" s="10" t="inlineStr">
        <is>
          <t>giallo</t>
        </is>
      </c>
      <c r="J30" s="10" t="n">
        <v>47.71</v>
      </c>
      <c r="K30" s="10" t="n">
        <v>40.06</v>
      </c>
      <c r="L30" s="10" t="inlineStr">
        <is>
          <t>disaccordo</t>
        </is>
      </c>
    </row>
    <row r="31">
      <c r="A31" s="10" t="n">
        <v>29</v>
      </c>
      <c r="B31" s="10" t="n">
        <v>58</v>
      </c>
      <c r="C31" s="10" t="n">
        <v>62</v>
      </c>
      <c r="D31" s="10" t="n">
        <v>50</v>
      </c>
      <c r="E31" s="10" t="n">
        <v>70.03</v>
      </c>
      <c r="F31" s="10" t="inlineStr">
        <is>
          <t>arancione</t>
        </is>
      </c>
      <c r="G31" s="10" t="n">
        <v>3.48</v>
      </c>
      <c r="H31" s="10" t="n">
        <v>27.38</v>
      </c>
      <c r="I31" s="10" t="inlineStr">
        <is>
          <t>giallo</t>
        </is>
      </c>
      <c r="J31" s="10" t="n">
        <v>46.52</v>
      </c>
      <c r="K31" s="10" t="n">
        <v>42.65000000000001</v>
      </c>
      <c r="L31" s="10" t="inlineStr">
        <is>
          <t>disaccordo</t>
        </is>
      </c>
    </row>
    <row r="32">
      <c r="A32" s="10" t="n">
        <v>30</v>
      </c>
      <c r="B32" s="10" t="n">
        <v>60</v>
      </c>
      <c r="C32" s="10" t="n">
        <v>62.533</v>
      </c>
      <c r="D32" s="10" t="n">
        <v>45</v>
      </c>
      <c r="E32" s="10" t="n">
        <v>60.02</v>
      </c>
      <c r="F32" s="10" t="inlineStr">
        <is>
          <t>arancione</t>
        </is>
      </c>
      <c r="G32" s="10" t="n">
        <v>3.42</v>
      </c>
      <c r="H32" s="10" t="n">
        <v>17.8</v>
      </c>
      <c r="I32" s="10" t="inlineStr">
        <is>
          <t>verde</t>
        </is>
      </c>
      <c r="J32" s="10" t="n">
        <v>41.58</v>
      </c>
      <c r="K32" s="10" t="n">
        <v>42.22</v>
      </c>
      <c r="L32" s="10" t="inlineStr">
        <is>
          <t>disaccordo</t>
        </is>
      </c>
    </row>
    <row r="33">
      <c r="A33" s="10" t="n">
        <v>31</v>
      </c>
      <c r="B33" s="10" t="n">
        <v>62</v>
      </c>
      <c r="C33" s="10" t="n">
        <v>62.533</v>
      </c>
      <c r="D33" s="10" t="n">
        <v>15</v>
      </c>
      <c r="E33" s="10" t="n">
        <v>42.01</v>
      </c>
      <c r="F33" s="10" t="inlineStr">
        <is>
          <t>giallo</t>
        </is>
      </c>
      <c r="G33" s="10" t="n">
        <v>0.43</v>
      </c>
      <c r="H33" s="10" t="n">
        <v>10.85</v>
      </c>
      <c r="I33" s="10" t="inlineStr">
        <is>
          <t>verde</t>
        </is>
      </c>
      <c r="J33" s="10" t="n">
        <v>14.57</v>
      </c>
      <c r="K33" s="10" t="n">
        <v>31.16</v>
      </c>
      <c r="L33" s="10" t="inlineStr">
        <is>
          <t>disaccordo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R33"/>
  <sheetViews>
    <sheetView workbookViewId="0">
      <selection activeCell="A1" sqref="A1"/>
    </sheetView>
  </sheetViews>
  <sheetFormatPr baseColWidth="8" defaultRowHeight="15"/>
  <cols>
    <col width="12" customWidth="1" min="1" max="1"/>
    <col width="14" customWidth="1" min="2" max="2"/>
    <col width="12" customWidth="1" min="3" max="3"/>
    <col width="17" customWidth="1" min="4" max="4"/>
    <col width="17" customWidth="1" min="5" max="5"/>
    <col width="17" customWidth="1" min="6" max="6"/>
    <col width="17" customWidth="1" min="7" max="7"/>
    <col width="17" customWidth="1" min="8" max="8"/>
    <col width="17" customWidth="1" min="9" max="9"/>
    <col width="17" customWidth="1" min="10" max="10"/>
    <col width="21" customWidth="1" min="11" max="11"/>
    <col width="21" customWidth="1" min="12" max="12"/>
    <col width="21" customWidth="1" min="13" max="13"/>
    <col width="21" customWidth="1" min="14" max="14"/>
    <col width="21" customWidth="1" min="15" max="15"/>
    <col width="21" customWidth="1" min="16" max="16"/>
    <col width="21" customWidth="1" min="17" max="17"/>
    <col width="30" customWidth="1" min="18" max="18"/>
  </cols>
  <sheetData>
    <row r="1">
      <c r="A1" s="1" t="inlineStr">
        <is>
          <t>window_id</t>
        </is>
      </c>
      <c r="B1" s="1" t="inlineStr">
        <is>
          <t>start_time_s</t>
        </is>
      </c>
      <c r="C1" s="1" t="inlineStr">
        <is>
          <t>end_time_s</t>
        </is>
      </c>
      <c r="D1" s="1" t="inlineStr">
        <is>
          <t>R1_contribution</t>
        </is>
      </c>
      <c r="E1" s="1" t="inlineStr">
        <is>
          <t>R2_contribution</t>
        </is>
      </c>
      <c r="F1" s="1" t="inlineStr">
        <is>
          <t>R3_contribution</t>
        </is>
      </c>
      <c r="G1" s="1" t="inlineStr">
        <is>
          <t>R4_contribution</t>
        </is>
      </c>
      <c r="H1" s="1" t="inlineStr">
        <is>
          <t>R5_contribution</t>
        </is>
      </c>
      <c r="I1" s="1" t="inlineStr">
        <is>
          <t>R6_contribution</t>
        </is>
      </c>
      <c r="J1" s="1" t="inlineStr">
        <is>
          <t>R7_contribution</t>
        </is>
      </c>
      <c r="K1" s="1" t="inlineStr">
        <is>
          <t>R1_contribution_pct</t>
        </is>
      </c>
      <c r="L1" s="1" t="inlineStr">
        <is>
          <t>R2_contribution_pct</t>
        </is>
      </c>
      <c r="M1" s="1" t="inlineStr">
        <is>
          <t>R3_contribution_pct</t>
        </is>
      </c>
      <c r="N1" s="1" t="inlineStr">
        <is>
          <t>R4_contribution_pct</t>
        </is>
      </c>
      <c r="O1" s="1" t="inlineStr">
        <is>
          <t>R5_contribution_pct</t>
        </is>
      </c>
      <c r="P1" s="1" t="inlineStr">
        <is>
          <t>R6_contribution_pct</t>
        </is>
      </c>
      <c r="Q1" s="1" t="inlineStr">
        <is>
          <t>R7_contribution_pct</t>
        </is>
      </c>
      <c r="R1" s="1" t="inlineStr">
        <is>
          <t>instantaneous_risk_score_ahp</t>
        </is>
      </c>
    </row>
    <row r="2">
      <c r="A2" t="n">
        <v>0</v>
      </c>
      <c r="B2" t="n">
        <v>0</v>
      </c>
      <c r="C2" t="n">
        <v>4</v>
      </c>
      <c r="D2" t="n">
        <v>0.1588</v>
      </c>
      <c r="E2" t="n">
        <v>0</v>
      </c>
      <c r="F2" t="n">
        <v>0.0965</v>
      </c>
      <c r="G2" t="n">
        <v>37.9468</v>
      </c>
      <c r="H2" t="n">
        <v>4.4</v>
      </c>
      <c r="I2" t="n">
        <v>8.9809</v>
      </c>
      <c r="J2" t="n">
        <v>1.4</v>
      </c>
      <c r="K2" t="n">
        <v>0.3</v>
      </c>
      <c r="L2" t="n">
        <v>0</v>
      </c>
      <c r="M2" t="n">
        <v>0.18</v>
      </c>
      <c r="N2" t="n">
        <v>71.62</v>
      </c>
      <c r="O2" t="n">
        <v>8.31</v>
      </c>
      <c r="P2" t="n">
        <v>16.95</v>
      </c>
      <c r="Q2" t="n">
        <v>2.64</v>
      </c>
      <c r="R2" t="n">
        <v>52.98</v>
      </c>
    </row>
    <row r="3">
      <c r="A3" t="n">
        <v>1</v>
      </c>
      <c r="B3" t="n">
        <v>2</v>
      </c>
      <c r="C3" t="n">
        <v>6</v>
      </c>
      <c r="D3" t="n">
        <v>0.1588</v>
      </c>
      <c r="E3" t="n">
        <v>0</v>
      </c>
      <c r="F3" t="n">
        <v>0.0965</v>
      </c>
      <c r="G3" t="n">
        <v>37.9468</v>
      </c>
      <c r="H3" t="n">
        <v>4.4</v>
      </c>
      <c r="I3" t="n">
        <v>8.9809</v>
      </c>
      <c r="J3" t="n">
        <v>1.4</v>
      </c>
      <c r="K3" t="n">
        <v>0.3</v>
      </c>
      <c r="L3" t="n">
        <v>0</v>
      </c>
      <c r="M3" t="n">
        <v>0.18</v>
      </c>
      <c r="N3" t="n">
        <v>71.62</v>
      </c>
      <c r="O3" t="n">
        <v>8.31</v>
      </c>
      <c r="P3" t="n">
        <v>16.95</v>
      </c>
      <c r="Q3" t="n">
        <v>2.64</v>
      </c>
      <c r="R3" t="n">
        <v>52.98</v>
      </c>
    </row>
    <row r="4">
      <c r="A4" t="n">
        <v>2</v>
      </c>
      <c r="B4" t="n">
        <v>4</v>
      </c>
      <c r="C4" t="n">
        <v>8</v>
      </c>
      <c r="D4" t="n">
        <v>0.1588</v>
      </c>
      <c r="E4" t="n">
        <v>0</v>
      </c>
      <c r="F4" t="n">
        <v>0.0965</v>
      </c>
      <c r="G4" t="n">
        <v>36.9892</v>
      </c>
      <c r="H4" t="n">
        <v>2.475</v>
      </c>
      <c r="I4" t="n">
        <v>6.7377</v>
      </c>
      <c r="J4" t="n">
        <v>0</v>
      </c>
      <c r="K4" t="n">
        <v>0.34</v>
      </c>
      <c r="L4" t="n">
        <v>0</v>
      </c>
      <c r="M4" t="n">
        <v>0.21</v>
      </c>
      <c r="N4" t="n">
        <v>79.62</v>
      </c>
      <c r="O4" t="n">
        <v>5.33</v>
      </c>
      <c r="P4" t="n">
        <v>14.5</v>
      </c>
      <c r="Q4" t="n">
        <v>0</v>
      </c>
      <c r="R4" t="n">
        <v>46.46</v>
      </c>
    </row>
    <row r="5">
      <c r="A5" t="n">
        <v>3</v>
      </c>
      <c r="B5" t="n">
        <v>6</v>
      </c>
      <c r="C5" t="n">
        <v>10</v>
      </c>
      <c r="D5" t="n">
        <v>0.1588</v>
      </c>
      <c r="E5" t="n">
        <v>0</v>
      </c>
      <c r="F5" t="n">
        <v>0.0965</v>
      </c>
      <c r="G5" t="n">
        <v>36.9892</v>
      </c>
      <c r="H5" t="n">
        <v>2.475</v>
      </c>
      <c r="I5" t="n">
        <v>8.1608</v>
      </c>
      <c r="J5" t="n">
        <v>0</v>
      </c>
      <c r="K5" t="n">
        <v>0.33</v>
      </c>
      <c r="L5" t="n">
        <v>0</v>
      </c>
      <c r="M5" t="n">
        <v>0.2</v>
      </c>
      <c r="N5" t="n">
        <v>77.25</v>
      </c>
      <c r="O5" t="n">
        <v>5.17</v>
      </c>
      <c r="P5" t="n">
        <v>17.04</v>
      </c>
      <c r="Q5" t="n">
        <v>0</v>
      </c>
      <c r="R5" t="n">
        <v>47.88</v>
      </c>
    </row>
    <row r="6">
      <c r="A6" t="n">
        <v>4</v>
      </c>
      <c r="B6" t="n">
        <v>8</v>
      </c>
      <c r="C6" t="n">
        <v>12</v>
      </c>
      <c r="D6" t="n">
        <v>0.1588</v>
      </c>
      <c r="E6" t="n">
        <v>0</v>
      </c>
      <c r="F6" t="n">
        <v>0.0965</v>
      </c>
      <c r="G6" t="n">
        <v>36.9892</v>
      </c>
      <c r="H6" t="n">
        <v>2.475</v>
      </c>
      <c r="I6" t="n">
        <v>8.1608</v>
      </c>
      <c r="J6" t="n">
        <v>1.4</v>
      </c>
      <c r="K6" t="n">
        <v>0.32</v>
      </c>
      <c r="L6" t="n">
        <v>0</v>
      </c>
      <c r="M6" t="n">
        <v>0.2</v>
      </c>
      <c r="N6" t="n">
        <v>75.06</v>
      </c>
      <c r="O6" t="n">
        <v>5.02</v>
      </c>
      <c r="P6" t="n">
        <v>16.56</v>
      </c>
      <c r="Q6" t="n">
        <v>2.84</v>
      </c>
      <c r="R6" t="n">
        <v>49.28</v>
      </c>
    </row>
    <row r="7">
      <c r="A7" t="n">
        <v>5</v>
      </c>
      <c r="B7" t="n">
        <v>10</v>
      </c>
      <c r="C7" t="n">
        <v>14</v>
      </c>
      <c r="D7" t="n">
        <v>0.1588</v>
      </c>
      <c r="E7" t="n">
        <v>0</v>
      </c>
      <c r="F7" t="n">
        <v>0.0965</v>
      </c>
      <c r="G7" t="n">
        <v>36.9892</v>
      </c>
      <c r="H7" t="n">
        <v>2.475</v>
      </c>
      <c r="I7" t="n">
        <v>0</v>
      </c>
      <c r="J7" t="n">
        <v>0</v>
      </c>
      <c r="K7" t="n">
        <v>0.4</v>
      </c>
      <c r="L7" t="n">
        <v>0</v>
      </c>
      <c r="M7" t="n">
        <v>0.24</v>
      </c>
      <c r="N7" t="n">
        <v>93.12</v>
      </c>
      <c r="O7" t="n">
        <v>6.23</v>
      </c>
      <c r="P7" t="n">
        <v>0</v>
      </c>
      <c r="Q7" t="n">
        <v>0</v>
      </c>
      <c r="R7" t="n">
        <v>39.72</v>
      </c>
    </row>
    <row r="8">
      <c r="A8" t="n">
        <v>6</v>
      </c>
      <c r="B8" t="n">
        <v>12</v>
      </c>
      <c r="C8" t="n">
        <v>16</v>
      </c>
      <c r="D8" t="n">
        <v>0.1588</v>
      </c>
      <c r="E8" t="n">
        <v>0</v>
      </c>
      <c r="F8" t="n">
        <v>0.0965</v>
      </c>
      <c r="G8" t="n">
        <v>36.9892</v>
      </c>
      <c r="H8" t="n">
        <v>2.475</v>
      </c>
      <c r="I8" t="n">
        <v>0</v>
      </c>
      <c r="J8" t="n">
        <v>0</v>
      </c>
      <c r="K8" t="n">
        <v>0.4</v>
      </c>
      <c r="L8" t="n">
        <v>0</v>
      </c>
      <c r="M8" t="n">
        <v>0.24</v>
      </c>
      <c r="N8" t="n">
        <v>93.12</v>
      </c>
      <c r="O8" t="n">
        <v>6.23</v>
      </c>
      <c r="P8" t="n">
        <v>0</v>
      </c>
      <c r="Q8" t="n">
        <v>0</v>
      </c>
      <c r="R8" t="n">
        <v>39.72</v>
      </c>
    </row>
    <row r="9">
      <c r="A9" t="n">
        <v>7</v>
      </c>
      <c r="B9" t="n">
        <v>14</v>
      </c>
      <c r="C9" t="n">
        <v>18</v>
      </c>
      <c r="D9" t="n">
        <v>0.1588</v>
      </c>
      <c r="E9" t="n">
        <v>0</v>
      </c>
      <c r="F9" t="n">
        <v>0.0965</v>
      </c>
      <c r="G9" t="n">
        <v>37.9468</v>
      </c>
      <c r="H9" t="n">
        <v>4.4</v>
      </c>
      <c r="I9" t="n">
        <v>8.9809</v>
      </c>
      <c r="J9" t="n">
        <v>1.4</v>
      </c>
      <c r="K9" t="n">
        <v>0.3</v>
      </c>
      <c r="L9" t="n">
        <v>0</v>
      </c>
      <c r="M9" t="n">
        <v>0.18</v>
      </c>
      <c r="N9" t="n">
        <v>71.62</v>
      </c>
      <c r="O9" t="n">
        <v>8.31</v>
      </c>
      <c r="P9" t="n">
        <v>16.95</v>
      </c>
      <c r="Q9" t="n">
        <v>2.64</v>
      </c>
      <c r="R9" t="n">
        <v>52.98</v>
      </c>
    </row>
    <row r="10">
      <c r="A10" t="n">
        <v>8</v>
      </c>
      <c r="B10" t="n">
        <v>16</v>
      </c>
      <c r="C10" t="n">
        <v>20</v>
      </c>
      <c r="D10" t="n">
        <v>0.1588</v>
      </c>
      <c r="E10" t="n">
        <v>0</v>
      </c>
      <c r="F10" t="n">
        <v>0.0965</v>
      </c>
      <c r="G10" t="n">
        <v>0.171</v>
      </c>
      <c r="H10" t="n">
        <v>1.1</v>
      </c>
      <c r="I10" t="n">
        <v>0</v>
      </c>
      <c r="J10" t="n">
        <v>1.4</v>
      </c>
      <c r="K10" t="n">
        <v>5.42</v>
      </c>
      <c r="L10" t="n">
        <v>0</v>
      </c>
      <c r="M10" t="n">
        <v>3.29</v>
      </c>
      <c r="N10" t="n">
        <v>5.84</v>
      </c>
      <c r="O10" t="n">
        <v>37.54</v>
      </c>
      <c r="P10" t="n">
        <v>0</v>
      </c>
      <c r="Q10" t="n">
        <v>47.78</v>
      </c>
      <c r="R10" t="n">
        <v>2.93</v>
      </c>
    </row>
    <row r="11">
      <c r="A11" t="n">
        <v>9</v>
      </c>
      <c r="B11" t="n">
        <v>18</v>
      </c>
      <c r="C11" t="n">
        <v>22</v>
      </c>
      <c r="D11" t="n">
        <v>0.1588</v>
      </c>
      <c r="E11" t="n">
        <v>0</v>
      </c>
      <c r="F11" t="n">
        <v>0.0965</v>
      </c>
      <c r="G11" t="n">
        <v>36.9892</v>
      </c>
      <c r="H11" t="n">
        <v>2.475</v>
      </c>
      <c r="I11" t="n">
        <v>0</v>
      </c>
      <c r="J11" t="n">
        <v>1.4</v>
      </c>
      <c r="K11" t="n">
        <v>0.39</v>
      </c>
      <c r="L11" t="n">
        <v>0</v>
      </c>
      <c r="M11" t="n">
        <v>0.23</v>
      </c>
      <c r="N11" t="n">
        <v>89.95</v>
      </c>
      <c r="O11" t="n">
        <v>6.02</v>
      </c>
      <c r="P11" t="n">
        <v>0</v>
      </c>
      <c r="Q11" t="n">
        <v>3.4</v>
      </c>
      <c r="R11" t="n">
        <v>41.12</v>
      </c>
    </row>
    <row r="12">
      <c r="A12" t="n">
        <v>10</v>
      </c>
      <c r="B12" t="n">
        <v>20</v>
      </c>
      <c r="C12" t="n">
        <v>24</v>
      </c>
      <c r="D12" t="n">
        <v>0.1588</v>
      </c>
      <c r="E12" t="n">
        <v>0</v>
      </c>
      <c r="F12" t="n">
        <v>0.0965</v>
      </c>
      <c r="G12" t="n">
        <v>24.5366</v>
      </c>
      <c r="H12" t="n">
        <v>2.475</v>
      </c>
      <c r="I12" t="n">
        <v>0</v>
      </c>
      <c r="J12" t="n">
        <v>1.4</v>
      </c>
      <c r="K12" t="n">
        <v>0.55</v>
      </c>
      <c r="L12" t="n">
        <v>0</v>
      </c>
      <c r="M12" t="n">
        <v>0.34</v>
      </c>
      <c r="N12" t="n">
        <v>85.58</v>
      </c>
      <c r="O12" t="n">
        <v>8.630000000000001</v>
      </c>
      <c r="P12" t="n">
        <v>0</v>
      </c>
      <c r="Q12" t="n">
        <v>4.88</v>
      </c>
      <c r="R12" t="n">
        <v>28.67</v>
      </c>
    </row>
    <row r="13">
      <c r="A13" t="n">
        <v>11</v>
      </c>
      <c r="B13" t="n">
        <v>22</v>
      </c>
      <c r="C13" t="n">
        <v>26</v>
      </c>
      <c r="D13" t="n">
        <v>0.1588</v>
      </c>
      <c r="E13" t="n">
        <v>0</v>
      </c>
      <c r="F13" t="n">
        <v>0.0965</v>
      </c>
      <c r="G13" t="n">
        <v>36.9892</v>
      </c>
      <c r="H13" t="n">
        <v>2.475</v>
      </c>
      <c r="I13" t="n">
        <v>8.1608</v>
      </c>
      <c r="J13" t="n">
        <v>1.4</v>
      </c>
      <c r="K13" t="n">
        <v>0.32</v>
      </c>
      <c r="L13" t="n">
        <v>0</v>
      </c>
      <c r="M13" t="n">
        <v>0.2</v>
      </c>
      <c r="N13" t="n">
        <v>75.06</v>
      </c>
      <c r="O13" t="n">
        <v>5.02</v>
      </c>
      <c r="P13" t="n">
        <v>16.56</v>
      </c>
      <c r="Q13" t="n">
        <v>2.84</v>
      </c>
      <c r="R13" t="n">
        <v>49.28</v>
      </c>
    </row>
    <row r="14">
      <c r="A14" t="n">
        <v>12</v>
      </c>
      <c r="B14" t="n">
        <v>24</v>
      </c>
      <c r="C14" t="n">
        <v>28</v>
      </c>
      <c r="D14" t="n">
        <v>0.1588</v>
      </c>
      <c r="E14" t="n">
        <v>0</v>
      </c>
      <c r="F14" t="n">
        <v>0.0965</v>
      </c>
      <c r="G14" t="n">
        <v>37.9468</v>
      </c>
      <c r="H14" t="n">
        <v>4.4</v>
      </c>
      <c r="I14" t="n">
        <v>8.9809</v>
      </c>
      <c r="J14" t="n">
        <v>1.4</v>
      </c>
      <c r="K14" t="n">
        <v>0.3</v>
      </c>
      <c r="L14" t="n">
        <v>0</v>
      </c>
      <c r="M14" t="n">
        <v>0.18</v>
      </c>
      <c r="N14" t="n">
        <v>71.62</v>
      </c>
      <c r="O14" t="n">
        <v>8.31</v>
      </c>
      <c r="P14" t="n">
        <v>16.95</v>
      </c>
      <c r="Q14" t="n">
        <v>2.64</v>
      </c>
      <c r="R14" t="n">
        <v>52.98</v>
      </c>
    </row>
    <row r="15">
      <c r="A15" t="n">
        <v>13</v>
      </c>
      <c r="B15" t="n">
        <v>26</v>
      </c>
      <c r="C15" t="n">
        <v>30</v>
      </c>
      <c r="D15" t="n">
        <v>0.1588</v>
      </c>
      <c r="E15" t="n">
        <v>0</v>
      </c>
      <c r="F15" t="n">
        <v>0.0965</v>
      </c>
      <c r="G15" t="n">
        <v>36.9892</v>
      </c>
      <c r="H15" t="n">
        <v>2.475</v>
      </c>
      <c r="I15" t="n">
        <v>6.7377</v>
      </c>
      <c r="J15" t="n">
        <v>1.4</v>
      </c>
      <c r="K15" t="n">
        <v>0.33</v>
      </c>
      <c r="L15" t="n">
        <v>0</v>
      </c>
      <c r="M15" t="n">
        <v>0.2</v>
      </c>
      <c r="N15" t="n">
        <v>77.29000000000001</v>
      </c>
      <c r="O15" t="n">
        <v>5.17</v>
      </c>
      <c r="P15" t="n">
        <v>14.08</v>
      </c>
      <c r="Q15" t="n">
        <v>2.93</v>
      </c>
      <c r="R15" t="n">
        <v>47.86</v>
      </c>
    </row>
    <row r="16">
      <c r="A16" t="n">
        <v>14</v>
      </c>
      <c r="B16" t="n">
        <v>28</v>
      </c>
      <c r="C16" t="n">
        <v>32</v>
      </c>
      <c r="D16" t="n">
        <v>0.1588</v>
      </c>
      <c r="E16" t="n">
        <v>0</v>
      </c>
      <c r="F16" t="n">
        <v>0.0965</v>
      </c>
      <c r="G16" t="n">
        <v>36.9892</v>
      </c>
      <c r="H16" t="n">
        <v>2.475</v>
      </c>
      <c r="I16" t="n">
        <v>8.1608</v>
      </c>
      <c r="J16" t="n">
        <v>0</v>
      </c>
      <c r="K16" t="n">
        <v>0.33</v>
      </c>
      <c r="L16" t="n">
        <v>0</v>
      </c>
      <c r="M16" t="n">
        <v>0.2</v>
      </c>
      <c r="N16" t="n">
        <v>77.25</v>
      </c>
      <c r="O16" t="n">
        <v>5.17</v>
      </c>
      <c r="P16" t="n">
        <v>17.04</v>
      </c>
      <c r="Q16" t="n">
        <v>0</v>
      </c>
      <c r="R16" t="n">
        <v>47.88</v>
      </c>
    </row>
    <row r="17">
      <c r="A17" t="n">
        <v>15</v>
      </c>
      <c r="B17" t="n">
        <v>30</v>
      </c>
      <c r="C17" t="n">
        <v>34</v>
      </c>
      <c r="D17" t="n">
        <v>0.1588</v>
      </c>
      <c r="E17" t="n">
        <v>0</v>
      </c>
      <c r="F17" t="n">
        <v>0.0965</v>
      </c>
      <c r="G17" t="n">
        <v>36.9892</v>
      </c>
      <c r="H17" t="n">
        <v>2.475</v>
      </c>
      <c r="I17" t="n">
        <v>8.1608</v>
      </c>
      <c r="J17" t="n">
        <v>0</v>
      </c>
      <c r="K17" t="n">
        <v>0.33</v>
      </c>
      <c r="L17" t="n">
        <v>0</v>
      </c>
      <c r="M17" t="n">
        <v>0.2</v>
      </c>
      <c r="N17" t="n">
        <v>77.25</v>
      </c>
      <c r="O17" t="n">
        <v>5.17</v>
      </c>
      <c r="P17" t="n">
        <v>17.04</v>
      </c>
      <c r="Q17" t="n">
        <v>0</v>
      </c>
      <c r="R17" t="n">
        <v>47.88</v>
      </c>
    </row>
    <row r="18">
      <c r="A18" t="n">
        <v>16</v>
      </c>
      <c r="B18" t="n">
        <v>32</v>
      </c>
      <c r="C18" t="n">
        <v>36</v>
      </c>
      <c r="D18" t="n">
        <v>0.1588</v>
      </c>
      <c r="E18" t="n">
        <v>0</v>
      </c>
      <c r="F18" t="n">
        <v>0.0965</v>
      </c>
      <c r="G18" t="n">
        <v>37.9468</v>
      </c>
      <c r="H18" t="n">
        <v>4.4</v>
      </c>
      <c r="I18" t="n">
        <v>8.9809</v>
      </c>
      <c r="J18" t="n">
        <v>1.4</v>
      </c>
      <c r="K18" t="n">
        <v>0.3</v>
      </c>
      <c r="L18" t="n">
        <v>0</v>
      </c>
      <c r="M18" t="n">
        <v>0.18</v>
      </c>
      <c r="N18" t="n">
        <v>71.62</v>
      </c>
      <c r="O18" t="n">
        <v>8.31</v>
      </c>
      <c r="P18" t="n">
        <v>16.95</v>
      </c>
      <c r="Q18" t="n">
        <v>2.64</v>
      </c>
      <c r="R18" t="n">
        <v>52.98</v>
      </c>
    </row>
    <row r="19">
      <c r="A19" t="n">
        <v>17</v>
      </c>
      <c r="B19" t="n">
        <v>34</v>
      </c>
      <c r="C19" t="n">
        <v>38</v>
      </c>
      <c r="D19" t="n">
        <v>0.1588</v>
      </c>
      <c r="E19" t="n">
        <v>0</v>
      </c>
      <c r="F19" t="n">
        <v>0.0965</v>
      </c>
      <c r="G19" t="n">
        <v>37.9468</v>
      </c>
      <c r="H19" t="n">
        <v>4.4</v>
      </c>
      <c r="I19" t="n">
        <v>8.9809</v>
      </c>
      <c r="J19" t="n">
        <v>0</v>
      </c>
      <c r="K19" t="n">
        <v>0.31</v>
      </c>
      <c r="L19" t="n">
        <v>0</v>
      </c>
      <c r="M19" t="n">
        <v>0.19</v>
      </c>
      <c r="N19" t="n">
        <v>73.56999999999999</v>
      </c>
      <c r="O19" t="n">
        <v>8.529999999999999</v>
      </c>
      <c r="P19" t="n">
        <v>17.41</v>
      </c>
      <c r="Q19" t="n">
        <v>0</v>
      </c>
      <c r="R19" t="n">
        <v>51.58</v>
      </c>
    </row>
    <row r="20">
      <c r="A20" t="n">
        <v>18</v>
      </c>
      <c r="B20" t="n">
        <v>36</v>
      </c>
      <c r="C20" t="n">
        <v>40</v>
      </c>
      <c r="D20" t="n">
        <v>0.1588</v>
      </c>
      <c r="E20" t="n">
        <v>0</v>
      </c>
      <c r="F20" t="n">
        <v>0.0965</v>
      </c>
      <c r="G20" t="n">
        <v>37.9468</v>
      </c>
      <c r="H20" t="n">
        <v>4.4</v>
      </c>
      <c r="I20" t="n">
        <v>8.9809</v>
      </c>
      <c r="J20" t="n">
        <v>1.4</v>
      </c>
      <c r="K20" t="n">
        <v>0.3</v>
      </c>
      <c r="L20" t="n">
        <v>0</v>
      </c>
      <c r="M20" t="n">
        <v>0.18</v>
      </c>
      <c r="N20" t="n">
        <v>71.62</v>
      </c>
      <c r="O20" t="n">
        <v>8.31</v>
      </c>
      <c r="P20" t="n">
        <v>16.95</v>
      </c>
      <c r="Q20" t="n">
        <v>2.64</v>
      </c>
      <c r="R20" t="n">
        <v>52.98</v>
      </c>
    </row>
    <row r="21">
      <c r="A21" t="n">
        <v>19</v>
      </c>
      <c r="B21" t="n">
        <v>38</v>
      </c>
      <c r="C21" t="n">
        <v>42</v>
      </c>
      <c r="D21" t="n">
        <v>0.1588</v>
      </c>
      <c r="E21" t="n">
        <v>0</v>
      </c>
      <c r="F21" t="n">
        <v>0.0965</v>
      </c>
      <c r="G21" t="n">
        <v>37.9468</v>
      </c>
      <c r="H21" t="n">
        <v>4.4</v>
      </c>
      <c r="I21" t="n">
        <v>8.9809</v>
      </c>
      <c r="J21" t="n">
        <v>0</v>
      </c>
      <c r="K21" t="n">
        <v>0.31</v>
      </c>
      <c r="L21" t="n">
        <v>0</v>
      </c>
      <c r="M21" t="n">
        <v>0.19</v>
      </c>
      <c r="N21" t="n">
        <v>73.56999999999999</v>
      </c>
      <c r="O21" t="n">
        <v>8.529999999999999</v>
      </c>
      <c r="P21" t="n">
        <v>17.41</v>
      </c>
      <c r="Q21" t="n">
        <v>0</v>
      </c>
      <c r="R21" t="n">
        <v>51.58</v>
      </c>
    </row>
    <row r="22">
      <c r="A22" t="n">
        <v>20</v>
      </c>
      <c r="B22" t="n">
        <v>40</v>
      </c>
      <c r="C22" t="n">
        <v>44</v>
      </c>
      <c r="D22" t="n">
        <v>0.1588</v>
      </c>
      <c r="E22" t="n">
        <v>0</v>
      </c>
      <c r="F22" t="n">
        <v>0.0965</v>
      </c>
      <c r="G22" t="n">
        <v>37.9468</v>
      </c>
      <c r="H22" t="n">
        <v>4.4</v>
      </c>
      <c r="I22" t="n">
        <v>8.9809</v>
      </c>
      <c r="J22" t="n">
        <v>1.4</v>
      </c>
      <c r="K22" t="n">
        <v>0.3</v>
      </c>
      <c r="L22" t="n">
        <v>0</v>
      </c>
      <c r="M22" t="n">
        <v>0.18</v>
      </c>
      <c r="N22" t="n">
        <v>71.62</v>
      </c>
      <c r="O22" t="n">
        <v>8.31</v>
      </c>
      <c r="P22" t="n">
        <v>16.95</v>
      </c>
      <c r="Q22" t="n">
        <v>2.64</v>
      </c>
      <c r="R22" t="n">
        <v>52.98</v>
      </c>
    </row>
    <row r="23">
      <c r="A23" t="n">
        <v>21</v>
      </c>
      <c r="B23" t="n">
        <v>42</v>
      </c>
      <c r="C23" t="n">
        <v>46</v>
      </c>
      <c r="D23" t="n">
        <v>0.1588</v>
      </c>
      <c r="E23" t="n">
        <v>0</v>
      </c>
      <c r="F23" t="n">
        <v>0.0965</v>
      </c>
      <c r="G23" t="n">
        <v>36.9892</v>
      </c>
      <c r="H23" t="n">
        <v>2.475</v>
      </c>
      <c r="I23" t="n">
        <v>6.7377</v>
      </c>
      <c r="J23" t="n">
        <v>1.4</v>
      </c>
      <c r="K23" t="n">
        <v>0.33</v>
      </c>
      <c r="L23" t="n">
        <v>0</v>
      </c>
      <c r="M23" t="n">
        <v>0.2</v>
      </c>
      <c r="N23" t="n">
        <v>77.29000000000001</v>
      </c>
      <c r="O23" t="n">
        <v>5.17</v>
      </c>
      <c r="P23" t="n">
        <v>14.08</v>
      </c>
      <c r="Q23" t="n">
        <v>2.93</v>
      </c>
      <c r="R23" t="n">
        <v>47.86</v>
      </c>
    </row>
    <row r="24">
      <c r="A24" t="n">
        <v>22</v>
      </c>
      <c r="B24" t="n">
        <v>44</v>
      </c>
      <c r="C24" t="n">
        <v>48</v>
      </c>
      <c r="D24" t="n">
        <v>0.1588</v>
      </c>
      <c r="E24" t="n">
        <v>0</v>
      </c>
      <c r="F24" t="n">
        <v>0.0965</v>
      </c>
      <c r="G24" t="n">
        <v>36.9892</v>
      </c>
      <c r="H24" t="n">
        <v>2.475</v>
      </c>
      <c r="I24" t="n">
        <v>8.1608</v>
      </c>
      <c r="J24" t="n">
        <v>1.4</v>
      </c>
      <c r="K24" t="n">
        <v>0.32</v>
      </c>
      <c r="L24" t="n">
        <v>0</v>
      </c>
      <c r="M24" t="n">
        <v>0.2</v>
      </c>
      <c r="N24" t="n">
        <v>75.06</v>
      </c>
      <c r="O24" t="n">
        <v>5.02</v>
      </c>
      <c r="P24" t="n">
        <v>16.56</v>
      </c>
      <c r="Q24" t="n">
        <v>2.84</v>
      </c>
      <c r="R24" t="n">
        <v>49.28</v>
      </c>
    </row>
    <row r="25">
      <c r="A25" t="n">
        <v>23</v>
      </c>
      <c r="B25" t="n">
        <v>46</v>
      </c>
      <c r="C25" t="n">
        <v>50</v>
      </c>
      <c r="D25" t="n">
        <v>0.1588</v>
      </c>
      <c r="E25" t="n">
        <v>0</v>
      </c>
      <c r="F25" t="n">
        <v>0.0965</v>
      </c>
      <c r="G25" t="n">
        <v>24.5366</v>
      </c>
      <c r="H25" t="n">
        <v>2.475</v>
      </c>
      <c r="I25" t="n">
        <v>0</v>
      </c>
      <c r="J25" t="n">
        <v>0</v>
      </c>
      <c r="K25" t="n">
        <v>0.58</v>
      </c>
      <c r="L25" t="n">
        <v>0</v>
      </c>
      <c r="M25" t="n">
        <v>0.35</v>
      </c>
      <c r="N25" t="n">
        <v>89.98</v>
      </c>
      <c r="O25" t="n">
        <v>9.08</v>
      </c>
      <c r="P25" t="n">
        <v>0</v>
      </c>
      <c r="Q25" t="n">
        <v>0</v>
      </c>
      <c r="R25" t="n">
        <v>27.27</v>
      </c>
    </row>
    <row r="26">
      <c r="A26" t="n">
        <v>24</v>
      </c>
      <c r="B26" t="n">
        <v>48</v>
      </c>
      <c r="C26" t="n">
        <v>52</v>
      </c>
      <c r="D26" t="n">
        <v>0.1588</v>
      </c>
      <c r="E26" t="n">
        <v>1.65</v>
      </c>
      <c r="F26" t="n">
        <v>0.0965</v>
      </c>
      <c r="G26" t="n">
        <v>36.9892</v>
      </c>
      <c r="H26" t="n">
        <v>4.4</v>
      </c>
      <c r="I26" t="n">
        <v>8.9809</v>
      </c>
      <c r="J26" t="n">
        <v>0</v>
      </c>
      <c r="K26" t="n">
        <v>0.3</v>
      </c>
      <c r="L26" t="n">
        <v>3.16</v>
      </c>
      <c r="M26" t="n">
        <v>0.18</v>
      </c>
      <c r="N26" t="n">
        <v>70.75</v>
      </c>
      <c r="O26" t="n">
        <v>8.42</v>
      </c>
      <c r="P26" t="n">
        <v>17.18</v>
      </c>
      <c r="Q26" t="n">
        <v>0</v>
      </c>
      <c r="R26" t="n">
        <v>52.28</v>
      </c>
    </row>
    <row r="27">
      <c r="A27" t="n">
        <v>25</v>
      </c>
      <c r="B27" t="n">
        <v>50</v>
      </c>
      <c r="C27" t="n">
        <v>54</v>
      </c>
      <c r="D27" t="n">
        <v>0.1588</v>
      </c>
      <c r="E27" t="n">
        <v>0</v>
      </c>
      <c r="F27" t="n">
        <v>0.0965</v>
      </c>
      <c r="G27" t="n">
        <v>36.9892</v>
      </c>
      <c r="H27" t="n">
        <v>4.4</v>
      </c>
      <c r="I27" t="n">
        <v>8.1608</v>
      </c>
      <c r="J27" t="n">
        <v>1.4</v>
      </c>
      <c r="K27" t="n">
        <v>0.31</v>
      </c>
      <c r="L27" t="n">
        <v>0</v>
      </c>
      <c r="M27" t="n">
        <v>0.19</v>
      </c>
      <c r="N27" t="n">
        <v>72.23</v>
      </c>
      <c r="O27" t="n">
        <v>8.59</v>
      </c>
      <c r="P27" t="n">
        <v>15.94</v>
      </c>
      <c r="Q27" t="n">
        <v>2.73</v>
      </c>
      <c r="R27" t="n">
        <v>51.21</v>
      </c>
    </row>
    <row r="28">
      <c r="A28" t="n">
        <v>26</v>
      </c>
      <c r="B28" t="n">
        <v>52</v>
      </c>
      <c r="C28" t="n">
        <v>56</v>
      </c>
      <c r="D28" t="n">
        <v>0.1588</v>
      </c>
      <c r="E28" t="n">
        <v>0</v>
      </c>
      <c r="F28" t="n">
        <v>0.0965</v>
      </c>
      <c r="G28" t="n">
        <v>36.9892</v>
      </c>
      <c r="H28" t="n">
        <v>2.475</v>
      </c>
      <c r="I28" t="n">
        <v>6.7377</v>
      </c>
      <c r="J28" t="n">
        <v>1.4</v>
      </c>
      <c r="K28" t="n">
        <v>0.33</v>
      </c>
      <c r="L28" t="n">
        <v>0</v>
      </c>
      <c r="M28" t="n">
        <v>0.2</v>
      </c>
      <c r="N28" t="n">
        <v>77.29000000000001</v>
      </c>
      <c r="O28" t="n">
        <v>5.17</v>
      </c>
      <c r="P28" t="n">
        <v>14.08</v>
      </c>
      <c r="Q28" t="n">
        <v>2.93</v>
      </c>
      <c r="R28" t="n">
        <v>47.86</v>
      </c>
    </row>
    <row r="29">
      <c r="A29" t="n">
        <v>27</v>
      </c>
      <c r="B29" t="n">
        <v>54</v>
      </c>
      <c r="C29" t="n">
        <v>58</v>
      </c>
      <c r="D29" t="n">
        <v>0.1588</v>
      </c>
      <c r="E29" t="n">
        <v>0</v>
      </c>
      <c r="F29" t="n">
        <v>0.0965</v>
      </c>
      <c r="G29" t="n">
        <v>36.9892</v>
      </c>
      <c r="H29" t="n">
        <v>2.475</v>
      </c>
      <c r="I29" t="n">
        <v>8.1608</v>
      </c>
      <c r="J29" t="n">
        <v>1.4</v>
      </c>
      <c r="K29" t="n">
        <v>0.32</v>
      </c>
      <c r="L29" t="n">
        <v>0</v>
      </c>
      <c r="M29" t="n">
        <v>0.2</v>
      </c>
      <c r="N29" t="n">
        <v>75.06</v>
      </c>
      <c r="O29" t="n">
        <v>5.02</v>
      </c>
      <c r="P29" t="n">
        <v>16.56</v>
      </c>
      <c r="Q29" t="n">
        <v>2.84</v>
      </c>
      <c r="R29" t="n">
        <v>49.28</v>
      </c>
    </row>
    <row r="30">
      <c r="A30" t="n">
        <v>28</v>
      </c>
      <c r="B30" t="n">
        <v>56</v>
      </c>
      <c r="C30" t="n">
        <v>60</v>
      </c>
      <c r="D30" t="n">
        <v>0.1588</v>
      </c>
      <c r="E30" t="n">
        <v>0</v>
      </c>
      <c r="F30" t="n">
        <v>0.0965</v>
      </c>
      <c r="G30" t="n">
        <v>24.5366</v>
      </c>
      <c r="H30" t="n">
        <v>1.1</v>
      </c>
      <c r="I30" t="n">
        <v>0</v>
      </c>
      <c r="J30" t="n">
        <v>1.4</v>
      </c>
      <c r="K30" t="n">
        <v>0.58</v>
      </c>
      <c r="L30" t="n">
        <v>0</v>
      </c>
      <c r="M30" t="n">
        <v>0.35</v>
      </c>
      <c r="N30" t="n">
        <v>89.91</v>
      </c>
      <c r="O30" t="n">
        <v>4.03</v>
      </c>
      <c r="P30" t="n">
        <v>0</v>
      </c>
      <c r="Q30" t="n">
        <v>5.13</v>
      </c>
      <c r="R30" t="n">
        <v>27.29</v>
      </c>
    </row>
    <row r="31">
      <c r="A31" t="n">
        <v>29</v>
      </c>
      <c r="B31" t="n">
        <v>58</v>
      </c>
      <c r="C31" t="n">
        <v>62</v>
      </c>
      <c r="D31" t="n">
        <v>0.1588</v>
      </c>
      <c r="E31" t="n">
        <v>1.65</v>
      </c>
      <c r="F31" t="n">
        <v>0.0965</v>
      </c>
      <c r="G31" t="n">
        <v>0.171</v>
      </c>
      <c r="H31" t="n">
        <v>0</v>
      </c>
      <c r="I31" t="n">
        <v>0</v>
      </c>
      <c r="J31" t="n">
        <v>1.4</v>
      </c>
      <c r="K31" t="n">
        <v>4.56</v>
      </c>
      <c r="L31" t="n">
        <v>47.41</v>
      </c>
      <c r="M31" t="n">
        <v>2.77</v>
      </c>
      <c r="N31" t="n">
        <v>4.91</v>
      </c>
      <c r="O31" t="n">
        <v>0</v>
      </c>
      <c r="P31" t="n">
        <v>0</v>
      </c>
      <c r="Q31" t="n">
        <v>40.23</v>
      </c>
      <c r="R31" t="n">
        <v>3.48</v>
      </c>
    </row>
    <row r="32">
      <c r="A32" t="n">
        <v>30</v>
      </c>
      <c r="B32" t="n">
        <v>60</v>
      </c>
      <c r="C32" t="n">
        <v>62.533</v>
      </c>
      <c r="D32" t="n">
        <v>0.1588</v>
      </c>
      <c r="E32" t="n">
        <v>0</v>
      </c>
      <c r="F32" t="n">
        <v>0.0965</v>
      </c>
      <c r="G32" t="n">
        <v>3.1616</v>
      </c>
      <c r="H32" t="n">
        <v>0</v>
      </c>
      <c r="I32" t="n">
        <v>0</v>
      </c>
      <c r="J32" t="n">
        <v>0</v>
      </c>
      <c r="K32" t="n">
        <v>4.64</v>
      </c>
      <c r="L32" t="n">
        <v>0</v>
      </c>
      <c r="M32" t="n">
        <v>2.82</v>
      </c>
      <c r="N32" t="n">
        <v>92.44</v>
      </c>
      <c r="O32" t="n">
        <v>0</v>
      </c>
      <c r="P32" t="n">
        <v>0</v>
      </c>
      <c r="Q32" t="n">
        <v>0</v>
      </c>
      <c r="R32" t="n">
        <v>3.42</v>
      </c>
    </row>
    <row r="33">
      <c r="A33" t="n">
        <v>31</v>
      </c>
      <c r="B33" t="n">
        <v>62</v>
      </c>
      <c r="C33" t="n">
        <v>62.533</v>
      </c>
      <c r="D33" t="n">
        <v>0.1588</v>
      </c>
      <c r="E33" t="n">
        <v>0</v>
      </c>
      <c r="F33" t="n">
        <v>0.0965</v>
      </c>
      <c r="G33" t="n">
        <v>0.171</v>
      </c>
      <c r="H33" t="n">
        <v>0</v>
      </c>
      <c r="I33" t="n">
        <v>0</v>
      </c>
      <c r="J33" t="n">
        <v>0</v>
      </c>
      <c r="K33" t="n">
        <v>36.93</v>
      </c>
      <c r="L33" t="n">
        <v>0</v>
      </c>
      <c r="M33" t="n">
        <v>22.44</v>
      </c>
      <c r="N33" t="n">
        <v>39.77</v>
      </c>
      <c r="O33" t="n">
        <v>0</v>
      </c>
      <c r="P33" t="n">
        <v>0</v>
      </c>
      <c r="Q33" t="n">
        <v>0</v>
      </c>
      <c r="R33" t="n">
        <v>0.43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2026-06-12T18:58:44Z</dcterms:created>
  <dcterms:modified xsi:type="dcterms:W3CDTF">2026-06-12T18:58:44Z</dcterms:modified>
</cp:coreProperties>
</file>