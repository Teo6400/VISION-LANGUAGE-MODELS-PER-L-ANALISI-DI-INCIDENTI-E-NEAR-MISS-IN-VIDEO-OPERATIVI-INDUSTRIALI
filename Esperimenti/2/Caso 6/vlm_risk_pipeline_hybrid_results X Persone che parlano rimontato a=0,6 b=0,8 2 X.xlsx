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window_results_hybrid" sheetId="1" state="visible" r:id="rId1"/>
    <sheet name="traffic_light_dashboard_vlm" sheetId="2" state="visible" r:id="rId2"/>
    <sheet name="traffic_light_dashboard_ahp" sheetId="3" state="visible" r:id="rId3"/>
    <sheet name="branch_comparison" sheetId="4" state="visible" r:id="rId4"/>
    <sheet name="risk_contribution_analysis"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font>
    <font>
      <b val="1"/>
      <color rgb="00FFFFFF"/>
    </font>
    <font>
      <color rgb="00000000"/>
    </font>
    <font>
      <b val="1"/>
      <color rgb="00000000"/>
    </font>
    <font>
      <color rgb="00FFFFFF"/>
    </font>
  </fonts>
  <fills count="9">
    <fill>
      <patternFill/>
    </fill>
    <fill>
      <patternFill patternType="gray125"/>
    </fill>
    <fill>
      <patternFill patternType="solid">
        <fgColor rgb="002E4057"/>
        <bgColor rgb="002E4057"/>
      </patternFill>
    </fill>
    <fill>
      <patternFill patternType="solid">
        <fgColor rgb="00FFD700"/>
        <bgColor rgb="00FFD700"/>
      </patternFill>
    </fill>
    <fill>
      <patternFill patternType="solid">
        <fgColor rgb="0000C851"/>
        <bgColor rgb="0000C851"/>
      </patternFill>
    </fill>
    <fill>
      <patternFill patternType="solid">
        <fgColor rgb="00FF8800"/>
        <bgColor rgb="00FF8800"/>
      </patternFill>
    </fill>
    <fill>
      <patternFill patternType="solid">
        <fgColor rgb="00FF4444"/>
        <bgColor rgb="00FF4444"/>
      </patternFill>
    </fill>
    <fill>
      <patternFill patternType="solid">
        <fgColor rgb="00FADBD8"/>
        <bgColor rgb="00FADBD8"/>
      </patternFill>
    </fill>
    <fill>
      <patternFill patternType="solid">
        <fgColor rgb="00D5F5E3"/>
        <bgColor rgb="00D5F5E3"/>
      </patternFill>
    </fill>
  </fills>
  <borders count="3">
    <border>
      <left/>
      <right/>
      <top/>
      <bottom/>
      <diagonal/>
    </border>
    <border>
      <left style="thin"/>
      <right style="thin"/>
      <top style="thin"/>
      <bottom style="thin"/>
    </border>
    <border>
      <left style="thin">
        <color rgb="00BBBBBB"/>
      </left>
      <right style="thin">
        <color rgb="00BBBBBB"/>
      </right>
      <top style="thin">
        <color rgb="00BBBBBB"/>
      </top>
      <bottom style="thin">
        <color rgb="00BBBBBB"/>
      </bottom>
    </border>
  </borders>
  <cellStyleXfs count="1">
    <xf numFmtId="0" fontId="0" fillId="0" borderId="0"/>
  </cellStyleXfs>
  <cellXfs count="12">
    <xf numFmtId="0" fontId="0" fillId="0" borderId="0" pivotButton="0" quotePrefix="0" xfId="0"/>
    <xf numFmtId="0" fontId="2" fillId="2" borderId="2" applyAlignment="1" pivotButton="0" quotePrefix="0" xfId="0">
      <alignment horizontal="center" vertical="center" wrapText="1"/>
    </xf>
    <xf numFmtId="0" fontId="3" fillId="3" borderId="2" applyAlignment="1" pivotButton="0" quotePrefix="0" xfId="0">
      <alignment horizontal="center" vertical="center"/>
    </xf>
    <xf numFmtId="0" fontId="4" fillId="3" borderId="2" applyAlignment="1" pivotButton="0" quotePrefix="0" xfId="0">
      <alignment horizontal="center" vertical="center"/>
    </xf>
    <xf numFmtId="0" fontId="3" fillId="4" borderId="2" applyAlignment="1" pivotButton="0" quotePrefix="0" xfId="0">
      <alignment horizontal="center" vertical="center"/>
    </xf>
    <xf numFmtId="0" fontId="4" fillId="4" borderId="2" applyAlignment="1" pivotButton="0" quotePrefix="0" xfId="0">
      <alignment horizontal="center" vertical="center"/>
    </xf>
    <xf numFmtId="0" fontId="3" fillId="5" borderId="2" applyAlignment="1" pivotButton="0" quotePrefix="0" xfId="0">
      <alignment horizontal="center" vertical="center"/>
    </xf>
    <xf numFmtId="0" fontId="4" fillId="5" borderId="2" applyAlignment="1" pivotButton="0" quotePrefix="0" xfId="0">
      <alignment horizontal="center" vertical="center"/>
    </xf>
    <xf numFmtId="0" fontId="5" fillId="6" borderId="2" applyAlignment="1" pivotButton="0" quotePrefix="0" xfId="0">
      <alignment horizontal="center" vertical="center"/>
    </xf>
    <xf numFmtId="0" fontId="2" fillId="6" borderId="2" applyAlignment="1" pivotButton="0" quotePrefix="0" xfId="0">
      <alignment horizontal="center" vertical="center"/>
    </xf>
    <xf numFmtId="0" fontId="0" fillId="7" borderId="2" pivotButton="0" quotePrefix="0" xfId="0"/>
    <xf numFmtId="0" fontId="0" fillId="8"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harts/chart1.xml><?xml version="1.0" encoding="utf-8"?>
<chartSpace xmlns:a="http://schemas.openxmlformats.org/drawingml/2006/main" xmlns="http://schemas.openxmlformats.org/drawingml/2006/chart">
  <chart>
    <title>
      <tx>
        <rich>
          <a:bodyPr/>
          <a:p>
            <a:pPr>
              <a:defRPr/>
            </a:pPr>
            <a:r>
              <a:t>Evoluzione score dinamico VLM</a:t>
            </a:r>
          </a:p>
        </rich>
      </tx>
    </title>
    <plotArea>
      <lineChart>
        <grouping val="standard"/>
        <ser>
          <idx val="0"/>
          <order val="0"/>
          <tx>
            <strRef>
              <f>'traffic_light_dashboard_vlm'!E1</f>
            </strRef>
          </tx>
          <spPr>
            <a:ln>
              <a:prstDash val="solid"/>
            </a:ln>
          </spPr>
          <marker>
            <symbol val="none"/>
            <spPr>
              <a:ln>
                <a:prstDash val="solid"/>
              </a:ln>
            </spPr>
          </marker>
          <cat>
            <numRef>
              <f>'traffic_light_dashboard_vlm'!$A$2:$A$19</f>
            </numRef>
          </cat>
          <val>
            <numRef>
              <f>'traffic_light_dashboard_vlm'!$E$2:$E$19</f>
            </numRef>
          </val>
        </ser>
        <axId val="10"/>
        <axId val="100"/>
      </lineChart>
      <catAx>
        <axId val="10"/>
        <scaling>
          <orientation val="minMax"/>
        </scaling>
        <axPos val="l"/>
        <title>
          <tx>
            <rich>
              <a:bodyPr/>
              <a:p>
                <a:pPr>
                  <a:defRPr/>
                </a:pPr>
                <a:r>
                  <a:t>window_id</a:t>
                </a:r>
              </a:p>
            </rich>
          </tx>
        </title>
        <majorTickMark val="none"/>
        <minorTickMark val="none"/>
        <crossAx val="100"/>
        <lblOffset val="100"/>
      </catAx>
      <valAx>
        <axId val="100"/>
        <scaling>
          <orientation val="minMax"/>
          <max val="100"/>
          <min val="0"/>
        </scaling>
        <axPos val="l"/>
        <majorGridlines/>
        <title>
          <tx>
            <rich>
              <a:bodyPr/>
              <a:p>
                <a:pPr>
                  <a:defRPr/>
                </a:pPr>
                <a:r>
                  <a:t>Score dinamico</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Evoluzione score dinamico AHP</a:t>
            </a:r>
          </a:p>
        </rich>
      </tx>
    </title>
    <plotArea>
      <lineChart>
        <grouping val="standard"/>
        <ser>
          <idx val="0"/>
          <order val="0"/>
          <tx>
            <strRef>
              <f>'traffic_light_dashboard_ahp'!E1</f>
            </strRef>
          </tx>
          <spPr>
            <a:ln>
              <a:prstDash val="solid"/>
            </a:ln>
          </spPr>
          <marker>
            <symbol val="none"/>
            <spPr>
              <a:ln>
                <a:prstDash val="solid"/>
              </a:ln>
            </spPr>
          </marker>
          <cat>
            <numRef>
              <f>'traffic_light_dashboard_ahp'!$A$2:$A$19</f>
            </numRef>
          </cat>
          <val>
            <numRef>
              <f>'traffic_light_dashboard_ahp'!$E$2:$E$19</f>
            </numRef>
          </val>
        </ser>
        <axId val="10"/>
        <axId val="100"/>
      </lineChart>
      <catAx>
        <axId val="10"/>
        <scaling>
          <orientation val="minMax"/>
        </scaling>
        <axPos val="l"/>
        <title>
          <tx>
            <rich>
              <a:bodyPr/>
              <a:p>
                <a:pPr>
                  <a:defRPr/>
                </a:pPr>
                <a:r>
                  <a:t>window_id</a:t>
                </a:r>
              </a:p>
            </rich>
          </tx>
        </title>
        <majorTickMark val="none"/>
        <minorTickMark val="none"/>
        <crossAx val="100"/>
        <lblOffset val="100"/>
      </catAx>
      <valAx>
        <axId val="100"/>
        <scaling>
          <orientation val="minMax"/>
          <max val="100"/>
          <min val="0"/>
        </scaling>
        <axPos val="l"/>
        <majorGridlines/>
        <title>
          <tx>
            <rich>
              <a:bodyPr/>
              <a:p>
                <a:pPr>
                  <a:defRPr/>
                </a:pPr>
                <a:r>
                  <a:t>Score dinamico</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chart" Target="/xl/charts/chart2.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6</col>
      <colOff>0</colOff>
      <row>1</row>
      <rowOff>0</rowOff>
    </from>
    <ext cx="7200000" cy="36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6</col>
      <colOff>0</colOff>
      <row>1</row>
      <rowOff>0</rowOff>
    </from>
    <ext cx="7200000" cy="360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_rels/sheet3.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outlinePr summaryBelow="1" summaryRight="1"/>
    <pageSetUpPr/>
  </sheetPr>
  <dimension ref="A1:AX19"/>
  <sheetViews>
    <sheetView workbookViewId="0">
      <selection activeCell="A1" sqref="A1"/>
    </sheetView>
  </sheetViews>
  <sheetFormatPr baseColWidth="8" defaultRowHeight="15"/>
  <cols>
    <col width="12" customWidth="1" min="1" max="1"/>
    <col width="14" customWidth="1" min="2" max="2"/>
    <col width="12" customWidth="1" min="3" max="3"/>
    <col width="35" customWidth="1" min="4" max="4"/>
    <col width="35" customWidth="1" min="5" max="5"/>
    <col width="35" customWidth="1" min="6" max="6"/>
    <col width="30" customWidth="1" min="7" max="7"/>
    <col width="35" customWidth="1" min="8" max="8"/>
    <col width="24" customWidth="1" min="9" max="9"/>
    <col width="25" customWidth="1" min="10" max="10"/>
    <col width="30" customWidth="1" min="11" max="11"/>
    <col width="24" customWidth="1" min="12" max="12"/>
    <col width="25" customWidth="1" min="13" max="13"/>
    <col width="16" customWidth="1" min="14" max="14"/>
    <col width="35" customWidth="1" min="15" max="15"/>
    <col width="12" customWidth="1" min="16" max="16"/>
    <col width="16" customWidth="1" min="17" max="17"/>
    <col width="12" customWidth="1" min="18" max="18"/>
    <col width="17" customWidth="1" min="19" max="19"/>
    <col width="21" customWidth="1" min="20" max="20"/>
    <col width="12" customWidth="1" min="21" max="21"/>
    <col width="16" customWidth="1" min="22" max="22"/>
    <col width="12" customWidth="1" min="23" max="23"/>
    <col width="17" customWidth="1" min="24" max="24"/>
    <col width="21" customWidth="1" min="25" max="25"/>
    <col width="12" customWidth="1" min="26" max="26"/>
    <col width="16" customWidth="1" min="27" max="27"/>
    <col width="12" customWidth="1" min="28" max="28"/>
    <col width="17" customWidth="1" min="29" max="29"/>
    <col width="21" customWidth="1" min="30" max="30"/>
    <col width="12" customWidth="1" min="31" max="31"/>
    <col width="16" customWidth="1" min="32" max="32"/>
    <col width="12" customWidth="1" min="33" max="33"/>
    <col width="17" customWidth="1" min="34" max="34"/>
    <col width="21" customWidth="1" min="35" max="35"/>
    <col width="12" customWidth="1" min="36" max="36"/>
    <col width="16" customWidth="1" min="37" max="37"/>
    <col width="12" customWidth="1" min="38" max="38"/>
    <col width="17" customWidth="1" min="39" max="39"/>
    <col width="21" customWidth="1" min="40" max="40"/>
    <col width="12" customWidth="1" min="41" max="41"/>
    <col width="16" customWidth="1" min="42" max="42"/>
    <col width="12" customWidth="1" min="43" max="43"/>
    <col width="17" customWidth="1" min="44" max="44"/>
    <col width="21" customWidth="1" min="45" max="45"/>
    <col width="12" customWidth="1" min="46" max="46"/>
    <col width="16" customWidth="1" min="47" max="47"/>
    <col width="12" customWidth="1" min="48" max="48"/>
    <col width="17" customWidth="1" min="49" max="49"/>
    <col width="21" customWidth="1" min="50" max="50"/>
  </cols>
  <sheetData>
    <row r="1">
      <c r="A1" s="1" t="inlineStr">
        <is>
          <t>window_id</t>
        </is>
      </c>
      <c r="B1" s="1" t="inlineStr">
        <is>
          <t>start_time_s</t>
        </is>
      </c>
      <c r="C1" s="1" t="inlineStr">
        <is>
          <t>end_time_s</t>
        </is>
      </c>
      <c r="D1" s="1" t="inlineStr">
        <is>
          <t>descriptive_prompt_output_json</t>
        </is>
      </c>
      <c r="E1" s="1" t="inlineStr">
        <is>
          <t>question_set_prompt_output_json</t>
        </is>
      </c>
      <c r="F1" s="1" t="inlineStr">
        <is>
          <t>causal_prompt_output_json</t>
        </is>
      </c>
      <c r="G1" s="1" t="inlineStr">
        <is>
          <t>instantaneous_risk_score_vlm</t>
        </is>
      </c>
      <c r="H1" s="1" t="inlineStr">
        <is>
          <t>score_rationale_vlm</t>
        </is>
      </c>
      <c r="I1" s="1" t="inlineStr">
        <is>
          <t>dynamic_risk_score_vlm</t>
        </is>
      </c>
      <c r="J1" s="1" t="inlineStr">
        <is>
          <t>traffic_light_color_vlm</t>
        </is>
      </c>
      <c r="K1" s="1" t="inlineStr">
        <is>
          <t>instantaneous_risk_score_ahp</t>
        </is>
      </c>
      <c r="L1" s="1" t="inlineStr">
        <is>
          <t>dynamic_risk_score_ahp</t>
        </is>
      </c>
      <c r="M1" s="1" t="inlineStr">
        <is>
          <t>traffic_light_color_ahp</t>
        </is>
      </c>
      <c r="N1" s="1" t="inlineStr">
        <is>
          <t>cue_confidence</t>
        </is>
      </c>
      <c r="O1" s="1" t="inlineStr">
        <is>
          <t>diagnostic_notes</t>
        </is>
      </c>
      <c r="P1" s="1" t="inlineStr">
        <is>
          <t>R1_raw</t>
        </is>
      </c>
      <c r="Q1" s="1" t="inlineStr">
        <is>
          <t>R1_transformed</t>
        </is>
      </c>
      <c r="R1" s="1" t="inlineStr">
        <is>
          <t>R1_weight</t>
        </is>
      </c>
      <c r="S1" s="1" t="inlineStr">
        <is>
          <t>R1_contribution</t>
        </is>
      </c>
      <c r="T1" s="1" t="inlineStr">
        <is>
          <t>R1_contribution_pct</t>
        </is>
      </c>
      <c r="U1" s="1" t="inlineStr">
        <is>
          <t>R2_raw</t>
        </is>
      </c>
      <c r="V1" s="1" t="inlineStr">
        <is>
          <t>R2_transformed</t>
        </is>
      </c>
      <c r="W1" s="1" t="inlineStr">
        <is>
          <t>R2_weight</t>
        </is>
      </c>
      <c r="X1" s="1" t="inlineStr">
        <is>
          <t>R2_contribution</t>
        </is>
      </c>
      <c r="Y1" s="1" t="inlineStr">
        <is>
          <t>R2_contribution_pct</t>
        </is>
      </c>
      <c r="Z1" s="1" t="inlineStr">
        <is>
          <t>R3_raw</t>
        </is>
      </c>
      <c r="AA1" s="1" t="inlineStr">
        <is>
          <t>R3_transformed</t>
        </is>
      </c>
      <c r="AB1" s="1" t="inlineStr">
        <is>
          <t>R3_weight</t>
        </is>
      </c>
      <c r="AC1" s="1" t="inlineStr">
        <is>
          <t>R3_contribution</t>
        </is>
      </c>
      <c r="AD1" s="1" t="inlineStr">
        <is>
          <t>R3_contribution_pct</t>
        </is>
      </c>
      <c r="AE1" s="1" t="inlineStr">
        <is>
          <t>R4_raw</t>
        </is>
      </c>
      <c r="AF1" s="1" t="inlineStr">
        <is>
          <t>R4_transformed</t>
        </is>
      </c>
      <c r="AG1" s="1" t="inlineStr">
        <is>
          <t>R4_weight</t>
        </is>
      </c>
      <c r="AH1" s="1" t="inlineStr">
        <is>
          <t>R4_contribution</t>
        </is>
      </c>
      <c r="AI1" s="1" t="inlineStr">
        <is>
          <t>R4_contribution_pct</t>
        </is>
      </c>
      <c r="AJ1" s="1" t="inlineStr">
        <is>
          <t>R5_raw</t>
        </is>
      </c>
      <c r="AK1" s="1" t="inlineStr">
        <is>
          <t>R5_transformed</t>
        </is>
      </c>
      <c r="AL1" s="1" t="inlineStr">
        <is>
          <t>R5_weight</t>
        </is>
      </c>
      <c r="AM1" s="1" t="inlineStr">
        <is>
          <t>R5_contribution</t>
        </is>
      </c>
      <c r="AN1" s="1" t="inlineStr">
        <is>
          <t>R5_contribution_pct</t>
        </is>
      </c>
      <c r="AO1" s="1" t="inlineStr">
        <is>
          <t>R6_raw</t>
        </is>
      </c>
      <c r="AP1" s="1" t="inlineStr">
        <is>
          <t>R6_transformed</t>
        </is>
      </c>
      <c r="AQ1" s="1" t="inlineStr">
        <is>
          <t>R6_weight</t>
        </is>
      </c>
      <c r="AR1" s="1" t="inlineStr">
        <is>
          <t>R6_contribution</t>
        </is>
      </c>
      <c r="AS1" s="1" t="inlineStr">
        <is>
          <t>R6_contribution_pct</t>
        </is>
      </c>
      <c r="AT1" s="1" t="inlineStr">
        <is>
          <t>R7_raw</t>
        </is>
      </c>
      <c r="AU1" s="1" t="inlineStr">
        <is>
          <t>R7_transformed</t>
        </is>
      </c>
      <c r="AV1" s="1" t="inlineStr">
        <is>
          <t>R7_weight</t>
        </is>
      </c>
      <c r="AW1" s="1" t="inlineStr">
        <is>
          <t>R7_contribution</t>
        </is>
      </c>
      <c r="AX1" s="1" t="inlineStr">
        <is>
          <t>R7_contribution_pct</t>
        </is>
      </c>
    </row>
    <row r="2">
      <c r="A2" t="n">
        <v>0</v>
      </c>
      <c r="B2" t="n">
        <v>0</v>
      </c>
      <c r="C2" t="n">
        <v>4</v>
      </c>
      <c r="D2" t="inlineStr">
        <is>
          <t>{"scene_state": "Ambiente industriale interno, probabilmente un'officina o reparto di produzione.", "environmental_conditions": ["Illuminazione uniforme", "Pavimento pulito con segnaletica orizzontale (verde e gialla)", "Spazi ampi e organizzati"], "actors": ["Una persona cammina da destra verso sinistra nel corridoio centrale", "Almeno tre persone sono ferme o si muovono lentamente nell'area di fondo, vicino a una parete"], "objects": ["Bobine di materiale metallico sul pavimento", "Pallet o supporti con oggetti non identificati", "Cavi e piccole attrezzature a terra vicino ai macchinari in primo piano", "Cartello con la scritta \"WARES DEPO\""], "machines": ["Diverse presse industriali di grandi dimensioni (almeno tre visibili, una in primo piano con dettagli blu e bianchi, una più grande dietro di essa)", "Un macchinario di colore arancione posizionato tra le presse"], "observable_actions": ["Una persona cammina lungo un percorso designato", "Altre persone sono stazionarie o si muovono minimamente in un'area più distante", "I macchinari appaiono in stato di riposo o standby, senza operazioni visibili"], "notes_visibility_limitations": "La vista è dall'alto, fornendo un'ampia panoramica. I dettagli specifici delle operazioni dei macchinari non sono visibili. Alcune aree nel fondo sono meno definite a causa della distanza."}</t>
        </is>
      </c>
      <c r="E2" t="inlineStr">
        <is>
          <t>{"unsafe_behaviors": [], "vulnerable_elements": [], "risk_cues": {"R1_pedestrian_vehicle_interference": 0.0, "R2_pedestrian_segregation_violation": 0.0, "R3_load_storage_instability": 0.0, "R4_crush_points_dangerous_parts_exposure": 0.0, "R5_unsafe_operational_proximity": 0.0, "R6_unsafe_behavior_posture_manoeuvre": 0.0, "R7_essential_ppe_non_compliance": 0.25}, "cue_confidence": 0.8, "diagnostic_notes": "La scena non mostra evidenze di rischi R1-R6. I macchinari appaiono inattivi e il personale si muove in aree designate o è stazionario a distanza di sicurezza. La valutazione dei DPI (R7) è limitata dalla prospettiva dall'alto e dalla distanza, rendendo difficile l'identificazione di tutti i DPI essenziali."}</t>
        </is>
      </c>
      <c r="F2" t="inlineStr">
        <is>
          <t>{"causal_chain_plausible": false, "causal_chain_text": "", "near_miss_or_incident_scenario": "", "contributing_factors": []}</t>
        </is>
      </c>
      <c r="G2" t="n">
        <v>10</v>
      </c>
      <c r="H2" t="inlineStr">
        <is>
          <t>La scena mostra un ambiente organizzato con macchinari inattivi e personale che rispetta i percorsi designati. L'unico rischio potenziale identificato, seppur con incertezza dovuta alla visibilità, riguarda la conformità dei DPI.</t>
        </is>
      </c>
      <c r="I2" t="n">
        <v>32.2</v>
      </c>
      <c r="J2" t="inlineStr">
        <is>
          <t>giallo</t>
        </is>
      </c>
      <c r="K2" t="n">
        <v>0.43</v>
      </c>
      <c r="L2" t="n">
        <v>1.57</v>
      </c>
      <c r="M2" t="inlineStr">
        <is>
          <t>verde</t>
        </is>
      </c>
      <c r="N2" t="n">
        <v>0.8</v>
      </c>
      <c r="O2" t="inlineStr">
        <is>
          <t>La scena non mostra evidenze di rischi R1-R6. I macchinari appaiono inattivi e il personale si muove in aree designate o è stazionario a distanza di sicurezza. La valutazione dei DPI (R7) è limitata dalla prospettiva dall'alto e dalla distanza, rendendo difficile l'identificazione di tutti i DPI essenziali.</t>
        </is>
      </c>
      <c r="P2" t="n">
        <v>0</v>
      </c>
      <c r="Q2" t="n">
        <v>0.0067</v>
      </c>
      <c r="R2" t="n">
        <v>0.237</v>
      </c>
      <c r="S2" t="n">
        <v>0.1588</v>
      </c>
      <c r="T2" t="n">
        <v>36.93</v>
      </c>
      <c r="U2" t="n">
        <v>0</v>
      </c>
      <c r="V2" t="n">
        <v>0</v>
      </c>
      <c r="W2" t="n">
        <v>0.066</v>
      </c>
      <c r="X2" t="n">
        <v>0</v>
      </c>
      <c r="Y2" t="n">
        <v>0</v>
      </c>
      <c r="Z2" t="n">
        <v>0</v>
      </c>
      <c r="AA2" t="n">
        <v>0.0067</v>
      </c>
      <c r="AB2" t="n">
        <v>0.144</v>
      </c>
      <c r="AC2" t="n">
        <v>0.0965</v>
      </c>
      <c r="AD2" t="n">
        <v>22.44</v>
      </c>
      <c r="AE2" t="n">
        <v>0</v>
      </c>
      <c r="AF2" t="n">
        <v>0.0045</v>
      </c>
      <c r="AG2" t="n">
        <v>0.38</v>
      </c>
      <c r="AH2" t="n">
        <v>0.171</v>
      </c>
      <c r="AI2" t="n">
        <v>39.77</v>
      </c>
      <c r="AJ2" t="n">
        <v>0</v>
      </c>
      <c r="AK2" t="n">
        <v>0</v>
      </c>
      <c r="AL2" t="n">
        <v>0.044</v>
      </c>
      <c r="AM2" t="n">
        <v>0</v>
      </c>
      <c r="AN2" t="n">
        <v>0</v>
      </c>
      <c r="AO2" t="n">
        <v>0</v>
      </c>
      <c r="AP2" t="n">
        <v>0</v>
      </c>
      <c r="AQ2" t="n">
        <v>0.101</v>
      </c>
      <c r="AR2" t="n">
        <v>0</v>
      </c>
      <c r="AS2" t="n">
        <v>0</v>
      </c>
      <c r="AT2" t="n">
        <v>0.25</v>
      </c>
      <c r="AU2" t="n">
        <v>0</v>
      </c>
      <c r="AV2" t="n">
        <v>0.028</v>
      </c>
      <c r="AW2" t="n">
        <v>0</v>
      </c>
      <c r="AX2" t="n">
        <v>0</v>
      </c>
    </row>
    <row r="3">
      <c r="A3" t="n">
        <v>1</v>
      </c>
      <c r="B3" t="n">
        <v>2</v>
      </c>
      <c r="C3" t="n">
        <v>6</v>
      </c>
      <c r="D3" t="inlineStr">
        <is>
          <t>{"scene_state": "Interno di un capannone industriale o fabbrica con macchinari e personale.", "environmental_conditions": ["Ben illuminato", "Ambiente interno", "Visibilità chiara"], "actors": ["Diversi individui in piedi e in conversazione sullo sfondo a destra", "Una persona cammina dallo sfondo verso il primo piano sul lato destro"], "objects": ["Bobine di materiale metallico a terra", "Pallet o casse impilate nel mezzo", "Cavi e attrezzature varie a terra", "Segnaletica a pavimento (percorsi verdi/gialli)", "Cartello con la scritta 'MODEL ZERO' sulla parete"], "machines": ["Diverse presse industriali di grandi dimensioni (blu, bianche, grigie) sul lato sinistro e centrale", "Attrezzature ausiliarie e console vicino alle presse", "Un macchinario arancione nel mezzo"], "observable_actions": ["Una persona cammina lungo un corridoio marcato a pavimento", "Un gruppo di persone è fermo e in piedi sullo sfondo"], "notes_visibility_limitations": "Nessuna limitazione significativa della visibilità."}</t>
        </is>
      </c>
      <c r="E3" t="inlineStr">
        <is>
          <t>{"unsafe_behaviors": [], "vulnerable_elements": [], "risk_cues": {"R1_pedestrian_vehicle_interference": 0.0, "R2_pedestrian_segregation_violation": 0.0, "R3_load_storage_instability": 0.0, "R4_crush_points_dangerous_parts_exposure": 0.0, "R5_unsafe_operational_proximity": 0.0, "R6_unsafe_behavior_posture_manoeuvre": 0.0, "R7_essential_ppe_non_compliance": 0.25}, "cue_confidence": 0.75, "diagnostic_notes": "La scena mostra un ambiente industriale con macchinari pesanti. I pedoni osservati si muovono o stazionano in aree che appaiono segregate o a distanza di sicurezza dalle macchine. Non sono visibili mezzi mobili in movimento. La visibilità dei DPI essenziali (es. elmetti) è limitata per alcuni individui a causa della distanza e dell'angolazione, ma non si rilevano chiare non conformità o comportamenti a rischio."}</t>
        </is>
      </c>
      <c r="F3" t="inlineStr">
        <is>
          <t>{"causal_chain_plausible": false, "causal_chain_text": "", "near_miss_or_incident_scenario": "", "contributing_factors": []}</t>
        </is>
      </c>
      <c r="G3" t="n">
        <v>10</v>
      </c>
      <c r="H3" t="inlineStr">
        <is>
          <t>La scena mostra un ambiente industriale ben organizzato con personale che rispetta le aree segregate e le distanze di sicurezza. Si rileva solo una potenziale, non confermata, non conformità ai DPI a causa di limitazioni visive, senza comportamenti a rischio evidenti.</t>
        </is>
      </c>
      <c r="I3" t="n">
        <v>23.32</v>
      </c>
      <c r="J3" t="inlineStr">
        <is>
          <t>verde</t>
        </is>
      </c>
      <c r="K3" t="n">
        <v>0.43</v>
      </c>
      <c r="L3" t="n">
        <v>1.11</v>
      </c>
      <c r="M3" t="inlineStr">
        <is>
          <t>verde</t>
        </is>
      </c>
      <c r="N3" t="n">
        <v>0.75</v>
      </c>
      <c r="O3" t="inlineStr">
        <is>
          <t>La scena mostra un ambiente industriale con macchinari pesanti. I pedoni osservati si muovono o stazionano in aree che appaiono segregate o a distanza di sicurezza dalle macchine. Non sono visibili mezzi mobili in movimento. La visibilità dei DPI essenziali (es. elmetti) è limitata per alcuni individui a causa della distanza e dell'angolazione, ma non si rilevano chiare non conformità o comportamenti a rischio.</t>
        </is>
      </c>
      <c r="P3" t="n">
        <v>0</v>
      </c>
      <c r="Q3" t="n">
        <v>0.0067</v>
      </c>
      <c r="R3" t="n">
        <v>0.237</v>
      </c>
      <c r="S3" t="n">
        <v>0.1588</v>
      </c>
      <c r="T3" t="n">
        <v>36.93</v>
      </c>
      <c r="U3" t="n">
        <v>0</v>
      </c>
      <c r="V3" t="n">
        <v>0</v>
      </c>
      <c r="W3" t="n">
        <v>0.066</v>
      </c>
      <c r="X3" t="n">
        <v>0</v>
      </c>
      <c r="Y3" t="n">
        <v>0</v>
      </c>
      <c r="Z3" t="n">
        <v>0</v>
      </c>
      <c r="AA3" t="n">
        <v>0.0067</v>
      </c>
      <c r="AB3" t="n">
        <v>0.144</v>
      </c>
      <c r="AC3" t="n">
        <v>0.0965</v>
      </c>
      <c r="AD3" t="n">
        <v>22.44</v>
      </c>
      <c r="AE3" t="n">
        <v>0</v>
      </c>
      <c r="AF3" t="n">
        <v>0.0045</v>
      </c>
      <c r="AG3" t="n">
        <v>0.38</v>
      </c>
      <c r="AH3" t="n">
        <v>0.171</v>
      </c>
      <c r="AI3" t="n">
        <v>39.77</v>
      </c>
      <c r="AJ3" t="n">
        <v>0</v>
      </c>
      <c r="AK3" t="n">
        <v>0</v>
      </c>
      <c r="AL3" t="n">
        <v>0.044</v>
      </c>
      <c r="AM3" t="n">
        <v>0</v>
      </c>
      <c r="AN3" t="n">
        <v>0</v>
      </c>
      <c r="AO3" t="n">
        <v>0</v>
      </c>
      <c r="AP3" t="n">
        <v>0</v>
      </c>
      <c r="AQ3" t="n">
        <v>0.101</v>
      </c>
      <c r="AR3" t="n">
        <v>0</v>
      </c>
      <c r="AS3" t="n">
        <v>0</v>
      </c>
      <c r="AT3" t="n">
        <v>0.25</v>
      </c>
      <c r="AU3" t="n">
        <v>0</v>
      </c>
      <c r="AV3" t="n">
        <v>0.028</v>
      </c>
      <c r="AW3" t="n">
        <v>0</v>
      </c>
      <c r="AX3" t="n">
        <v>0</v>
      </c>
    </row>
    <row r="4">
      <c r="A4" t="n">
        <v>2</v>
      </c>
      <c r="B4" t="n">
        <v>4</v>
      </c>
      <c r="C4" t="n">
        <v>8</v>
      </c>
      <c r="D4" t="inlineStr">
        <is>
          <t>{"scene_state": "Fabbrica con macchinari industriali e personale.", "environmental_conditions": ["Ben illuminato", "Pavimento con segnaletica verde", "Pareti in lamiera"], "actors": [{"type": "persona", "description": "Una donna cammina da destra verso il primo piano su percorso segnato."}, {"type": "gruppo di persone", "description": "Diverse persone ferme e interagiscono sullo sfondo a destra."}], "objects": [{"type": "bobine di metallo", "description": "Bobine sul pavimento al centro-destra."}, {"type": "pallet", "description": "Pallet con oggetti a destra."}, {"type": "cavi", "description": "Cavi e piccole attrezzature vicino ai macchinari in primo piano."}], "machines": [{"type": "pressa industriale", "description": "Grande pressa blu e bianca in primo piano a sinistra."}, {"type": "macchinario industriale", "description": "Altro macchinario bianco/grigio dietro la pressa."}, {"type": "macchinario arancione", "description": "Macchinario arancione a metà campo."}, {"type": "macchinari vari", "description": "Altri macchinari sullo sfondo a sinistra."}], "observable_actions": ["Una persona cammina.", "Diverse persone sono ferme e interagiscono.", "I macchinari sono inattivi."], "notes_visibility_limitations": "Sfondo a destra parzialmente oscurato. Dettagli macchinari non sempre chiari per angolazione/distanza."}</t>
        </is>
      </c>
      <c r="E4" t="inlineStr">
        <is>
          <t>{"unsafe_behaviors": [], "vulnerable_elements": [], "risk_cues": {"R1_pedestrian_vehicle_interference": 0.0, "R2_pedestrian_segregation_violation": 0.0, "R3_load_storage_instability": 0.0, "R4_crush_points_dangerous_parts_exposure": 0.0, "R5_unsafe_operational_proximity": 0.0, "R6_unsafe_behavior_posture_manoeuvre": 0.0, "R7_essential_ppe_non_compliance": 0.25}, "cue_confidence": 0.75, "diagnostic_notes": "La visibilità dei DPI essenziali (es. casco, occhiali) è limitata per tutti gli attori a causa della distanza e dell'angolazione. Nessuna attività lavorativa diretta con macchinari o carichi è in corso. Tutti i macchinari sono inattivi. La persona in movimento segue un percorso pedonale segnato. Nessun mezzo mobile è presente o in movimento."}</t>
        </is>
      </c>
      <c r="F4" t="inlineStr">
        <is>
          <t>{"causal_chain_plausible": true, "causal_chain_text": "La presenza di cavi e piccole attrezzature vicino ai macchinari, sebbene non attivamente cued come rischio elevato, rappresenta un potenziale ostacolo. Una persona, anche camminando su un percorso segnato, potrebbe inciampare. In caso di caduta, la potenziale non conformità con i DPI essenziali (R7=0.25) potrebbe aggravare le conseguenze, portando a un infortunio.", "near_miss_or_incident_scenario": "Una persona inciampa su un cavo o un'attrezzatura lasciata a terra, cadendo e subendo una contusione o una lesione minore, potenzialmente aggravata dalla mancanza di DPI adeguati (es. scarpe antinfortunistiche).", "contributing_factors": ["Presenza di cavi e piccole attrezzature sul pavimento.", "Potenziale non conformità con i DPI essenziali (R7=0.25).", "Ambiente industriale con oggetti e macchinari che, sebbene inattivi, presentano rischi intrinseci."]}</t>
        </is>
      </c>
      <c r="G4" t="n">
        <v>35</v>
      </c>
      <c r="H4" t="inlineStr">
        <is>
          <t>Il rischio è moderato a causa della potenziale presenza di cavi e attrezzature a terra che possono causare inciampi. La possibile non conformità con i DPI essenziali potrebbe aggravare le conseguenze di una caduta.</t>
        </is>
      </c>
      <c r="I4" t="n">
        <v>47.99</v>
      </c>
      <c r="J4" t="inlineStr">
        <is>
          <t>giallo</t>
        </is>
      </c>
      <c r="K4" t="n">
        <v>0.43</v>
      </c>
      <c r="L4" t="n">
        <v>0.84</v>
      </c>
      <c r="M4" t="inlineStr">
        <is>
          <t>verde</t>
        </is>
      </c>
      <c r="N4" t="n">
        <v>0.75</v>
      </c>
      <c r="O4" t="inlineStr">
        <is>
          <t>La visibilità dei DPI essenziali (es. casco, occhiali) è limitata per tutti gli attori a causa della distanza e dell'angolazione. Nessuna attività lavorativa diretta con macchinari o carichi è in corso. Tutti i macchinari sono inattivi. La persona in movimento segue un percorso pedonale segnato. Nessun mezzo mobile è presente o in movimento.</t>
        </is>
      </c>
      <c r="P4" t="n">
        <v>0</v>
      </c>
      <c r="Q4" t="n">
        <v>0.0067</v>
      </c>
      <c r="R4" t="n">
        <v>0.237</v>
      </c>
      <c r="S4" t="n">
        <v>0.1588</v>
      </c>
      <c r="T4" t="n">
        <v>36.93</v>
      </c>
      <c r="U4" t="n">
        <v>0</v>
      </c>
      <c r="V4" t="n">
        <v>0</v>
      </c>
      <c r="W4" t="n">
        <v>0.066</v>
      </c>
      <c r="X4" t="n">
        <v>0</v>
      </c>
      <c r="Y4" t="n">
        <v>0</v>
      </c>
      <c r="Z4" t="n">
        <v>0</v>
      </c>
      <c r="AA4" t="n">
        <v>0.0067</v>
      </c>
      <c r="AB4" t="n">
        <v>0.144</v>
      </c>
      <c r="AC4" t="n">
        <v>0.0965</v>
      </c>
      <c r="AD4" t="n">
        <v>22.44</v>
      </c>
      <c r="AE4" t="n">
        <v>0</v>
      </c>
      <c r="AF4" t="n">
        <v>0.0045</v>
      </c>
      <c r="AG4" t="n">
        <v>0.38</v>
      </c>
      <c r="AH4" t="n">
        <v>0.171</v>
      </c>
      <c r="AI4" t="n">
        <v>39.77</v>
      </c>
      <c r="AJ4" t="n">
        <v>0</v>
      </c>
      <c r="AK4" t="n">
        <v>0</v>
      </c>
      <c r="AL4" t="n">
        <v>0.044</v>
      </c>
      <c r="AM4" t="n">
        <v>0</v>
      </c>
      <c r="AN4" t="n">
        <v>0</v>
      </c>
      <c r="AO4" t="n">
        <v>0</v>
      </c>
      <c r="AP4" t="n">
        <v>0</v>
      </c>
      <c r="AQ4" t="n">
        <v>0.101</v>
      </c>
      <c r="AR4" t="n">
        <v>0</v>
      </c>
      <c r="AS4" t="n">
        <v>0</v>
      </c>
      <c r="AT4" t="n">
        <v>0.25</v>
      </c>
      <c r="AU4" t="n">
        <v>0</v>
      </c>
      <c r="AV4" t="n">
        <v>0.028</v>
      </c>
      <c r="AW4" t="n">
        <v>0</v>
      </c>
      <c r="AX4" t="n">
        <v>0</v>
      </c>
    </row>
    <row r="5">
      <c r="A5" t="n">
        <v>3</v>
      </c>
      <c r="B5" t="n">
        <v>6</v>
      </c>
      <c r="C5" t="n">
        <v>10</v>
      </c>
      <c r="D5" t="inlineStr">
        <is>
          <t>{"scene_state": "Fabbrica o officina industriale con macchinari e personale.", "environmental_conditions": ["Interno", "Ben illuminato", "Pavimento pulito con percorsi segnalati"], "actors": [{"type": "persona", "description": "Una persona cammina da destra a sinistra nel medio-primo piano."}, {"type": "persone", "description": "Diverse persone sono in piedi e interagiscono nel fondo."}], "objects": [{"type": "vari", "description": "Bobine di metallo su pallet, pallet vuoti, cavi e piccole attrezzature sul pavimento."}, {"type": "piattaforma mobile", "description": "Una piccola piattaforma mobile arancione."}, {"type": "cartello", "description": "Un cartello 'MAXEL ZERO' sopra un'apertura."}], "machines": [{"type": "presse e ausiliari", "description": "Diverse grandi presse industriali (blu e grigio) e macchinari ausiliari."}], "observable_actions": ["Una persona cammina.", "Persone nel fondo sono ferme e conversano.", "La piattaforma mobile arancione si muove leggermente."], "notes_visibility_limitations": "Aree parzialmente oscurate dai macchinari. Dettagli persone nel fondo non chiari. Funzione specifica macchinari non discernibile."}</t>
        </is>
      </c>
      <c r="E5" t="inlineStr">
        <is>
          <t>{"unsafe_behaviors": [], "vulnerable_elements": ["persona che cammina"], "risk_cues": {"R1_pedestrian_vehicle_interference": 0.0, "R2_pedestrian_segregation_violation": 0.0, "R3_load_storage_instability": 0.0, "R4_crush_points_dangerous_parts_exposure": 0.0, "R5_unsafe_operational_proximity": 0.0, "R6_unsafe_behavior_posture_manoeuvre": 0.0, "R7_essential_ppe_non_compliance": 0.5}, "cue_confidence": 0.7, "diagnostic_notes": "La persona in primo piano non indossa un elmetto, che potrebbe essere un DPI essenziale in un ambiente industriale con macchinari pesanti. La visibilità dei DPI per le persone sullo sfondo è limitata. Nessun altro rischio significativo è stato rilevato nella finestra temporale."}</t>
        </is>
      </c>
      <c r="F5" t="inlineStr">
        <is>
          <t>{"causal_chain_plausible": true, "causal_chain_text": "Una persona non indossa un elmetto in un ambiente industriale con macchinari pesanti. In caso di caduta di oggetti o impatto con elementi sporgenti, la mancanza di protezione alla testa aumenta il rischio di lesioni.", "near_miss_or_incident_scenario": "Un oggetto (es. attrezzo, piccolo componente) cade da un macchinario o da un'area di stoccaggio elevata, oppure la persona urta la testa contro un elemento fisso o mobile del macchinario o dell'ambiente. La mancanza di elmetto espone la persona a un rischio di lesione alla testa.", "contributing_factors": ["Mancanza di elmetto (DPI essenziale)", "Presenza di macchinari pesanti e attrezzature industriali", "Potenziale caduta oggetti o impatto con ostacoli fissi/mobili"]}</t>
        </is>
      </c>
      <c r="G5" t="n">
        <v>55</v>
      </c>
      <c r="H5" t="inlineStr">
        <is>
          <t>La persona in primo piano non indossa un elmetto, un DPI essenziale in un ambiente industriale con macchinari pesanti. Questo aumenta il rischio di lesioni alla testa in caso di caduta oggetti o impatto, classificando il rischio come significativo.</t>
        </is>
      </c>
      <c r="I5" t="n">
        <v>66.79000000000001</v>
      </c>
      <c r="J5" t="inlineStr">
        <is>
          <t>arancione</t>
        </is>
      </c>
      <c r="K5" t="n">
        <v>1.83</v>
      </c>
      <c r="L5" t="n">
        <v>2.36</v>
      </c>
      <c r="M5" t="inlineStr">
        <is>
          <t>verde</t>
        </is>
      </c>
      <c r="N5" t="n">
        <v>0.7</v>
      </c>
      <c r="O5" t="inlineStr">
        <is>
          <t>La persona in primo piano non indossa un elmetto, che potrebbe essere un DPI essenziale in un ambiente industriale con macchinari pesanti. La visibilità dei DPI per le persone sullo sfondo è limitata. Nessun altro rischio significativo è stato rilevato nella finestra temporale.</t>
        </is>
      </c>
      <c r="P5" t="n">
        <v>0</v>
      </c>
      <c r="Q5" t="n">
        <v>0.0067</v>
      </c>
      <c r="R5" t="n">
        <v>0.237</v>
      </c>
      <c r="S5" t="n">
        <v>0.1588</v>
      </c>
      <c r="T5" t="n">
        <v>8.68</v>
      </c>
      <c r="U5" t="n">
        <v>0</v>
      </c>
      <c r="V5" t="n">
        <v>0</v>
      </c>
      <c r="W5" t="n">
        <v>0.066</v>
      </c>
      <c r="X5" t="n">
        <v>0</v>
      </c>
      <c r="Y5" t="n">
        <v>0</v>
      </c>
      <c r="Z5" t="n">
        <v>0</v>
      </c>
      <c r="AA5" t="n">
        <v>0.0067</v>
      </c>
      <c r="AB5" t="n">
        <v>0.144</v>
      </c>
      <c r="AC5" t="n">
        <v>0.0965</v>
      </c>
      <c r="AD5" t="n">
        <v>5.27</v>
      </c>
      <c r="AE5" t="n">
        <v>0</v>
      </c>
      <c r="AF5" t="n">
        <v>0.0045</v>
      </c>
      <c r="AG5" t="n">
        <v>0.38</v>
      </c>
      <c r="AH5" t="n">
        <v>0.171</v>
      </c>
      <c r="AI5" t="n">
        <v>9.34</v>
      </c>
      <c r="AJ5" t="n">
        <v>0</v>
      </c>
      <c r="AK5" t="n">
        <v>0</v>
      </c>
      <c r="AL5" t="n">
        <v>0.044</v>
      </c>
      <c r="AM5" t="n">
        <v>0</v>
      </c>
      <c r="AN5" t="n">
        <v>0</v>
      </c>
      <c r="AO5" t="n">
        <v>0</v>
      </c>
      <c r="AP5" t="n">
        <v>0</v>
      </c>
      <c r="AQ5" t="n">
        <v>0.101</v>
      </c>
      <c r="AR5" t="n">
        <v>0</v>
      </c>
      <c r="AS5" t="n">
        <v>0</v>
      </c>
      <c r="AT5" t="n">
        <v>0.5</v>
      </c>
      <c r="AU5" t="n">
        <v>0.5</v>
      </c>
      <c r="AV5" t="n">
        <v>0.028</v>
      </c>
      <c r="AW5" t="n">
        <v>1.4</v>
      </c>
      <c r="AX5" t="n">
        <v>76.5</v>
      </c>
    </row>
    <row r="6">
      <c r="A6" t="n">
        <v>4</v>
      </c>
      <c r="B6" t="n">
        <v>8</v>
      </c>
      <c r="C6" t="n">
        <v>12</v>
      </c>
      <c r="D6" t="inlineStr">
        <is>
          <t>{"scene_state": "Impianto industriale, pavimento di fabbrica operativo.", "environmental_conditions": ["Interno", "Ben illuminato", "Pavimento pulito con percorsi segnalati"], "actors": ["Una persona (donna) cammina da destra a sinistra in primo piano.", "Due persone (uomini) sono ferme e conversano vicino a una parete sullo sfondo."], "objects": ["Bobine di metallo sul pavimento", "Pallet/casse vicino alla parete", "Attrezzature industriali varie (es. luci, cavi, piattaforma arancione)", "Cartelli segnaletici"], "machines": ["Diverse grandi presse industriali (blu, bianche, grigie)", "Macchinari più piccoli attorno alle presse"], "observable_actions": ["Una persona cammina", "Due persone sono ferme e conversano"], "notes_visibility_limitations": "Vista dall'alto, alcuni dettagli potrebbero essere oscurati dai macchinari o dalla distanza."}</t>
        </is>
      </c>
      <c r="E6" t="inlineStr">
        <is>
          <t>{"unsafe_behaviors": [], "vulnerable_elements": ["Pedoni senza protezione per la testa in ambiente industriale"], "risk_cues": {"R1_pedestrian_vehicle_interference": 0.0, "R2_pedestrian_segregation_violation": 0.0, "R3_load_storage_instability": 0.0, "R4_crush_points_dangerous_parts_exposure": 0.0, "R5_unsafe_operational_proximity": 0.0, "R6_unsafe_behavior_posture_manoeuvre": 0.0, "R7_essential_ppe_non_compliance": 0.5}, "cue_confidence": 0.8, "diagnostic_notes": "La donna in primo piano non indossa un casco. Sebbene non stia interagendo con macchinari, in un ambiente industriale con presse pesanti, l'uso del casco è spesso richiesto. La visibilità dei DPI per gli altri attori è limitata dalla distanza. Nessun altro rischio significativo è evidente."}</t>
        </is>
      </c>
      <c r="F6" t="inlineStr">
        <is>
          <t>{"causal_chain_plausible": true, "causal_chain_text": "La donna cammina in un ambiente industriale operativo senza casco. In caso di caduta di un oggetto da macchinari o materiali stoccati, o di un impatto accidentale, l'assenza di protezione per la testa può causare una lesione.", "near_miss_or_incident_scenario": "Mentre la donna attraversa l'area di fabbrica, un piccolo oggetto (es. un pezzo di scarto o un attrezzo) cade da un macchinario o da un pallet/bobina e la colpisce alla testa, provocando una lesione a causa della mancanza di protezione.", "contributing_factors": ["Mancanza di DPI essenziali (casco) per il pedone", "Presenza di macchinari pesanti e materiali stoccati con potenziale rischio di caduta oggetti in un'area operativa."]}</t>
        </is>
      </c>
      <c r="G6" t="n">
        <v>55</v>
      </c>
      <c r="H6" t="inlineStr">
        <is>
          <t>La mancata conformità all'uso del casco in un ambiente industriale attivo, con presenza di macchinari e materiali stoccati, espone il pedone a un rischio significativo di lesioni alla testa in caso di caduta oggetti o impatto.</t>
        </is>
      </c>
      <c r="I6" t="n">
        <v>62.07</v>
      </c>
      <c r="J6" t="inlineStr">
        <is>
          <t>arancione</t>
        </is>
      </c>
      <c r="K6" t="n">
        <v>1.83</v>
      </c>
      <c r="L6" t="n">
        <v>2.15</v>
      </c>
      <c r="M6" t="inlineStr">
        <is>
          <t>verde</t>
        </is>
      </c>
      <c r="N6" t="n">
        <v>0.8</v>
      </c>
      <c r="O6" t="inlineStr">
        <is>
          <t>La donna in primo piano non indossa un casco. Sebbene non stia interagendo con macchinari, in un ambiente industriale con presse pesanti, l'uso del casco è spesso richiesto. La visibilità dei DPI per gli altri attori è limitata dalla distanza. Nessun altro rischio significativo è evidente.</t>
        </is>
      </c>
      <c r="P6" t="n">
        <v>0</v>
      </c>
      <c r="Q6" t="n">
        <v>0.0067</v>
      </c>
      <c r="R6" t="n">
        <v>0.237</v>
      </c>
      <c r="S6" t="n">
        <v>0.1588</v>
      </c>
      <c r="T6" t="n">
        <v>8.68</v>
      </c>
      <c r="U6" t="n">
        <v>0</v>
      </c>
      <c r="V6" t="n">
        <v>0</v>
      </c>
      <c r="W6" t="n">
        <v>0.066</v>
      </c>
      <c r="X6" t="n">
        <v>0</v>
      </c>
      <c r="Y6" t="n">
        <v>0</v>
      </c>
      <c r="Z6" t="n">
        <v>0</v>
      </c>
      <c r="AA6" t="n">
        <v>0.0067</v>
      </c>
      <c r="AB6" t="n">
        <v>0.144</v>
      </c>
      <c r="AC6" t="n">
        <v>0.0965</v>
      </c>
      <c r="AD6" t="n">
        <v>5.27</v>
      </c>
      <c r="AE6" t="n">
        <v>0</v>
      </c>
      <c r="AF6" t="n">
        <v>0.0045</v>
      </c>
      <c r="AG6" t="n">
        <v>0.38</v>
      </c>
      <c r="AH6" t="n">
        <v>0.171</v>
      </c>
      <c r="AI6" t="n">
        <v>9.34</v>
      </c>
      <c r="AJ6" t="n">
        <v>0</v>
      </c>
      <c r="AK6" t="n">
        <v>0</v>
      </c>
      <c r="AL6" t="n">
        <v>0.044</v>
      </c>
      <c r="AM6" t="n">
        <v>0</v>
      </c>
      <c r="AN6" t="n">
        <v>0</v>
      </c>
      <c r="AO6" t="n">
        <v>0</v>
      </c>
      <c r="AP6" t="n">
        <v>0</v>
      </c>
      <c r="AQ6" t="n">
        <v>0.101</v>
      </c>
      <c r="AR6" t="n">
        <v>0</v>
      </c>
      <c r="AS6" t="n">
        <v>0</v>
      </c>
      <c r="AT6" t="n">
        <v>0.5</v>
      </c>
      <c r="AU6" t="n">
        <v>0.5</v>
      </c>
      <c r="AV6" t="n">
        <v>0.028</v>
      </c>
      <c r="AW6" t="n">
        <v>1.4</v>
      </c>
      <c r="AX6" t="n">
        <v>76.5</v>
      </c>
    </row>
    <row r="7">
      <c r="A7" t="n">
        <v>5</v>
      </c>
      <c r="B7" t="n">
        <v>10</v>
      </c>
      <c r="C7" t="n">
        <v>14</v>
      </c>
      <c r="D7" t="inlineStr">
        <is>
          <t>{"scene_state": "Ambiente industriale interno, ampio capannone con macchinari pesanti e personale. Illuminazione generale adeguata.", "environmental_conditions": ["Interno", "Ben illuminato", "Pavimento con segnaletica orizzontale"], "actors": ["Due individui in piedi e in conversazione sul lato destro, in secondo piano.", "Un individuo cammina dal primo piano destro verso il secondo piano destro, indossando abiti scuri.", "Un individuo parzialmente visibile seduto sul lato sinistro, vicino a un macchinario."], "objects": ["Un rotolo di metallo (coil) a terra al centro-destra, in primo piano.", "Pallet o strutture metalliche sul lato destro, vicino alla parete.", "Cavi e piccole attrezzature a terra in primo piano."], "machines": ["Diverse presse industriali di grandi dimensioni, una blu e bianca in primo piano a sinistra.", "Una pressa bianca e blu al centro, in secondo piano.", "Altre macchine visibili sullo sfondo.", "Una struttura arancione (possibile convogliatore) al centro, in secondo piano."], "observable_actions": ["Due individui fermi che conversano.", "Un individuo che cammina.", "Macchinari apparentemente inattivi o in modalità standby."], "notes_visibility_limitations": "Vista dall'alto. Dettagli specifici delle macchine e delle attività individuali non completamente discernibili a causa della distanza e dell'angolazione."}</t>
        </is>
      </c>
      <c r="E7" t="inlineStr">
        <is>
          <t>{"unsafe_behaviors": [], "vulnerable_elements": ["Pedoni in area industriale non chiaramente segregata", "Prossimità generale a macchinari pesanti"], "risk_cues": {"R1_pedestrian_vehicle_interference": 0.0, "R2_pedestrian_segregation_violation": 0.25, "R3_load_storage_instability": 0.0, "R4_crush_points_dangerous_parts_exposure": 0.0, "R5_unsafe_operational_proximity": 0.25, "R6_unsafe_behavior_posture_manoeuvre": 0.0, "R7_essential_ppe_non_compliance": 0.25}, "cue_confidence": 0.6, "diagnostic_notes": "La visibilità dall'alto e la distanza limitano l'identificazione dettagliata dei DPI e delle interazioni specifiche con i macchinari. Non sono presenti mezzi mobili. La segregazione pedonale non è chiaramente definita o violata in modo evidente, ma il movimento in un'area industriale generica presenta un rischio latente. I macchinari appaiono inattivi, riducendo il rischio immediato di schiacciamento o prossimità pericolosa. Non è possibile confermare l'uso di DPI essenziali come il casco."}</t>
        </is>
      </c>
      <c r="F7" t="inlineStr">
        <is>
          <t>{"causal_chain_plausible": true, "causal_chain_text": "La presenza di pedoni in un'area industriale non chiaramente segregata, unita alla prossimità a macchinari pesanti e alla possibile non conformità con i DPI, crea un rischio latente. Un pedone potrebbe inciampare su ostacoli a terra (cavi, attrezzature), cadere e urtare un macchinario o un oggetto pesante.", "near_miss_or_incident_scenario": "Un individuo che cammina inciampa su cavi o attrezzature a terra, perde l'equilibrio e cade, urtando la testa o il corpo contro un macchinario inattivo o il rotolo di metallo, subendo un infortunio a causa della possibile assenza di DPI essenziali come il casco.", "contributing_factors": ["Mancanza di segregazione chiara per i pedoni", "Presenza di ostacoli a terra (cavi, piccole attrezzature)", "Prossimità dei pedoni a macchinari pesanti", "Mancata conferma dell'uso di DPI essenziali (es. casco)", "Presenza di oggetti pesanti (rotolo di metallo) in area di transito"]}</t>
        </is>
      </c>
      <c r="G7" t="n">
        <v>55</v>
      </c>
      <c r="H7" t="inlineStr">
        <is>
          <t>Il rischio è significativo a causa della combinazione di ostacoli a terra, prossimità a oggetti pesanti e macchinari, e la mancata conferma dell'uso di DPI essenziali come il casco, che aumenta la potenziale gravità di una caduta. La mancanza di segregazione pedonale chiara e i pericoli di inciampo contribuiscono a un ambiente non sicuro.</t>
        </is>
      </c>
      <c r="I7" t="n">
        <v>59.24</v>
      </c>
      <c r="J7" t="inlineStr">
        <is>
          <t>arancione</t>
        </is>
      </c>
      <c r="K7" t="n">
        <v>2.35</v>
      </c>
      <c r="L7" t="n">
        <v>2.65</v>
      </c>
      <c r="M7" t="inlineStr">
        <is>
          <t>verde</t>
        </is>
      </c>
      <c r="N7" t="n">
        <v>0.6</v>
      </c>
      <c r="O7" t="inlineStr">
        <is>
          <t>La visibilità dall'alto e la distanza limitano l'identificazione dettagliata dei DPI e delle interazioni specifiche con i macchinari. Non sono presenti mezzi mobili. La segregazione pedonale non è chiaramente definita o violata in modo evidente, ma il movimento in un'area industriale generica presenta un rischio latente. I macchinari appaiono inattivi, riducendo il rischio immediato di schiacciamento o prossimità pericolosa. Non è possibile confermare l'uso di DPI essenziali come il casco.</t>
        </is>
      </c>
      <c r="P7" t="n">
        <v>0</v>
      </c>
      <c r="Q7" t="n">
        <v>0.0067</v>
      </c>
      <c r="R7" t="n">
        <v>0.237</v>
      </c>
      <c r="S7" t="n">
        <v>0.1588</v>
      </c>
      <c r="T7" t="n">
        <v>6.76</v>
      </c>
      <c r="U7" t="n">
        <v>0.25</v>
      </c>
      <c r="V7" t="n">
        <v>0.25</v>
      </c>
      <c r="W7" t="n">
        <v>0.066</v>
      </c>
      <c r="X7" t="n">
        <v>1.65</v>
      </c>
      <c r="Y7" t="n">
        <v>70.20999999999999</v>
      </c>
      <c r="Z7" t="n">
        <v>0</v>
      </c>
      <c r="AA7" t="n">
        <v>0.0067</v>
      </c>
      <c r="AB7" t="n">
        <v>0.144</v>
      </c>
      <c r="AC7" t="n">
        <v>0.0965</v>
      </c>
      <c r="AD7" t="n">
        <v>4.11</v>
      </c>
      <c r="AE7" t="n">
        <v>0</v>
      </c>
      <c r="AF7" t="n">
        <v>0.0045</v>
      </c>
      <c r="AG7" t="n">
        <v>0.38</v>
      </c>
      <c r="AH7" t="n">
        <v>0.171</v>
      </c>
      <c r="AI7" t="n">
        <v>7.28</v>
      </c>
      <c r="AJ7" t="n">
        <v>0.25</v>
      </c>
      <c r="AK7" t="n">
        <v>0.0625</v>
      </c>
      <c r="AL7" t="n">
        <v>0.044</v>
      </c>
      <c r="AM7" t="n">
        <v>0.275</v>
      </c>
      <c r="AN7" t="n">
        <v>11.7</v>
      </c>
      <c r="AO7" t="n">
        <v>0</v>
      </c>
      <c r="AP7" t="n">
        <v>0</v>
      </c>
      <c r="AQ7" t="n">
        <v>0.101</v>
      </c>
      <c r="AR7" t="n">
        <v>0</v>
      </c>
      <c r="AS7" t="n">
        <v>0</v>
      </c>
      <c r="AT7" t="n">
        <v>0.25</v>
      </c>
      <c r="AU7" t="n">
        <v>0</v>
      </c>
      <c r="AV7" t="n">
        <v>0.028</v>
      </c>
      <c r="AW7" t="n">
        <v>0</v>
      </c>
      <c r="AX7" t="n">
        <v>0</v>
      </c>
    </row>
    <row r="8">
      <c r="A8" t="n">
        <v>6</v>
      </c>
      <c r="B8" t="n">
        <v>12</v>
      </c>
      <c r="C8" t="n">
        <v>16</v>
      </c>
      <c r="D8" t="inlineStr">
        <is>
          <t>{"scene_state": "La scena mostra un'area di produzione industriale con macchinari pesanti e personale presente. L'ambiente è operativo.", "environmental_conditions": ["Ambiente interno ben illuminato.", "Pavimento con percorsi pedonali segnalati da linee verdi.", "Presenza di cavi e tubi sul pavimento in alcune aree."], "actors": [{"id": "person_1", "location": "parte inferiore destra del frame, si muove verso il centro-destra", "description": "Una persona in uniforme scura cammina lungo un percorso segnalato."}, {"id": "group_1", "location": "sfondo, lato destro, vicino a una parete", "description": "Un gruppo di almeno tre persone è fermo e interagisce."}], "objects": ["Un grande rotolo di materiale metallico (bobina) sul pavimento al centro-destra.", "Diverse pedane o pallet metallici impilati sul lato destro.", "Segnaletica a pavimento (linee verdi).", "Un cartello con la scritta \"MODEL ZERO\" appeso a una parete nello sfondo."], "machines": ["Diverse presse industriali o macchinari di stampaggio di grandi dimensioni, di colore blu e grigio, posizionate in varie parti della scena.", "Un macchinario prominente in primo piano a sinistra, con unità di ventilazione e segnaletica di avvertimento.", "Un macchinario arancione di dimensioni minori, forse una piattaforma o un nastro trasportatore, vicino al centro."], "observable_actions": ["Una persona cammina lungo un percorso pedonale.", "Un gruppo di persone è fermo e sembra interagire nello sfondo."], "notes_visibility_limitations": "La risoluzione e la distanza limitano la visibilità dei dettagli dei volti e delle specifiche interazioni delle persone nello sfondo. Lo stato operativo esatto di tutti i macchinari non è chiaramente visibile."}</t>
        </is>
      </c>
      <c r="E8" t="inlineStr">
        <is>
          <t>{"unsafe_behaviors": [], "vulnerable_elements": [], "risk_cues": {"R1_pedestrian_vehicle_interference": 0.0, "R2_pedestrian_segregation_violation": 0.0, "R3_load_storage_instability": 0.0, "R4_crush_points_dangerous_parts_exposure": 0.0, "R5_unsafe_operational_proximity": 0.0, "R6_unsafe_behavior_posture_manoeuvre": 0.0, "R7_essential_ppe_non_compliance": 0.25}, "cue_confidence": 0.8, "diagnostic_notes": "Nessun mezzo mobile è presente nella scena. I pedoni si muovono lungo i percorsi segnalati. Non si osservano instabilità di carichi o esposizione a punti di schiacciamento. La prossimità tra persone e macchinari è adeguata. Non sono visibili comportamenti o posture non sicure. L'assenza di caschi per le persone in un ambiente industriale potrebbe indicare una debole non conformità con i DPI essenziali, a seconda delle normative specifiche del sito."}</t>
        </is>
      </c>
      <c r="F8" t="inlineStr">
        <is>
          <t>{"causal_chain_plausible": true, "causal_chain_text": "La mancanza di DPI essenziali (caschi) per il personale in un ambiente industriale con macchinari pesanti aumenta il rischio di lesioni alla testa. Un potenziale evento (es. caduta accidentale di un oggetto, urto contro una struttura fissa o un macchinario) può colpire la testa di un operatore non protetto, causando un infortunio.", "near_miss_or_incident_scenario": "Un operatore, privo di casco protettivo, si trova nell'area di produzione. Un piccolo oggetto cade accidentalmente da un macchinario o da un'altezza, oppure l'operatore urta la testa contro una parte fissa di un macchinario. L'impatto causa una lesione alla testa che sarebbe stata prevenuta o mitigata dall'uso del casco.", "contributing_factors": ["Mancanza di DPI essenziali (caschi) per il personale in un ambiente a rischio.", "Ambiente industriale con macchinari pesanti e operativi, che presentano rischi intrinseci di caduta oggetti o urti.", "Potenziale carenza nelle procedure di controllo sull'uso dei DPI."]}</t>
        </is>
      </c>
      <c r="G8" t="n">
        <v>35</v>
      </c>
      <c r="H8" t="inlineStr">
        <is>
          <t>Il punteggio riflette la non conformità con i DPI essenziali (caschi) in un ambiente industriale con macchinari pesanti, che espone il personale a un rischio moderato di lesioni alla testa. Sebbene altri rischi siano assenti, la protezione del capo è fondamentale.</t>
        </is>
      </c>
      <c r="I8" t="n">
        <v>49.54</v>
      </c>
      <c r="J8" t="inlineStr">
        <is>
          <t>arancione</t>
        </is>
      </c>
      <c r="K8" t="n">
        <v>0.43</v>
      </c>
      <c r="L8" t="n">
        <v>1.76</v>
      </c>
      <c r="M8" t="inlineStr">
        <is>
          <t>verde</t>
        </is>
      </c>
      <c r="N8" t="n">
        <v>0.8</v>
      </c>
      <c r="O8" t="inlineStr">
        <is>
          <t>Nessun mezzo mobile è presente nella scena. I pedoni si muovono lungo i percorsi segnalati. Non si osservano instabilità di carichi o esposizione a punti di schiacciamento. La prossimità tra persone e macchinari è adeguata. Non sono visibili comportamenti o posture non sicure. L'assenza di caschi per le persone in un ambiente industriale potrebbe indicare una debole non conformità con i DPI essenziali, a seconda delle normative specifiche del sito.</t>
        </is>
      </c>
      <c r="P8" t="n">
        <v>0</v>
      </c>
      <c r="Q8" t="n">
        <v>0.0067</v>
      </c>
      <c r="R8" t="n">
        <v>0.237</v>
      </c>
      <c r="S8" t="n">
        <v>0.1588</v>
      </c>
      <c r="T8" t="n">
        <v>36.93</v>
      </c>
      <c r="U8" t="n">
        <v>0</v>
      </c>
      <c r="V8" t="n">
        <v>0</v>
      </c>
      <c r="W8" t="n">
        <v>0.066</v>
      </c>
      <c r="X8" t="n">
        <v>0</v>
      </c>
      <c r="Y8" t="n">
        <v>0</v>
      </c>
      <c r="Z8" t="n">
        <v>0</v>
      </c>
      <c r="AA8" t="n">
        <v>0.0067</v>
      </c>
      <c r="AB8" t="n">
        <v>0.144</v>
      </c>
      <c r="AC8" t="n">
        <v>0.0965</v>
      </c>
      <c r="AD8" t="n">
        <v>22.44</v>
      </c>
      <c r="AE8" t="n">
        <v>0</v>
      </c>
      <c r="AF8" t="n">
        <v>0.0045</v>
      </c>
      <c r="AG8" t="n">
        <v>0.38</v>
      </c>
      <c r="AH8" t="n">
        <v>0.171</v>
      </c>
      <c r="AI8" t="n">
        <v>39.77</v>
      </c>
      <c r="AJ8" t="n">
        <v>0</v>
      </c>
      <c r="AK8" t="n">
        <v>0</v>
      </c>
      <c r="AL8" t="n">
        <v>0.044</v>
      </c>
      <c r="AM8" t="n">
        <v>0</v>
      </c>
      <c r="AN8" t="n">
        <v>0</v>
      </c>
      <c r="AO8" t="n">
        <v>0</v>
      </c>
      <c r="AP8" t="n">
        <v>0</v>
      </c>
      <c r="AQ8" t="n">
        <v>0.101</v>
      </c>
      <c r="AR8" t="n">
        <v>0</v>
      </c>
      <c r="AS8" t="n">
        <v>0</v>
      </c>
      <c r="AT8" t="n">
        <v>0.25</v>
      </c>
      <c r="AU8" t="n">
        <v>0</v>
      </c>
      <c r="AV8" t="n">
        <v>0.028</v>
      </c>
      <c r="AW8" t="n">
        <v>0</v>
      </c>
      <c r="AX8" t="n">
        <v>0</v>
      </c>
    </row>
    <row r="9">
      <c r="A9" t="n">
        <v>7</v>
      </c>
      <c r="B9" t="n">
        <v>14</v>
      </c>
      <c r="C9" t="n">
        <v>18</v>
      </c>
      <c r="D9" t="inlineStr">
        <is>
          <t>{"scene_state": "Interno di un capannone industriale.", "environmental_conditions": ["Ben illuminato", "Pavimento pulito", "Nessun ostacolo visibile sul percorso principale"], "actors": ["Una persona cammina da destra a sinistra in primo piano, indossando un'uniforme scura.", "Diverse persone (minimo tre) sono ferme e interagiscono nella parte destra dello sfondo."], "objects": ["Una bobina di metallo è posizionata sul pavimento al centro-destra.", "Pallet o strutture metalliche impilate vicino alla parete destra.", "Cavi e piccole attrezzature a terra vicino ai macchinari."], "machines": ["Diverse grandi presse industriali di colore blu e bianco, con vari componenti annessi.", "Una macchina o struttura di colore arancione è visibile al centro dello sfondo.", "Strutture aeree (tubi, illuminazione)."], "observable_actions": ["Una persona cammina.", "Diverse persone sono ferme e conversano."], "notes_visibility_limitations": "I dettagli delle interazioni tra le persone sullo sfondo non sono chiaramente visibili a causa della distanza. Alcune parti dei macchinari sono parzialmente ostruite da altre attrezzature."}</t>
        </is>
      </c>
      <c r="E9" t="inlineStr">
        <is>
          <t>{"unsafe_behaviors": [], "vulnerable_elements": [], "risk_cues": {"R1_pedestrian_vehicle_interference": 0.0, "R2_pedestrian_segregation_violation": 0.0, "R3_load_storage_instability": 0.0, "R4_crush_points_dangerous_parts_exposure": 0.0, "R5_unsafe_operational_proximity": 0.0, "R6_unsafe_behavior_posture_manoeuvre": 0.0, "R7_essential_ppe_non_compliance": 0.25}, "cue_confidence": 0.8, "diagnostic_notes": "Nessun mezzo mobile o interazione diretta con macchinari o carichi. La persona in primo piano cammina su percorso pedonale segnalato. L'assenza di casco sulla persona che cammina è una debole evidenza di potenziale non conformità, ma non è possibile confermarla senza conoscere le specifiche regole DPI per l'area."}</t>
        </is>
      </c>
      <c r="F9" t="inlineStr">
        <is>
          <t>{}</t>
        </is>
      </c>
      <c r="G9" t="n">
        <v>10</v>
      </c>
      <c r="H9" t="inlineStr">
        <is>
          <t>La scena presenta condizioni ambientali sicure e nessun rischio immediato significativo. L'unico cue di rischio rilevato è una debole e non confermata potenziale non conformità dei DPI.</t>
        </is>
      </c>
      <c r="I9" t="n">
        <v>33.72</v>
      </c>
      <c r="J9" t="inlineStr">
        <is>
          <t>giallo</t>
        </is>
      </c>
      <c r="K9" t="n">
        <v>0.43</v>
      </c>
      <c r="L9" t="n">
        <v>1.23</v>
      </c>
      <c r="M9" t="inlineStr">
        <is>
          <t>verde</t>
        </is>
      </c>
      <c r="N9" t="n">
        <v>0.8</v>
      </c>
      <c r="O9" t="inlineStr">
        <is>
          <t>Nessun mezzo mobile o interazione diretta con macchinari o carichi. La persona in primo piano cammina su percorso pedonale segnalato. L'assenza di casco sulla persona che cammina è una debole evidenza di potenziale non conformità, ma non è possibile confermarla senza conoscere le specifiche regole DPI per l'area.</t>
        </is>
      </c>
      <c r="P9" t="n">
        <v>0</v>
      </c>
      <c r="Q9" t="n">
        <v>0.0067</v>
      </c>
      <c r="R9" t="n">
        <v>0.237</v>
      </c>
      <c r="S9" t="n">
        <v>0.1588</v>
      </c>
      <c r="T9" t="n">
        <v>36.93</v>
      </c>
      <c r="U9" t="n">
        <v>0</v>
      </c>
      <c r="V9" t="n">
        <v>0</v>
      </c>
      <c r="W9" t="n">
        <v>0.066</v>
      </c>
      <c r="X9" t="n">
        <v>0</v>
      </c>
      <c r="Y9" t="n">
        <v>0</v>
      </c>
      <c r="Z9" t="n">
        <v>0</v>
      </c>
      <c r="AA9" t="n">
        <v>0.0067</v>
      </c>
      <c r="AB9" t="n">
        <v>0.144</v>
      </c>
      <c r="AC9" t="n">
        <v>0.0965</v>
      </c>
      <c r="AD9" t="n">
        <v>22.44</v>
      </c>
      <c r="AE9" t="n">
        <v>0</v>
      </c>
      <c r="AF9" t="n">
        <v>0.0045</v>
      </c>
      <c r="AG9" t="n">
        <v>0.38</v>
      </c>
      <c r="AH9" t="n">
        <v>0.171</v>
      </c>
      <c r="AI9" t="n">
        <v>39.77</v>
      </c>
      <c r="AJ9" t="n">
        <v>0</v>
      </c>
      <c r="AK9" t="n">
        <v>0</v>
      </c>
      <c r="AL9" t="n">
        <v>0.044</v>
      </c>
      <c r="AM9" t="n">
        <v>0</v>
      </c>
      <c r="AN9" t="n">
        <v>0</v>
      </c>
      <c r="AO9" t="n">
        <v>0</v>
      </c>
      <c r="AP9" t="n">
        <v>0</v>
      </c>
      <c r="AQ9" t="n">
        <v>0.101</v>
      </c>
      <c r="AR9" t="n">
        <v>0</v>
      </c>
      <c r="AS9" t="n">
        <v>0</v>
      </c>
      <c r="AT9" t="n">
        <v>0.25</v>
      </c>
      <c r="AU9" t="n">
        <v>0</v>
      </c>
      <c r="AV9" t="n">
        <v>0.028</v>
      </c>
      <c r="AW9" t="n">
        <v>0</v>
      </c>
      <c r="AX9" t="n">
        <v>0</v>
      </c>
    </row>
    <row r="10">
      <c r="A10" t="n">
        <v>8</v>
      </c>
      <c r="B10" t="n">
        <v>16</v>
      </c>
      <c r="C10" t="n">
        <v>20</v>
      </c>
      <c r="D10" t="inlineStr">
        <is>
          <t>{"scene_state": "Interno di un capannone industriale.", "environmental_conditions": ["Ben illuminato", "Ambiente interno", "Nessuna anomalia ambientale visibile"], "actors": ["Una persona cammina nel corridoio centrale da destra verso sinistra", "Diverse persone sono ferme o conversano nel corridoio posteriore", "Una persona è seduta vicino a un macchinario a sinistra"], "objects": ["Bobine di metallo a terra", "Pallet e strutture nel corridoio", "Cavi sul pavimento", "Attrezzatura video (telecamera su treppiede) in primo piano", "Cartelli su macchinari e pareti"], "machines": ["Diverse presse industriali (blu, bianche, grigie)", "Sistema di trasporto a nastro arancione", "Altri macchinari minori"], "observable_actions": ["Una persona cammina", "Persone ferme o in conversazione", "Una persona seduta", "Macchinari inattivi o in standby"], "notes_visibility_limitations": "Vista dall'alto. Dettagli a terra e figure distanti meno nitidi a causa della prospettiva e della distanza."}</t>
        </is>
      </c>
      <c r="E10" t="inlineStr">
        <is>
          <t>{"unsafe_behaviors": ["Mancanza di DPI essenziali (elmetti)", "Permanenza in prossimità di macchinari pesanti (persona seduta)"], "vulnerable_elements": ["Operatori senza elmetti", "Persona seduta vicino a una pressa industriale"], "risk_cues": {"R1_pedestrian_vehicle_interference": 0.0, "R2_pedestrian_segregation_violation": 0.0, "R3_load_storage_instability": 0.0, "R4_crush_points_dangerous_parts_exposure": 0.0, "R5_unsafe_operational_proximity": 0.25, "R6_unsafe_behavior_posture_manoeuvre": 0.0, "R7_essential_ppe_non_compliance": 0.75}, "cue_confidence": 0.8, "diagnostic_notes": "La visibilità dall'alto limita la verifica dettagliata di alcuni DPI (es. scarpe antinfortunistiche). Tuttavia, l'assenza di elmetti protettivi su tutto il personale visibile è una forte evidenza di non conformità in un ambiente industriale con macchinari pesanti. La persona seduta è in prossimità di una pressa industriale, il che, anche se la macchina appare inattiva, costituisce una potenziale prossimità operativa da monitorare."}</t>
        </is>
      </c>
      <c r="F10" t="inlineStr">
        <is>
          <t>{"causal_chain_plausible": true, "causal_chain_text": "Mancanza di DPI essenziali (elmetti) per il personale in un ambiente con macchinari pesanti + Prossimità non sicura di una persona a una pressa industriale inattiva -&gt; Aumento della vulnerabilità a impatti alla testa o schiacciamenti in caso di attivazione improvvisa del macchinario o caduta di oggetti.", "near_miss_or_incident_scenario": "Un oggetto (es. attrezzo, parte di macchinario) cade o viene proiettato inaspettatamente, colpendo una persona alla testa che non indossa l'elmetto, oppure la pressa industriale si attiva improvvisamente mentre una persona è seduta in prossimità, causando un near miss o un incidente da schiacciamento/impatto.", "contributing_factors": ["Mancanza di DPI essenziali (elmetti) per il personale visibile", "Prossimità non sicura di una persona a macchinari pesanti (pressa industriale)", "Ambiente industriale con macchinari potenzialmente pericolosi", "Presenza di oggetti a terra (bobine, pallet, cavi) che potrebbero rappresentare ostacoli o pericoli secondari"]}</t>
        </is>
      </c>
      <c r="G10" t="n">
        <v>80</v>
      </c>
      <c r="H10" t="inlineStr">
        <is>
          <t>Il punteggio elevato deriva dalla diffusa non conformità ai DPI essenziali (elmetti) e dalla prossimità non sicura a macchinari pesanti. Questi fattori, con alta confidenza, indicano un rischio critico di infortuni.</t>
        </is>
      </c>
      <c r="I10" t="n">
        <v>100</v>
      </c>
      <c r="J10" t="inlineStr">
        <is>
          <t>rosso</t>
        </is>
      </c>
      <c r="K10" t="n">
        <v>2.1</v>
      </c>
      <c r="L10" t="n">
        <v>2.91</v>
      </c>
      <c r="M10" t="inlineStr">
        <is>
          <t>verde</t>
        </is>
      </c>
      <c r="N10" t="n">
        <v>0.8</v>
      </c>
      <c r="O10" t="inlineStr">
        <is>
          <t>La visibilità dall'alto limita la verifica dettagliata di alcuni DPI (es. scarpe antinfortunistiche). Tuttavia, l'assenza di elmetti protettivi su tutto il personale visibile è una forte evidenza di non conformità in un ambiente industriale con macchinari pesanti. La persona seduta è in prossimità di una pressa industriale, il che, anche se la macchina appare inattiva, costituisce una potenziale prossimità operativa da monitorare.</t>
        </is>
      </c>
      <c r="P10" t="n">
        <v>0</v>
      </c>
      <c r="Q10" t="n">
        <v>0.0067</v>
      </c>
      <c r="R10" t="n">
        <v>0.237</v>
      </c>
      <c r="S10" t="n">
        <v>0.1588</v>
      </c>
      <c r="T10" t="n">
        <v>7.56</v>
      </c>
      <c r="U10" t="n">
        <v>0</v>
      </c>
      <c r="V10" t="n">
        <v>0</v>
      </c>
      <c r="W10" t="n">
        <v>0.066</v>
      </c>
      <c r="X10" t="n">
        <v>0</v>
      </c>
      <c r="Y10" t="n">
        <v>0</v>
      </c>
      <c r="Z10" t="n">
        <v>0</v>
      </c>
      <c r="AA10" t="n">
        <v>0.0067</v>
      </c>
      <c r="AB10" t="n">
        <v>0.144</v>
      </c>
      <c r="AC10" t="n">
        <v>0.0965</v>
      </c>
      <c r="AD10" t="n">
        <v>4.6</v>
      </c>
      <c r="AE10" t="n">
        <v>0</v>
      </c>
      <c r="AF10" t="n">
        <v>0.0045</v>
      </c>
      <c r="AG10" t="n">
        <v>0.38</v>
      </c>
      <c r="AH10" t="n">
        <v>0.171</v>
      </c>
      <c r="AI10" t="n">
        <v>8.140000000000001</v>
      </c>
      <c r="AJ10" t="n">
        <v>0.25</v>
      </c>
      <c r="AK10" t="n">
        <v>0.0625</v>
      </c>
      <c r="AL10" t="n">
        <v>0.044</v>
      </c>
      <c r="AM10" t="n">
        <v>0.275</v>
      </c>
      <c r="AN10" t="n">
        <v>13.1</v>
      </c>
      <c r="AO10" t="n">
        <v>0</v>
      </c>
      <c r="AP10" t="n">
        <v>0</v>
      </c>
      <c r="AQ10" t="n">
        <v>0.101</v>
      </c>
      <c r="AR10" t="n">
        <v>0</v>
      </c>
      <c r="AS10" t="n">
        <v>0</v>
      </c>
      <c r="AT10" t="n">
        <v>0.75</v>
      </c>
      <c r="AU10" t="n">
        <v>0.5</v>
      </c>
      <c r="AV10" t="n">
        <v>0.028</v>
      </c>
      <c r="AW10" t="n">
        <v>1.4</v>
      </c>
      <c r="AX10" t="n">
        <v>66.67</v>
      </c>
    </row>
    <row r="11">
      <c r="A11" t="n">
        <v>9</v>
      </c>
      <c r="B11" t="n">
        <v>18</v>
      </c>
      <c r="C11" t="n">
        <v>22</v>
      </c>
      <c r="D11" t="inlineStr">
        <is>
          <t>{"scene_state": "Interno di un capannone industriale o fabbrica.", "environmental_conditions": ["Illuminazione artificiale diffusa", "Ambiente interno"], "actors": ["Un individuo con abbigliamento da lavoro cammina da destra a sinistra lungo un corridoio", "Diversi individui con abbigliamento da lavoro sono fermi o conversano in un'area più distante"], "objects": ["Bobine di metallo sul pavimento", "Pallet o contenitori", "Cavi e attrezzature di ripresa (treppiede, luce) in primo piano", "Un barile o contenitore blu"], "machines": ["Diverse presse industriali di grandi dimensioni (blu, bianche, grigie)", "Macchinari ausiliari e sistemi di alimentazione associati alle presse"], "observable_actions": ["Un individuo cammina lungo un percorso designato", "Altri individui sono in piedi, apparentemente in attesa o in conversazione", "I macchinari sembrano essere in stato di riposo o non operativi attivamente"], "notes_visibility_limitations": "Alcune aree sono parzialmente ostruite dai macchinari. I dettagli degli individui e degli oggetti più distanti sono meno nitidi."}</t>
        </is>
      </c>
      <c r="E11" t="inlineStr">
        <is>
          <t>{"unsafe_behaviors": [], "vulnerable_elements": [], "risk_cues": {"R1_pedestrian_vehicle_interference": 0.0, "R2_pedestrian_segregation_violation": 0.0, "R3_load_storage_instability": 0.0, "R4_crush_points_dangerous_parts_exposure": 0.0, "R5_unsafe_operational_proximity": 0.0, "R6_unsafe_behavior_posture_manoeuvre": 0.0, "R7_essential_ppe_non_compliance": 0.25}, "cue_confidence": 0.9, "diagnostic_notes": "I macchinari appaiono inattivi, riducendo i rischi operativi immediati. Gli individui osservati mantengono distanze di sicurezza e utilizzano percorsi designati. La visibilità dei DPI specifici (es. occhiali di protezione, protezioni auricolari) è limitata dalla distanza e dalla risoluzione, impedendo una valutazione definitiva della piena conformità, sebbene non vi siano evidenti non conformità critiche."}</t>
        </is>
      </c>
      <c r="F11" t="inlineStr">
        <is>
          <t>{"causal_chain_plausible": false, "causal_chain_text": "", "near_miss_or_incident_scenario": "", "contributing_factors": []}</t>
        </is>
      </c>
      <c r="G11" t="n">
        <v>8</v>
      </c>
      <c r="H11" t="inlineStr">
        <is>
          <t>Il rischio è molto basso poiché i macchinari sono inattivi e gli individui mantengono distanze di sicurezza e percorsi designati. L'unica incertezza riguarda la piena conformità dei DPI, non confermabile a causa della visibilità limitata.</t>
        </is>
      </c>
      <c r="I11" t="n">
        <v>63.2</v>
      </c>
      <c r="J11" t="inlineStr">
        <is>
          <t>arancione</t>
        </is>
      </c>
      <c r="K11" t="n">
        <v>0.43</v>
      </c>
      <c r="L11" t="n">
        <v>1.92</v>
      </c>
      <c r="M11" t="inlineStr">
        <is>
          <t>verde</t>
        </is>
      </c>
      <c r="N11" t="n">
        <v>0.9</v>
      </c>
      <c r="O11" t="inlineStr">
        <is>
          <t>I macchinari appaiono inattivi, riducendo i rischi operativi immediati. Gli individui osservati mantengono distanze di sicurezza e utilizzano percorsi designati. La visibilità dei DPI specifici (es. occhiali di protezione, protezioni auricolari) è limitata dalla distanza e dalla risoluzione, impedendo una valutazione definitiva della piena conformità, sebbene non vi siano evidenti non conformità critiche.</t>
        </is>
      </c>
      <c r="P11" t="n">
        <v>0</v>
      </c>
      <c r="Q11" t="n">
        <v>0.0067</v>
      </c>
      <c r="R11" t="n">
        <v>0.237</v>
      </c>
      <c r="S11" t="n">
        <v>0.1588</v>
      </c>
      <c r="T11" t="n">
        <v>36.93</v>
      </c>
      <c r="U11" t="n">
        <v>0</v>
      </c>
      <c r="V11" t="n">
        <v>0</v>
      </c>
      <c r="W11" t="n">
        <v>0.066</v>
      </c>
      <c r="X11" t="n">
        <v>0</v>
      </c>
      <c r="Y11" t="n">
        <v>0</v>
      </c>
      <c r="Z11" t="n">
        <v>0</v>
      </c>
      <c r="AA11" t="n">
        <v>0.0067</v>
      </c>
      <c r="AB11" t="n">
        <v>0.144</v>
      </c>
      <c r="AC11" t="n">
        <v>0.0965</v>
      </c>
      <c r="AD11" t="n">
        <v>22.44</v>
      </c>
      <c r="AE11" t="n">
        <v>0</v>
      </c>
      <c r="AF11" t="n">
        <v>0.0045</v>
      </c>
      <c r="AG11" t="n">
        <v>0.38</v>
      </c>
      <c r="AH11" t="n">
        <v>0.171</v>
      </c>
      <c r="AI11" t="n">
        <v>39.77</v>
      </c>
      <c r="AJ11" t="n">
        <v>0</v>
      </c>
      <c r="AK11" t="n">
        <v>0</v>
      </c>
      <c r="AL11" t="n">
        <v>0.044</v>
      </c>
      <c r="AM11" t="n">
        <v>0</v>
      </c>
      <c r="AN11" t="n">
        <v>0</v>
      </c>
      <c r="AO11" t="n">
        <v>0</v>
      </c>
      <c r="AP11" t="n">
        <v>0</v>
      </c>
      <c r="AQ11" t="n">
        <v>0.101</v>
      </c>
      <c r="AR11" t="n">
        <v>0</v>
      </c>
      <c r="AS11" t="n">
        <v>0</v>
      </c>
      <c r="AT11" t="n">
        <v>0.25</v>
      </c>
      <c r="AU11" t="n">
        <v>0</v>
      </c>
      <c r="AV11" t="n">
        <v>0.028</v>
      </c>
      <c r="AW11" t="n">
        <v>0</v>
      </c>
      <c r="AX11" t="n">
        <v>0</v>
      </c>
    </row>
    <row r="12">
      <c r="A12" t="n">
        <v>10</v>
      </c>
      <c r="B12" t="n">
        <v>20</v>
      </c>
      <c r="C12" t="n">
        <v>24</v>
      </c>
      <c r="D12" t="inlineStr">
        <is>
          <t>{"scene_state": "Interno di un capannone industriale o fabbrica, con macchinari pesanti e aree di passaggio definite. L'ambiente appare operativo.", "environmental_conditions": ["Illuminazione artificiale diffusa", "Pavimento in cemento con segnaletica orizzontale (linee verdi e gialle)", "Pareti interne in lamiera ondulata"], "actors": ["Un individuo con abiti scuri cammina da destra verso il centro e si ferma", "Un gruppo di circa 3-4 individui è visibile in lontananza sulla destra, fermi o con movimenti minimi"], "objects": ["Un rotolo di materiale metallico (bobina) sul pavimento al centro-destra", "Pallet o strutture metalliche impilate sulla destra", "Attrezzature e cavi vari sul pavimento vicino ai macchinari in primo piano", "Un carrello elevatore arancione in lontananza"], "machines": ["Diverse grandi presse o macchinari industriali di colore blu e bianco in primo piano e al centro", "Altri macchinari simili visibili in lontananza sulla sinistra"], "observable_actions": ["Un individuo cammina e si ferma", "Il gruppo di individui in lontananza sembra interagire o osservare", "I macchinari in primo piano appaiono inattivi o in standby, senza movimenti visibili di parti o materiali"], "notes_visibility_limitations": "Dettagli specifici dei volti degli individui e piccole etichette sui macchinari sono difficili da distinguere a causa della distanza e dell'angolazione della telecamera."}</t>
        </is>
      </c>
      <c r="E12" t="inlineStr">
        <is>
          <t>{"unsafe_behaviors": [], "vulnerable_elements": ["Individui in ambiente industriale"], "risk_cues": {"R1_pedestrian_vehicle_interference": 0.0, "R2_pedestrian_segregation_violation": 0.25, "R3_load_storage_instability": 0.0, "R4_crush_points_dangerous_parts_exposure": 0.0, "R5_unsafe_operational_proximity": 0.0, "R6_unsafe_behavior_posture_manoeuvre": 0.0, "R7_essential_ppe_non_compliance": 0.25}, "cue_confidence": 0.6, "diagnostic_notes": "La distanza e la risoluzione della telecamera limitano la visibilità dei dettagli dei DPI e delle specifiche aree di segregazione. I macchinari sono inattivi e non ci sono mezzi mobili in transito, riducendo i rischi immediati. Gli individui sembrano trovarsi in un'area di passaggio o osservazione."}</t>
        </is>
      </c>
      <c r="F12" t="inlineStr">
        <is>
          <t>{"causal_chain_plausible": true, "causal_chain_text": "Un individuo, potenzialmente in un'area non completamente segregata per i pedoni e/o senza DPI adeguati (R7), inciampa su cavi, attrezzature a terra o sulla bobina metallica (oggetti). Questo porta a una caduta.", "near_miss_or_incident_scenario": "Un individuo inciampa e cade a causa di ostacoli a terra (cavi, attrezzature, bobina) in un'area potenzialmente non segregata (R2) o senza DPI adeguati (R7), subendo lesioni.", "contributing_factors": ["Potenziale violazione della segregazione pedonale (R2)", "Potenziale non conformità dei DPI essenziali (R7)", "Presenza di ostacoli a terra (cavi, attrezzature, bobina)"]}</t>
        </is>
      </c>
      <c r="G12" t="n">
        <v>30</v>
      </c>
      <c r="H12" t="inlineStr">
        <is>
          <t>Il punteggio riflette la presenza di ostacoli a terra e la potenziale violazione della segregazione pedonale (R2) e/o non conformità dei DPI (R7), che creano un rischio plausibile di inciampo e caduta. Sebbene i macchinari siano inattivi e non ci siano veicoli, la situazione richiede attenzione.</t>
        </is>
      </c>
      <c r="I12" t="n">
        <v>67.52</v>
      </c>
      <c r="J12" t="inlineStr">
        <is>
          <t>arancione</t>
        </is>
      </c>
      <c r="K12" t="n">
        <v>2.08</v>
      </c>
      <c r="L12" t="n">
        <v>3.3</v>
      </c>
      <c r="M12" t="inlineStr">
        <is>
          <t>verde</t>
        </is>
      </c>
      <c r="N12" t="n">
        <v>0.6</v>
      </c>
      <c r="O12" t="inlineStr">
        <is>
          <t>La distanza e la risoluzione della telecamera limitano la visibilità dei dettagli dei DPI e delle specifiche aree di segregazione. I macchinari sono inattivi e non ci sono mezzi mobili in transito, riducendo i rischi immediati. Gli individui sembrano trovarsi in un'area di passaggio o osservazione.</t>
        </is>
      </c>
      <c r="P12" t="n">
        <v>0</v>
      </c>
      <c r="Q12" t="n">
        <v>0.0067</v>
      </c>
      <c r="R12" t="n">
        <v>0.237</v>
      </c>
      <c r="S12" t="n">
        <v>0.1588</v>
      </c>
      <c r="T12" t="n">
        <v>7.63</v>
      </c>
      <c r="U12" t="n">
        <v>0.25</v>
      </c>
      <c r="V12" t="n">
        <v>0.25</v>
      </c>
      <c r="W12" t="n">
        <v>0.066</v>
      </c>
      <c r="X12" t="n">
        <v>1.65</v>
      </c>
      <c r="Y12" t="n">
        <v>79.33</v>
      </c>
      <c r="Z12" t="n">
        <v>0</v>
      </c>
      <c r="AA12" t="n">
        <v>0.0067</v>
      </c>
      <c r="AB12" t="n">
        <v>0.144</v>
      </c>
      <c r="AC12" t="n">
        <v>0.0965</v>
      </c>
      <c r="AD12" t="n">
        <v>4.64</v>
      </c>
      <c r="AE12" t="n">
        <v>0</v>
      </c>
      <c r="AF12" t="n">
        <v>0.0045</v>
      </c>
      <c r="AG12" t="n">
        <v>0.38</v>
      </c>
      <c r="AH12" t="n">
        <v>0.171</v>
      </c>
      <c r="AI12" t="n">
        <v>8.220000000000001</v>
      </c>
      <c r="AJ12" t="n">
        <v>0</v>
      </c>
      <c r="AK12" t="n">
        <v>0</v>
      </c>
      <c r="AL12" t="n">
        <v>0.044</v>
      </c>
      <c r="AM12" t="n">
        <v>0</v>
      </c>
      <c r="AN12" t="n">
        <v>0</v>
      </c>
      <c r="AO12" t="n">
        <v>0</v>
      </c>
      <c r="AP12" t="n">
        <v>0</v>
      </c>
      <c r="AQ12" t="n">
        <v>0.101</v>
      </c>
      <c r="AR12" t="n">
        <v>0</v>
      </c>
      <c r="AS12" t="n">
        <v>0</v>
      </c>
      <c r="AT12" t="n">
        <v>0.25</v>
      </c>
      <c r="AU12" t="n">
        <v>0</v>
      </c>
      <c r="AV12" t="n">
        <v>0.028</v>
      </c>
      <c r="AW12" t="n">
        <v>0</v>
      </c>
      <c r="AX12" t="n">
        <v>0</v>
      </c>
    </row>
    <row r="13">
      <c r="A13" t="n">
        <v>11</v>
      </c>
      <c r="B13" t="n">
        <v>22</v>
      </c>
      <c r="C13" t="n">
        <v>26</v>
      </c>
      <c r="D13" t="inlineStr">
        <is>
          <t>{"scene_state": "La scena mostra un ambiente industriale interno, probabilmente un'officina o un reparto di produzione, con macchinari pesanti e personale presente.", "environmental_conditions": ["Illuminazione interna adeguata", "Pavimento pulito con segnaletica orizzontale gialla e verde", "Pareti e soffitto in lamiera metallica"], "actors": [{"type": "persona", "count": "diverse", "location": "fondo della scena, lato destro", "description": "Individui vestiti con abiti da lavoro, alcuni camminano, altri sono fermi."}], "objects": [{"type": "bobine di metallo", "count": "almeno una", "location": "centro-destra, sul pavimento", "description": "Grande bobina di materiale metallico."}, {"type": "pallet/strutture metalliche", "count": "diverse", "location": "fondo, lato destro", "description": "Pallet o strutture di supporto metalliche impilate."}, {"type": "attrezzatura di ripresa", "count": "diverse", "location": "primo piano, centro-sinistra", "description": "Treppiedi e luci, suggerendo una ripresa video in corso."}], "machines": [{"type": "presse industriali", "count": "diverse", "location": "centro e sinistra della scena", "description": "Grandi macchinari di colore blu e bianco, con pannelli di controllo e tubazioni."}, {"type": "piattaforma mobile/carrello", "count": "una", "location": "centro, tra le presse", "description": "Piccola piattaforma mobile di colore arancione con una rampa."}], "observable_actions": ["Persone che camminano nel corridoio sul lato destro della scena.", "Macchinari che appaiono in stato di riposo o in attesa di operazione."], "notes_visibility_limitations": "La macchina in primo piano a sinistra ostruisce parzialmente la vista del pavimento e di eventuali oggetti o azioni dietro di essa. La distanza e la risoluzione limitano la chiara identificazione di dettagli minori o espressioni facciali degli attori nel fondo."}</t>
        </is>
      </c>
      <c r="E13" t="inlineStr">
        <is>
          <t>{"unsafe_behaviors": [], "vulnerable_elements": [], "risk_cues": {"R1_pedestrian_vehicle_interference": 0.0, "R2_pedestrian_segregation_violation": 0.0, "R3_load_storage_instability": 0.0, "R4_crush_points_dangerous_parts_exposure": 0.0, "R5_unsafe_operational_proximity": 0.0, "R6_unsafe_behavior_posture_manoeuvre": 0.0, "R7_essential_ppe_non_compliance": 0.0}, "cue_confidence": 0.75, "diagnostic_notes": "La clip è statica e di breve durata. Non si osservano attività operative, movimenti di mezzi o comportamenti non sicuri. La distanza e la risoluzione limitano la verifica dettagliata dei DPI per gli individui nel fondo della scena."}</t>
        </is>
      </c>
      <c r="F13" t="inlineStr">
        <is>
          <t>{"causal_chain_plausible": false, "causal_chain_text": "", "near_miss_or_incident_scenario": "", "contributing_factors": []}</t>
        </is>
      </c>
      <c r="G13" t="n">
        <v>5</v>
      </c>
      <c r="H13" t="inlineStr">
        <is>
          <t>La scena è statica e non mostra attività operative o comportamenti non sicuri. Tutti i cue di rischio specifici sono valutati a 0.0, indicando l'assenza di rischi immediati osservabili.</t>
        </is>
      </c>
      <c r="I13" t="n">
        <v>42.51</v>
      </c>
      <c r="J13" t="inlineStr">
        <is>
          <t>giallo</t>
        </is>
      </c>
      <c r="K13" t="n">
        <v>0.43</v>
      </c>
      <c r="L13" t="n">
        <v>2.15</v>
      </c>
      <c r="M13" t="inlineStr">
        <is>
          <t>verde</t>
        </is>
      </c>
      <c r="N13" t="n">
        <v>0.75</v>
      </c>
      <c r="O13" t="inlineStr">
        <is>
          <t>La clip è statica e di breve durata. Non si osservano attività operative, movimenti di mezzi o comportamenti non sicuri. La distanza e la risoluzione limitano la verifica dettagliata dei DPI per gli individui nel fondo della scena.</t>
        </is>
      </c>
      <c r="P13" t="n">
        <v>0</v>
      </c>
      <c r="Q13" t="n">
        <v>0.0067</v>
      </c>
      <c r="R13" t="n">
        <v>0.237</v>
      </c>
      <c r="S13" t="n">
        <v>0.1588</v>
      </c>
      <c r="T13" t="n">
        <v>36.93</v>
      </c>
      <c r="U13" t="n">
        <v>0</v>
      </c>
      <c r="V13" t="n">
        <v>0</v>
      </c>
      <c r="W13" t="n">
        <v>0.066</v>
      </c>
      <c r="X13" t="n">
        <v>0</v>
      </c>
      <c r="Y13" t="n">
        <v>0</v>
      </c>
      <c r="Z13" t="n">
        <v>0</v>
      </c>
      <c r="AA13" t="n">
        <v>0.0067</v>
      </c>
      <c r="AB13" t="n">
        <v>0.144</v>
      </c>
      <c r="AC13" t="n">
        <v>0.0965</v>
      </c>
      <c r="AD13" t="n">
        <v>22.44</v>
      </c>
      <c r="AE13" t="n">
        <v>0</v>
      </c>
      <c r="AF13" t="n">
        <v>0.0045</v>
      </c>
      <c r="AG13" t="n">
        <v>0.38</v>
      </c>
      <c r="AH13" t="n">
        <v>0.171</v>
      </c>
      <c r="AI13" t="n">
        <v>39.77</v>
      </c>
      <c r="AJ13" t="n">
        <v>0</v>
      </c>
      <c r="AK13" t="n">
        <v>0</v>
      </c>
      <c r="AL13" t="n">
        <v>0.044</v>
      </c>
      <c r="AM13" t="n">
        <v>0</v>
      </c>
      <c r="AN13" t="n">
        <v>0</v>
      </c>
      <c r="AO13" t="n">
        <v>0</v>
      </c>
      <c r="AP13" t="n">
        <v>0</v>
      </c>
      <c r="AQ13" t="n">
        <v>0.101</v>
      </c>
      <c r="AR13" t="n">
        <v>0</v>
      </c>
      <c r="AS13" t="n">
        <v>0</v>
      </c>
      <c r="AT13" t="n">
        <v>0</v>
      </c>
      <c r="AU13" t="n">
        <v>0</v>
      </c>
      <c r="AV13" t="n">
        <v>0.028</v>
      </c>
      <c r="AW13" t="n">
        <v>0</v>
      </c>
      <c r="AX13" t="n">
        <v>0</v>
      </c>
    </row>
    <row r="14">
      <c r="A14" t="n">
        <v>12</v>
      </c>
      <c r="B14" t="n">
        <v>24</v>
      </c>
      <c r="C14" t="n">
        <v>28</v>
      </c>
      <c r="D14" t="inlineStr">
        <is>
          <t>{"scene_state": "Ambiente di produzione industriale, pavimento di fabbrica.", "environmental_conditions": ["Interno", "Illuminazione artificiale", "Pavimento pulito con percorsi segnalati"], "actors": ["Diversi individui (operai) che camminano nel retro"], "objects": ["Grandi bobine di metallo sul pavimento", "Pallet vicino alla parete", "Cavi e tubi collegati ai macchinari", "Piccolo carrello/piattaforma arancione vicino al centro", "Attrezzi e componenti vari intorno alle macchine"], "machines": ["Diverse grandi presse industriali (blu e bianco/grigio)", "Macchinari ausiliari più piccoli accanto alle presse", "Una macchina con pannello blu in primo piano a sinistra"], "observable_actions": ["Operai che camminano da destra a sinistra sullo sfondo", "I macchinari appaiono inattivi o in stato di pausa"], "notes_visibility_limitations": "Vista dall'alto, alcuni dettagli sul pavimento o dietro i macchinari potrebbero essere oscurati."}</t>
        </is>
      </c>
      <c r="E14" t="inlineStr">
        <is>
          <t>{"unsafe_behaviors": [], "vulnerable_elements": [], "risk_cues": {"R1_pedestrian_vehicle_interference": 0.0, "R2_pedestrian_segregation_violation": 0.0, "R3_load_storage_instability": 0.0, "R4_crush_points_dangerous_parts_exposure": 0.0, "R5_unsafe_operational_proximity": 0.0, "R6_unsafe_behavior_posture_manoeuvre": 0.0, "R7_essential_ppe_non_compliance": 0.25}, "cue_confidence": 0.6, "diagnostic_notes": "Gli operatori si muovono in un'area di passaggio sullo sfondo, mantenendo distanza dai macchinari. I macchinari appaiono inattivi. La visibilità dei DPI essenziali (es. caschi, calzature di sicurezza, guanti) è limitata dalla distanza e dalla risoluzione per gli operatori sullo sfondo, rendendo difficile una valutazione precisa della conformità."}</t>
        </is>
      </c>
      <c r="F14" t="inlineStr">
        <is>
          <t>{"causal_chain_plausible": false, "causal_chain_text": "Non si osserva una catena causale plausibile che porti a un near miss o incidente. I macchinari sono inattivi e gli operatori camminano in un'area di passaggio, mantenendo una distanza di sicurezza. L'unico cue di rischio (R7) è legato a una visibilità limitata dei DPI, non a una chiara non conformità o a un pericolo imminente basato sulle azioni osservate.", "near_miss_or_incident_scenario": "Nessuno scenario di near miss o incidente è direttamente deducibile dagli elementi visibili e dalle azioni osservate in questo specifico intervallo temporale, data l'inattività dei macchinari e il comportamento prudente degli operatori.", "contributing_factors": []}</t>
        </is>
      </c>
      <c r="G14" t="n">
        <v>8</v>
      </c>
      <c r="H14" t="inlineStr">
        <is>
          <t>Il rischio è molto basso poiché i macchinari sono inattivi e gli operatori si muovono in sicurezza. L'unica incertezza riguarda la visibilità dei DPI, non una chiara non conformità o un pericolo imminente.</t>
        </is>
      </c>
      <c r="I14" t="n">
        <v>31.11</v>
      </c>
      <c r="J14" t="inlineStr">
        <is>
          <t>giallo</t>
        </is>
      </c>
      <c r="K14" t="n">
        <v>0.43</v>
      </c>
      <c r="L14" t="n">
        <v>1.46</v>
      </c>
      <c r="M14" t="inlineStr">
        <is>
          <t>verde</t>
        </is>
      </c>
      <c r="N14" t="n">
        <v>0.6</v>
      </c>
      <c r="O14" t="inlineStr">
        <is>
          <t>Gli operatori si muovono in un'area di passaggio sullo sfondo, mantenendo distanza dai macchinari. I macchinari appaiono inattivi. La visibilità dei DPI essenziali (es. caschi, calzature di sicurezza, guanti) è limitata dalla distanza e dalla risoluzione per gli operatori sullo sfondo, rendendo difficile una valutazione precisa della conformità.</t>
        </is>
      </c>
      <c r="P14" t="n">
        <v>0</v>
      </c>
      <c r="Q14" t="n">
        <v>0.0067</v>
      </c>
      <c r="R14" t="n">
        <v>0.237</v>
      </c>
      <c r="S14" t="n">
        <v>0.1588</v>
      </c>
      <c r="T14" t="n">
        <v>36.93</v>
      </c>
      <c r="U14" t="n">
        <v>0</v>
      </c>
      <c r="V14" t="n">
        <v>0</v>
      </c>
      <c r="W14" t="n">
        <v>0.066</v>
      </c>
      <c r="X14" t="n">
        <v>0</v>
      </c>
      <c r="Y14" t="n">
        <v>0</v>
      </c>
      <c r="Z14" t="n">
        <v>0</v>
      </c>
      <c r="AA14" t="n">
        <v>0.0067</v>
      </c>
      <c r="AB14" t="n">
        <v>0.144</v>
      </c>
      <c r="AC14" t="n">
        <v>0.0965</v>
      </c>
      <c r="AD14" t="n">
        <v>22.44</v>
      </c>
      <c r="AE14" t="n">
        <v>0</v>
      </c>
      <c r="AF14" t="n">
        <v>0.0045</v>
      </c>
      <c r="AG14" t="n">
        <v>0.38</v>
      </c>
      <c r="AH14" t="n">
        <v>0.171</v>
      </c>
      <c r="AI14" t="n">
        <v>39.77</v>
      </c>
      <c r="AJ14" t="n">
        <v>0</v>
      </c>
      <c r="AK14" t="n">
        <v>0</v>
      </c>
      <c r="AL14" t="n">
        <v>0.044</v>
      </c>
      <c r="AM14" t="n">
        <v>0</v>
      </c>
      <c r="AN14" t="n">
        <v>0</v>
      </c>
      <c r="AO14" t="n">
        <v>0</v>
      </c>
      <c r="AP14" t="n">
        <v>0</v>
      </c>
      <c r="AQ14" t="n">
        <v>0.101</v>
      </c>
      <c r="AR14" t="n">
        <v>0</v>
      </c>
      <c r="AS14" t="n">
        <v>0</v>
      </c>
      <c r="AT14" t="n">
        <v>0.25</v>
      </c>
      <c r="AU14" t="n">
        <v>0</v>
      </c>
      <c r="AV14" t="n">
        <v>0.028</v>
      </c>
      <c r="AW14" t="n">
        <v>0</v>
      </c>
      <c r="AX14" t="n">
        <v>0</v>
      </c>
    </row>
    <row r="15">
      <c r="A15" t="n">
        <v>13</v>
      </c>
      <c r="B15" t="n">
        <v>26</v>
      </c>
      <c r="C15" t="n">
        <v>30</v>
      </c>
      <c r="D15" t="inlineStr">
        <is>
          <t>{"scene_state": "Ambiente industriale interno, ampio e attrezzato con macchinari pesanti.", "environmental_conditions": ["Illuminazione artificiale diffusa.", "Pavimento industriale con segnaletica orizzontale gialla e verde.", "Presenza di fumo o vapore leggero nell'area centrale."], "actors": ["Almeno 4-5 persone adulte in piedi e in movimento nella parte destra dell'area.", "Una persona seduta o accovacciata nell'angolo in basso a sinistra, vicino a un macchinario blu."], "objects": ["Bobine di materiale metallico a terra.", "Pallet o strutture metalliche impilate.", "Cavi e tubi sul pavimento.", "Attrezzature di ripresa (treppiede, luci) in primo piano al centro-sinistra."], "machines": ["Diverse presse industriali o macchinari di grandi dimensioni (blu, bianchi, grigi) operativi.", "Un carrello elevatore o veicolo industriale arancione nella parte centrale."], "observable_actions": ["Persone camminano e si muovono nella parte destra dell'area.", "Il carrello elevatore arancione si muove lentamente da destra a sinistra al centro.", "Il macchinario blu in primo piano sembra essere in funzione (vibrazioni visibili).", "Fumo/vapore si alza da un'area vicino al macchinario centrale."], "notes_visibility_limitations": "Dettagli delle azioni delle persone sullo sfondo sono difficili da discernere. La natura esatta del fumo/vapore non è determinabile. La persona in basso a sinistra è parzialmente occlusa."}</t>
        </is>
      </c>
      <c r="E15" t="inlineStr">
        <is>
          <t>{"unsafe_behaviors": ["Permanenza in postura vulnerabile (seduto/accovacciato) vicino a macchinario operativo."], "vulnerable_elements": ["Operatore in basso a sinistra", "Macchinari pesanti in funzione"], "risk_cues": {"R1_pedestrian_vehicle_interference": 0.25, "R2_pedestrian_segregation_violation": 0.25, "R3_load_storage_instability": 0.0, "R4_crush_points_dangerous_parts_exposure": 0.5, "R5_unsafe_operational_proximity": 0.5, "R6_unsafe_behavior_posture_manoeuvre": 0.5, "R7_essential_ppe_non_compliance": 0.25}, "cue_confidence": 0.65, "diagnostic_notes": "La visibilità è limitata per i dettagli sui DPI e per la prossimità esatta a punti di schiacciamento per l'operatore in basso a sinistra. La natura esatta del fumo/vapore non è determinabile."}</t>
        </is>
      </c>
      <c r="F15" t="inlineStr">
        <is>
          <t>{"causal_chain_plausible": true, "causal_chain_text": "Un operatore si trova in una postura vulnerabile (seduto/accovacciato) in prossimità di un macchinario blu operativo. Un movimento inatteso o un malfunzionamento del macchinario, o la necessità dell'operatore di interagire con esso in tale posizione, può portare a un contatto con parti pericolose o punti di schiacciamento.", "near_miss_or_incident_scenario": "L'operatore in basso a sinistra, a causa della sua postura accovacciata/seduta e della vicinanza al macchinario blu in funzione, subisce un infortunio da schiacciamento o impatto con parti mobili del macchinario stesso.", "contributing_factors": ["Postura vulnerabile dell'operatore (seduto/accovacciato) in un'area operativa.", "Prossimità dell'operatore a un macchinario pesante in funzione.", "Esposizione a punti di schiacciamento o parti mobili del macchinario operativo.", "Visibilità limitata dell'operatore (parzialmente occluso)."]}</t>
        </is>
      </c>
      <c r="G15" t="n">
        <v>75</v>
      </c>
      <c r="H15" t="inlineStr">
        <is>
          <t>L'operatore si trova in una postura estremamente vulnerabile (accovacciato/seduto) in prossimità di un macchinario pesante operativo, esponendosi direttamente a punti di schiacciamento e impatto. Questa combinazione di fattori eleva il rischio di infortunio grave a un livello critico.</t>
        </is>
      </c>
      <c r="I15" t="n">
        <v>100</v>
      </c>
      <c r="J15" t="inlineStr">
        <is>
          <t>rosso</t>
        </is>
      </c>
      <c r="K15" t="n">
        <v>35.92</v>
      </c>
      <c r="L15" t="n">
        <v>43.64</v>
      </c>
      <c r="M15" t="inlineStr">
        <is>
          <t>giallo</t>
        </is>
      </c>
      <c r="N15" t="n">
        <v>0.65</v>
      </c>
      <c r="O15" t="inlineStr">
        <is>
          <t>La visibilità è limitata per i dettagli sui DPI e per la prossimità esatta a punti di schiacciamento per l'operatore in basso a sinistra. La natura esatta del fumo/vapore non è determinabile.</t>
        </is>
      </c>
      <c r="P15" t="n">
        <v>0.25</v>
      </c>
      <c r="Q15" t="n">
        <v>0.0759</v>
      </c>
      <c r="R15" t="n">
        <v>0.237</v>
      </c>
      <c r="S15" t="n">
        <v>1.7988</v>
      </c>
      <c r="T15" t="n">
        <v>5.01</v>
      </c>
      <c r="U15" t="n">
        <v>0.25</v>
      </c>
      <c r="V15" t="n">
        <v>0.25</v>
      </c>
      <c r="W15" t="n">
        <v>0.066</v>
      </c>
      <c r="X15" t="n">
        <v>1.65</v>
      </c>
      <c r="Y15" t="n">
        <v>4.59</v>
      </c>
      <c r="Z15" t="n">
        <v>0</v>
      </c>
      <c r="AA15" t="n">
        <v>0.0067</v>
      </c>
      <c r="AB15" t="n">
        <v>0.144</v>
      </c>
      <c r="AC15" t="n">
        <v>0.0965</v>
      </c>
      <c r="AD15" t="n">
        <v>0.27</v>
      </c>
      <c r="AE15" t="n">
        <v>0.5</v>
      </c>
      <c r="AF15" t="n">
        <v>0.6457000000000001</v>
      </c>
      <c r="AG15" t="n">
        <v>0.38</v>
      </c>
      <c r="AH15" t="n">
        <v>24.5366</v>
      </c>
      <c r="AI15" t="n">
        <v>68.31</v>
      </c>
      <c r="AJ15" t="n">
        <v>0.5</v>
      </c>
      <c r="AK15" t="n">
        <v>0.25</v>
      </c>
      <c r="AL15" t="n">
        <v>0.044</v>
      </c>
      <c r="AM15" t="n">
        <v>1.1</v>
      </c>
      <c r="AN15" t="n">
        <v>3.06</v>
      </c>
      <c r="AO15" t="n">
        <v>0.5</v>
      </c>
      <c r="AP15" t="n">
        <v>0.6671</v>
      </c>
      <c r="AQ15" t="n">
        <v>0.101</v>
      </c>
      <c r="AR15" t="n">
        <v>6.7377</v>
      </c>
      <c r="AS15" t="n">
        <v>18.76</v>
      </c>
      <c r="AT15" t="n">
        <v>0.25</v>
      </c>
      <c r="AU15" t="n">
        <v>0</v>
      </c>
      <c r="AV15" t="n">
        <v>0.028</v>
      </c>
      <c r="AW15" t="n">
        <v>0</v>
      </c>
      <c r="AX15" t="n">
        <v>0</v>
      </c>
    </row>
    <row r="16">
      <c r="A16" t="n">
        <v>14</v>
      </c>
      <c r="B16" t="n">
        <v>28</v>
      </c>
      <c r="C16" t="n">
        <v>32</v>
      </c>
      <c r="D16" t="inlineStr">
        <is>
          <t>{"scene_state": "Ambiente industriale interno, pavimento di fabbrica con macchinari e personale.", "environmental_conditions": ["Illuminazione artificiale diffusa", "Pavimento pulito con segnaletica orizzontale gialla", "Spazio ampio e organizzato"], "actors": ["Diversi individui (almeno 4-5) sul lato destro del frame, in piedi e in movimento", "Un individuo seduto sul lato sinistro, vicino a un macchinario"], "objects": ["Bobina di metallo sul pavimento", "Diversi pallet (alcuni vuoti, altri con materiali)", "Attrezzature e strumenti vari sul pavimento", "Segnaletica di sicurezza sui macchinari"], "machines": ["Diverse grandi presse industriali o macchine per stampaggio", "Un macchinario con componenti blu in primo piano a sinistra", "Un macchinario con una piattaforma/sistema di alimentazione arancione al centro"], "observable_actions": ["Individui sul lato destro camminano e interagiscono tra loro", "L'individuo a sinistra sembra operare o monitorare un macchinario da seduto", "I macchinari sono statici o in modalità standby"], "notes_visibility_limitations": "Vista dall'alto, alcuni dettagli sul pavimento o sullo sfondo potrebbero essere meno chiari a causa della distanza e dell'angolazione."}</t>
        </is>
      </c>
      <c r="E16" t="inlineStr">
        <is>
          <t>{"unsafe_behaviors": [], "vulnerable_elements": [], "risk_cues": {"R1_pedestrian_vehicle_interference": 0.0, "R2_pedestrian_segregation_violation": 0.25, "R3_load_storage_instability": 0.0, "R4_crush_points_dangerous_parts_exposure": 0.0, "R5_unsafe_operational_proximity": 0.0, "R6_unsafe_behavior_posture_manoeuvre": 0.0, "R7_essential_ppe_non_compliance": 0.25}, "cue_confidence": 0.6, "diagnostic_notes": "La visibilità dall'alto e la distanza limitano l'identificazione dettagliata dei DPI (es. caschi, guanti, occhiali di protezione) e di eventuali piccole non conformità comportamentali. I macchinari appaiono statici e non ci sono mezzi mobili in transito. Il personale si muove in aree che sembrano sicure in assenza di operazioni attive, sebbene la segregazione pedonale non sia chiaramente definita nell'area di transito del gruppo."}</t>
        </is>
      </c>
      <c r="F16" t="inlineStr">
        <is>
          <t>{"causal_chain_plausible": true, "causal_chain_text": "La segregazione pedonale non chiaramente definita, unita alla presenza di oggetti sul pavimento (bobina, attrezzi) e al movimento del personale, aumenta il rischio di inciampo o urto. Una potenziale non conformità dei DPI potrebbe aggravare le conseguenze di tale evento.", "near_miss_or_incident_scenario": "Un individuo inciampa o urta un ostacolo (es. bobina, attrezzo) a causa della scarsa segregazione pedonale e della presenza di oggetti sul pavimento. L'assenza o l'inadeguatezza dei DPI (es. scarpe antinfortunistiche) potrebbe causare una lesione minore, come una contusione o distorsione, o un near miss.", "contributing_factors": ["Segregazione pedonale non chiaramente definita", "Presenza di oggetti (bobina, pallet, attrezzi) sul pavimento", "Potenziale non conformità nell'uso dei DPI"]}</t>
        </is>
      </c>
      <c r="G16" t="n">
        <v>42</v>
      </c>
      <c r="H16" t="inlineStr">
        <is>
          <t>Il punteggio riflette un rischio moderato dovuto alla segregazione pedonale non chiaramente definita e alla presenza di oggetti sul pavimento, che aumentano il rischio di inciampo. La potenziale non conformità dei DPI potrebbe aggravare le conseguenze di tali eventi.</t>
        </is>
      </c>
      <c r="I16" t="n">
        <v>76.8</v>
      </c>
      <c r="J16" t="inlineStr">
        <is>
          <t>rosso</t>
        </is>
      </c>
      <c r="K16" t="n">
        <v>2.08</v>
      </c>
      <c r="L16" t="n">
        <v>27.02</v>
      </c>
      <c r="M16" t="inlineStr">
        <is>
          <t>giallo</t>
        </is>
      </c>
      <c r="N16" t="n">
        <v>0.6</v>
      </c>
      <c r="O16" t="inlineStr">
        <is>
          <t>La visibilità dall'alto e la distanza limitano l'identificazione dettagliata dei DPI (es. caschi, guanti, occhiali di protezione) e di eventuali piccole non conformità comportamentali. I macchinari appaiono statici e non ci sono mezzi mobili in transito. Il personale si muove in aree che sembrano sicure in assenza di operazioni attive, sebbene la segregazione pedonale non sia chiaramente definita nell'area di transito del gruppo.</t>
        </is>
      </c>
      <c r="P16" t="n">
        <v>0</v>
      </c>
      <c r="Q16" t="n">
        <v>0.0067</v>
      </c>
      <c r="R16" t="n">
        <v>0.237</v>
      </c>
      <c r="S16" t="n">
        <v>0.1588</v>
      </c>
      <c r="T16" t="n">
        <v>7.63</v>
      </c>
      <c r="U16" t="n">
        <v>0.25</v>
      </c>
      <c r="V16" t="n">
        <v>0.25</v>
      </c>
      <c r="W16" t="n">
        <v>0.066</v>
      </c>
      <c r="X16" t="n">
        <v>1.65</v>
      </c>
      <c r="Y16" t="n">
        <v>79.33</v>
      </c>
      <c r="Z16" t="n">
        <v>0</v>
      </c>
      <c r="AA16" t="n">
        <v>0.0067</v>
      </c>
      <c r="AB16" t="n">
        <v>0.144</v>
      </c>
      <c r="AC16" t="n">
        <v>0.0965</v>
      </c>
      <c r="AD16" t="n">
        <v>4.64</v>
      </c>
      <c r="AE16" t="n">
        <v>0</v>
      </c>
      <c r="AF16" t="n">
        <v>0.0045</v>
      </c>
      <c r="AG16" t="n">
        <v>0.38</v>
      </c>
      <c r="AH16" t="n">
        <v>0.171</v>
      </c>
      <c r="AI16" t="n">
        <v>8.220000000000001</v>
      </c>
      <c r="AJ16" t="n">
        <v>0</v>
      </c>
      <c r="AK16" t="n">
        <v>0</v>
      </c>
      <c r="AL16" t="n">
        <v>0.044</v>
      </c>
      <c r="AM16" t="n">
        <v>0</v>
      </c>
      <c r="AN16" t="n">
        <v>0</v>
      </c>
      <c r="AO16" t="n">
        <v>0</v>
      </c>
      <c r="AP16" t="n">
        <v>0</v>
      </c>
      <c r="AQ16" t="n">
        <v>0.101</v>
      </c>
      <c r="AR16" t="n">
        <v>0</v>
      </c>
      <c r="AS16" t="n">
        <v>0</v>
      </c>
      <c r="AT16" t="n">
        <v>0.25</v>
      </c>
      <c r="AU16" t="n">
        <v>0</v>
      </c>
      <c r="AV16" t="n">
        <v>0.028</v>
      </c>
      <c r="AW16" t="n">
        <v>0</v>
      </c>
      <c r="AX16" t="n">
        <v>0</v>
      </c>
    </row>
    <row r="17">
      <c r="A17" t="n">
        <v>15</v>
      </c>
      <c r="B17" t="n">
        <v>30</v>
      </c>
      <c r="C17" t="n">
        <v>34</v>
      </c>
      <c r="D17" t="inlineStr">
        <is>
          <t>{"scene_state": "Officina industriale con macchinari pesanti e personale presente.", "environmental_conditions": ["Interno", "Ben illuminato"], "actors": ["Un gruppo di almeno tre-quattro individui in piedi e in conversazione sul lato destro, vicino a una parete.", "Un individuo seduto sul lato sinistro, vicino a un macchinario."], "objects": ["Un rotolo di bobina metallica sul pavimento al centro-destra.", "Diverse strutture metalliche o pallet sul pavimento vicino alla parete destra.", "Cavi e attrezzature minori sul pavimento in primo piano.", "Una piccola piattaforma mobile arancione tra due grandi macchinari al centro."], "machines": ["Diverse presse industriali o macchine per stampaggio di grandi dimensioni, inclusa una macchina blu e bianca in primo piano a sinistra e una macchina bianca al centro.", "Altri macchinari visibili sullo sfondo a sinistra."], "observable_actions": ["Il gruppo di individui a destra è in piedi e sta conversando.", "L'individuo a sinistra è seduto, apparentemente impegnato con un macchinario."], "notes_visibility_limitations": "La telecamera è fissa e offre una vista dall'alto. Alcune aree sono parzialmente oscurate dai macchinari. I dettagli specifici delle azioni individuali e dei volti non sono chiaramente visibili a causa della distanza e della risoluzione."}</t>
        </is>
      </c>
      <c r="E17" t="inlineStr">
        <is>
          <t>{"unsafe_behaviors": [], "vulnerable_elements": ["Individuo seduto in prossimità di macchinari pesanti"], "risk_cues": {"R1_pedestrian_vehicle_interference": 0.0, "R2_pedestrian_segregation_violation": 0.0, "R3_load_storage_instability": 0.0, "R4_crush_points_dangerous_parts_exposure": 0.25, "R5_unsafe_operational_proximity": 0.5, "R6_unsafe_behavior_posture_manoeuvre": 0.0, "R7_essential_ppe_non_compliance": 0.25}, "cue_confidence": 0.6, "diagnostic_notes": "La visibilità è limitata a causa della distanza e dell'angolazione della telecamera, rendendo difficile valutare dettagli specifici delle interazioni uomo-macchina e l'uso dei DPI. Non sono stati rilevati mezzi mobili in movimento. L'individuo seduto è in prossimità di un macchinario pesante, ma la natura esatta dell'interazione e l'esposizione a rischi specifici non sono chiaramente osservabili."}</t>
        </is>
      </c>
      <c r="F17" t="inlineStr">
        <is>
          <t>{"causal_chain_plausible": true, "causal_chain_text": "L'individuo è seduto in prossimità di un macchinario pesante. Questa vicinanza operativa (R5) aumenta la probabilità di esposizione a punti di schiacciamento o parti pericolose (R4). Una potenziale non conformità con i DPI (R7) potrebbe aggravare le conseguenze di un contatto accidentale.", "near_miss_or_incident_scenario": "Contatto accidentale dell'individuo seduto con parti in movimento o punti di schiacciamento del macchinario, con potenziale lesione.", "contributing_factors": ["Presenza di un individuo seduto in prossimità diretta di macchinari pesanti (R5)", "Potenziale esposizione a punti di schiacciamento o parti pericolose del macchinario (R4)", "Possibile non conformità nell'uso dei Dispositivi di Protezione Individuale (DPI) (R7)"]}</t>
        </is>
      </c>
      <c r="G17" t="n">
        <v>30</v>
      </c>
      <c r="H17" t="inlineStr">
        <is>
          <t>Il punteggio riflette la vicinanza operativa dell'individuo a macchinari pesanti e la potenziale esposizione a punti di schiacciamento, aggravata da una possibile non conformità dei DPI. La confidenza moderata nelle osservazioni porta a un rischio moderato.</t>
        </is>
      </c>
      <c r="I17" t="n">
        <v>58.08</v>
      </c>
      <c r="J17" t="inlineStr">
        <is>
          <t>arancione</t>
        </is>
      </c>
      <c r="K17" t="n">
        <v>4.52</v>
      </c>
      <c r="L17" t="n">
        <v>19.97</v>
      </c>
      <c r="M17" t="inlineStr">
        <is>
          <t>verde</t>
        </is>
      </c>
      <c r="N17" t="n">
        <v>0.6</v>
      </c>
      <c r="O17" t="inlineStr">
        <is>
          <t>La visibilità è limitata a causa della distanza e dell'angolazione della telecamera, rendendo difficile valutare dettagli specifici delle interazioni uomo-macchina e l'uso dei DPI. Non sono stati rilevati mezzi mobili in movimento. L'individuo seduto è in prossimità di un macchinario pesante, ma la natura esatta dell'interazione e l'esposizione a rischi specifici non sono chiaramente osservabili.</t>
        </is>
      </c>
      <c r="P17" t="n">
        <v>0</v>
      </c>
      <c r="Q17" t="n">
        <v>0.0067</v>
      </c>
      <c r="R17" t="n">
        <v>0.237</v>
      </c>
      <c r="S17" t="n">
        <v>0.1588</v>
      </c>
      <c r="T17" t="n">
        <v>3.51</v>
      </c>
      <c r="U17" t="n">
        <v>0</v>
      </c>
      <c r="V17" t="n">
        <v>0</v>
      </c>
      <c r="W17" t="n">
        <v>0.066</v>
      </c>
      <c r="X17" t="n">
        <v>0</v>
      </c>
      <c r="Y17" t="n">
        <v>0</v>
      </c>
      <c r="Z17" t="n">
        <v>0</v>
      </c>
      <c r="AA17" t="n">
        <v>0.0067</v>
      </c>
      <c r="AB17" t="n">
        <v>0.144</v>
      </c>
      <c r="AC17" t="n">
        <v>0.0965</v>
      </c>
      <c r="AD17" t="n">
        <v>2.13</v>
      </c>
      <c r="AE17" t="n">
        <v>0.25</v>
      </c>
      <c r="AF17" t="n">
        <v>0.0832</v>
      </c>
      <c r="AG17" t="n">
        <v>0.38</v>
      </c>
      <c r="AH17" t="n">
        <v>3.1616</v>
      </c>
      <c r="AI17" t="n">
        <v>69.95</v>
      </c>
      <c r="AJ17" t="n">
        <v>0.5</v>
      </c>
      <c r="AK17" t="n">
        <v>0.25</v>
      </c>
      <c r="AL17" t="n">
        <v>0.044</v>
      </c>
      <c r="AM17" t="n">
        <v>1.1</v>
      </c>
      <c r="AN17" t="n">
        <v>24.34</v>
      </c>
      <c r="AO17" t="n">
        <v>0</v>
      </c>
      <c r="AP17" t="n">
        <v>0</v>
      </c>
      <c r="AQ17" t="n">
        <v>0.101</v>
      </c>
      <c r="AR17" t="n">
        <v>0</v>
      </c>
      <c r="AS17" t="n">
        <v>0</v>
      </c>
      <c r="AT17" t="n">
        <v>0.25</v>
      </c>
      <c r="AU17" t="n">
        <v>0</v>
      </c>
      <c r="AV17" t="n">
        <v>0.028</v>
      </c>
      <c r="AW17" t="n">
        <v>0</v>
      </c>
      <c r="AX17" t="n">
        <v>0</v>
      </c>
    </row>
    <row r="18">
      <c r="A18" t="n">
        <v>16</v>
      </c>
      <c r="B18" t="n">
        <v>32</v>
      </c>
      <c r="C18" t="n">
        <v>35.9</v>
      </c>
      <c r="D18" t="inlineStr">
        <is>
          <t>{"scene_state": "Interno di un capannone industriale o officina, con diverse macchine per la lavorazione dei metalli e personale presente.", "environmental_conditions": ["Illuminazione artificiale diffusa", "Pavimento pulito con segnaletica orizzontale (linee verdi e gialle)"], "actors": ["Due individui (uomini) in piedi nella parte destra della scena, vicino a una parete", "Un individuo parzialmente visibile seduto o accovacciato nell'angolo inferiore sinistro", "Un individuo parzialmente visibile dietro un macchinario a sinistra"], "objects": ["Rotoli di materiale metallico (bobine) a terra", "Pallet o strutture metalliche a terra", "Cavi e tubi a terra e collegati ai macchinari", "Cartelli di avvertimento sui macchinari", "Un piccolo carrello elevatore arancione", "Attrezzature per riprese video (treppiede, luci) in primo piano"], "machines": ["Diverse presse industriali di grandi dimensioni (blu, bianche, grigie)", "Macchinari per la lavorazione dei metalli", "Unità di controllo e quadri elettrici"], "observable_actions": ["I due individui a destra sembrano conversare o osservare l'area", "L'individuo nell'angolo inferiore sinistro sembra intento in un'attività a terra", "I macchinari sono in uno stato di apparente inattività o stand-by"], "notes_visibility_limitations": "Alcuni individui sono parzialmente occlusi dai macchinari. Dettagli specifici delle operazioni dei macchinari non sono visibili. La natura esatta del materiale nei rotoli e delle attività degli individui non è completamente chiara."}</t>
        </is>
      </c>
      <c r="E18" t="inlineStr">
        <is>
          <t>{"unsafe_behaviors": ["L'individuo nell'angolo inferiore sinistro opera in prossimità di un macchinario industriale in una postura vulnerabile (accovacciata).", "Potenziale assenza o non visibilità di DPI essenziali (es. casco, occhiali, guanti) per l'operatore vicino al macchinario."], "vulnerable_elements": ["Operatore accovacciato vicino a macchinari pesanti.", "Macchinari industriali con punti di schiacciamento e organi in movimento (anche se inattivi)."], "risk_cues": {"R1_pedestrian_vehicle_interference": 0.0, "R2_pedestrian_segregation_violation": 0.25, "R3_load_storage_instability": 0.0, "R4_crush_points_dangerous_parts_exposure": 0.25, "R5_unsafe_operational_proximity": 0.5, "R6_unsafe_behavior_posture_manoeuvre": 0.25, "R7_essential_ppe_non_compliance": 0.5}, "cue_confidence": 0.7, "diagnostic_notes": "La scena mostra macchinari industriali in apparente stato di inattività. Un operatore è accovacciato in prossimità di un macchinario, il che rappresenta una postura vulnerabile in un ambiente industriale. La visibilità dei DPI essenziali (casco, guanti, occhiali) per questo operatore è limitata, sollevando dubbi sulla piena conformità. Non sono stati osservati movimenti di mezzi mobili o instabilità di carichi."}</t>
        </is>
      </c>
      <c r="F18" t="inlineStr">
        <is>
          <t>{"causal_chain_plausible": true, "causal_chain_text": "Un operatore è accovacciato in prossimità di un macchinario industriale. Un'attivazione improvvisa o un movimento inatteso del macchinario potrebbe causare un contatto con l'operatore, data la sua postura vulnerabile e la potenziale assenza di DPI.", "near_miss_or_incident_scenario": "Schiacciamento o impatto dell'operatore da parte di un macchinario che si attiva inaspettatamente o muove una sua parte, mentre l'operatore si trova in una postura accovacciata e vulnerabile in prossimità di punti pericolosi.", "contributing_factors": ["Postura vulnerabile dell'operatore (accovacciato)", "Prossimità a punti di schiacciamento/parti pericolose del macchinario", "Potenziale assenza o non visibilità di DPI essenziali", "Macchinari industriali con organi in movimento (anche se inattivi)"]}</t>
        </is>
      </c>
      <c r="G18" t="n">
        <v>65</v>
      </c>
      <c r="H18" t="inlineStr">
        <is>
          <t>Il punteggio riflette la postura vulnerabile dell'operatore in prossimità di macchinari pesanti e la potenziale assenza di DPI. Un'attivazione inattesa del macchinario potrebbe causare un grave incidente.</t>
        </is>
      </c>
      <c r="I18" t="n">
        <v>88.84999999999999</v>
      </c>
      <c r="J18" t="inlineStr">
        <is>
          <t>rosso</t>
        </is>
      </c>
      <c r="K18" t="n">
        <v>11.84</v>
      </c>
      <c r="L18" t="n">
        <v>22.57</v>
      </c>
      <c r="M18" t="inlineStr">
        <is>
          <t>verde</t>
        </is>
      </c>
      <c r="N18" t="n">
        <v>0.7</v>
      </c>
      <c r="O18" t="inlineStr">
        <is>
          <t>La scena mostra macchinari industriali in apparente stato di inattività. Un operatore è accovacciato in prossimità di un macchinario, il che rappresenta una postura vulnerabile in un ambiente industriale. La visibilità dei DPI essenziali (casco, guanti, occhiali) per questo operatore è limitata, sollevando dubbi sulla piena conformità. Non sono stati osservati movimenti di mezzi mobili o instabilità di carichi.</t>
        </is>
      </c>
      <c r="P18" t="n">
        <v>0</v>
      </c>
      <c r="Q18" t="n">
        <v>0.0067</v>
      </c>
      <c r="R18" t="n">
        <v>0.237</v>
      </c>
      <c r="S18" t="n">
        <v>0.1588</v>
      </c>
      <c r="T18" t="n">
        <v>1.34</v>
      </c>
      <c r="U18" t="n">
        <v>0.25</v>
      </c>
      <c r="V18" t="n">
        <v>0.25</v>
      </c>
      <c r="W18" t="n">
        <v>0.066</v>
      </c>
      <c r="X18" t="n">
        <v>1.65</v>
      </c>
      <c r="Y18" t="n">
        <v>13.94</v>
      </c>
      <c r="Z18" t="n">
        <v>0</v>
      </c>
      <c r="AA18" t="n">
        <v>0.0067</v>
      </c>
      <c r="AB18" t="n">
        <v>0.144</v>
      </c>
      <c r="AC18" t="n">
        <v>0.0965</v>
      </c>
      <c r="AD18" t="n">
        <v>0.82</v>
      </c>
      <c r="AE18" t="n">
        <v>0.25</v>
      </c>
      <c r="AF18" t="n">
        <v>0.0832</v>
      </c>
      <c r="AG18" t="n">
        <v>0.38</v>
      </c>
      <c r="AH18" t="n">
        <v>3.1616</v>
      </c>
      <c r="AI18" t="n">
        <v>26.7</v>
      </c>
      <c r="AJ18" t="n">
        <v>0.5</v>
      </c>
      <c r="AK18" t="n">
        <v>0.25</v>
      </c>
      <c r="AL18" t="n">
        <v>0.044</v>
      </c>
      <c r="AM18" t="n">
        <v>1.1</v>
      </c>
      <c r="AN18" t="n">
        <v>9.289999999999999</v>
      </c>
      <c r="AO18" t="n">
        <v>0.25</v>
      </c>
      <c r="AP18" t="n">
        <v>0.4231</v>
      </c>
      <c r="AQ18" t="n">
        <v>0.101</v>
      </c>
      <c r="AR18" t="n">
        <v>4.2733</v>
      </c>
      <c r="AS18" t="n">
        <v>36.09</v>
      </c>
      <c r="AT18" t="n">
        <v>0.5</v>
      </c>
      <c r="AU18" t="n">
        <v>0.5</v>
      </c>
      <c r="AV18" t="n">
        <v>0.028</v>
      </c>
      <c r="AW18" t="n">
        <v>1.4</v>
      </c>
      <c r="AX18" t="n">
        <v>11.82</v>
      </c>
    </row>
    <row r="19">
      <c r="A19" t="n">
        <v>17</v>
      </c>
      <c r="B19" t="n">
        <v>34</v>
      </c>
      <c r="C19" t="n">
        <v>35.9</v>
      </c>
      <c r="D19" t="inlineStr">
        <is>
          <t>{"scene_state": "La scena mostra un'ampia area di un capannone industriale o di una fabbrica, con macchinari pesanti disposti su un pavimento pulito e marcato.", "environmental_conditions": ["Ambiente interno ben illuminato", "Pavimento pulito con segnaletica orizzontale gialla e verde"], "actors": [{"type": "persona", "count": 2, "location": "nel fondo della scena, vicino a una parete", "description": "Due individui, probabilmente lavoratori, vestiti con abiti da lavoro scuri."}], "objects": [{"type": "bobine di metallo", "count": 2, "location": "sul pavimento, al centro-destra della scena", "description": "Due grandi bobine di materiale metallico arrotolato."}, {"type": "piattaforma/scala", "count": 1, "location": "vicino alle bobine, al centro della scena", "description": "Una piccola piattaforma o scala di colore arancione."}, {"type": "pallet/strutture metalliche", "count": 2, "location": "sul pavimento, a destra, vicino alla parete", "description": "Due strutture simili a pallet o telai metallici."}, {"type": "cavi e tubi", "count": "numerosi", "location": "sul pavimento e intorno ai macchinari", "description": "Vari cavi e tubi sono visibili sul pavimento e collegati alle macchine."}, {"type": "segnaletica", "count": "numerosa", "location": "sulle macchine e sulle pareti", "description": "Cartelli di pericolo ('DANGER') sulle macchine e un cartello ('MANUEL DEPO') sulla parete di fondo."}], "machines": [{"type": "presse industriali", "count": "diverse", "location": "disposte lungo la scena, principalmente a sinistra e al centro", "description": "Grandi macchinari industriali, prevalentemente di colore blu e grigio/bianco, che sembrano essere presse o macchine per stampaggio."}, {"type": "attrezzature di supporto", "count": "diverse", "location": "vicino ai macchinari e in primo piano", "description": "Pannelli di controllo, sistemi di alimentazione materiale e telecamere su treppiedi."}], "observable_actions": [{"actor": "due individui", "action": "camminano", "location": "nel fondo della scena", "description": "I due individui camminano da sinistra a destra (rispetto alla loro posizione) lungo il corridoio di fondo."}, {"actor": "macchinari", "action": "inattivi", "location": "tutta la scena", "description": "I macchinari non mostrano segni di attività operativa durante la clip."}], "notes_visibility_limitations": "La visuale è dall'alto. I dettagli dei volti degli individui nel fondo non sono distinguibili a causa della distanza e della risoluzione. Alcune aree del pavimento e dietro i macchinari sono parzialmente oscurate."}</t>
        </is>
      </c>
      <c r="E19" t="inlineStr">
        <is>
          <t>{"unsafe_behaviors": [], "vulnerable_elements": [], "risk_cues": {"R1_pedestrian_vehicle_interference": 0.0, "R2_pedestrian_segregation_violation": 0.0, "R3_load_storage_instability": 0.0, "R4_crush_points_dangerous_parts_exposure": 0.0, "R5_unsafe_operational_proximity": 0.0, "R6_unsafe_behavior_posture_manoeuvre": 0.0, "R7_essential_ppe_non_compliance": 0.25}, "cue_confidence": 0.8, "diagnostic_notes": "La scena mostra un ambiente industriale con macchinari inattivi. I due individui sono nel fondo della scena, camminano in un'area che sembra essere un corridoio designato, lontano dalle macchine e dai carichi. Non sono presenti mezzi mobili. La visibilità dei DPI essenziali (es. scarpe antinfortunistiche, protezione occhi/udito) sugli individui è limitata a causa della distanza e della risoluzione, generando un debole dubbio sulla loro conformità completa in un ambiente industriale."}</t>
        </is>
      </c>
      <c r="F19" t="inlineStr">
        <is>
          <t>{"causal_chain_plausible": false, "causal_chain_text": "", "near_miss_or_incident_scenario": "", "contributing_factors": []}</t>
        </is>
      </c>
      <c r="G19" t="n">
        <v>5</v>
      </c>
      <c r="H19" t="inlineStr">
        <is>
          <t>Il rischio è molto basso poiché i macchinari sono inattivi e gli individui si trovano in un'area designata, lontana da pericoli immediati. L'unico rischio rilevato è un debole dubbio sulla conformità dei DPI, non confermato a causa della limitata visibilità.</t>
        </is>
      </c>
      <c r="I19" t="n">
        <v>55.31</v>
      </c>
      <c r="J19" t="inlineStr">
        <is>
          <t>arancione</t>
        </is>
      </c>
      <c r="K19" t="n">
        <v>0.43</v>
      </c>
      <c r="L19" t="n">
        <v>13.71</v>
      </c>
      <c r="M19" t="inlineStr">
        <is>
          <t>verde</t>
        </is>
      </c>
      <c r="N19" t="n">
        <v>0.8</v>
      </c>
      <c r="O19" t="inlineStr">
        <is>
          <t>La scena mostra un ambiente industriale con macchinari inattivi. I due individui sono nel fondo della scena, camminano in un'area che sembra essere un corridoio designato, lontano dalle macchine e dai carichi. Non sono presenti mezzi mobili. La visibilità dei DPI essenziali (es. scarpe antinfortunistiche, protezione occhi/udito) sugli individui è limitata a causa della distanza e della risoluzione, generando un debole dubbio sulla loro conformità completa in un ambiente industriale.</t>
        </is>
      </c>
      <c r="P19" t="n">
        <v>0</v>
      </c>
      <c r="Q19" t="n">
        <v>0.0067</v>
      </c>
      <c r="R19" t="n">
        <v>0.237</v>
      </c>
      <c r="S19" t="n">
        <v>0.1588</v>
      </c>
      <c r="T19" t="n">
        <v>36.93</v>
      </c>
      <c r="U19" t="n">
        <v>0</v>
      </c>
      <c r="V19" t="n">
        <v>0</v>
      </c>
      <c r="W19" t="n">
        <v>0.066</v>
      </c>
      <c r="X19" t="n">
        <v>0</v>
      </c>
      <c r="Y19" t="n">
        <v>0</v>
      </c>
      <c r="Z19" t="n">
        <v>0</v>
      </c>
      <c r="AA19" t="n">
        <v>0.0067</v>
      </c>
      <c r="AB19" t="n">
        <v>0.144</v>
      </c>
      <c r="AC19" t="n">
        <v>0.0965</v>
      </c>
      <c r="AD19" t="n">
        <v>22.44</v>
      </c>
      <c r="AE19" t="n">
        <v>0</v>
      </c>
      <c r="AF19" t="n">
        <v>0.0045</v>
      </c>
      <c r="AG19" t="n">
        <v>0.38</v>
      </c>
      <c r="AH19" t="n">
        <v>0.171</v>
      </c>
      <c r="AI19" t="n">
        <v>39.77</v>
      </c>
      <c r="AJ19" t="n">
        <v>0</v>
      </c>
      <c r="AK19" t="n">
        <v>0</v>
      </c>
      <c r="AL19" t="n">
        <v>0.044</v>
      </c>
      <c r="AM19" t="n">
        <v>0</v>
      </c>
      <c r="AN19" t="n">
        <v>0</v>
      </c>
      <c r="AO19" t="n">
        <v>0</v>
      </c>
      <c r="AP19" t="n">
        <v>0</v>
      </c>
      <c r="AQ19" t="n">
        <v>0.101</v>
      </c>
      <c r="AR19" t="n">
        <v>0</v>
      </c>
      <c r="AS19" t="n">
        <v>0</v>
      </c>
      <c r="AT19" t="n">
        <v>0.25</v>
      </c>
      <c r="AU19" t="n">
        <v>0</v>
      </c>
      <c r="AV19" t="n">
        <v>0.028</v>
      </c>
      <c r="AW19" t="n">
        <v>0</v>
      </c>
      <c r="AX19"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12" customWidth="1" min="1" max="1"/>
    <col width="14" customWidth="1" min="2" max="2"/>
    <col width="12" customWidth="1" min="3" max="3"/>
    <col width="25" customWidth="1" min="4" max="4"/>
    <col width="24" customWidth="1" min="5" max="5"/>
  </cols>
  <sheetData>
    <row r="1">
      <c r="A1" s="1" t="inlineStr">
        <is>
          <t>window_id</t>
        </is>
      </c>
      <c r="B1" s="1" t="inlineStr">
        <is>
          <t>start_time_s</t>
        </is>
      </c>
      <c r="C1" s="1" t="inlineStr">
        <is>
          <t>end_time_s</t>
        </is>
      </c>
      <c r="D1" s="1" t="inlineStr">
        <is>
          <t>traffic_light_color_vlm</t>
        </is>
      </c>
      <c r="E1" s="1" t="inlineStr">
        <is>
          <t>dynamic_risk_score_vlm</t>
        </is>
      </c>
    </row>
    <row r="2">
      <c r="A2" s="2" t="n">
        <v>0</v>
      </c>
      <c r="B2" s="2" t="n">
        <v>0</v>
      </c>
      <c r="C2" s="2" t="n">
        <v>4</v>
      </c>
      <c r="D2" s="3" t="inlineStr">
        <is>
          <t>giallo</t>
        </is>
      </c>
      <c r="E2" s="2" t="n">
        <v>32.2</v>
      </c>
    </row>
    <row r="3">
      <c r="A3" s="4" t="n">
        <v>1</v>
      </c>
      <c r="B3" s="4" t="n">
        <v>2</v>
      </c>
      <c r="C3" s="4" t="n">
        <v>6</v>
      </c>
      <c r="D3" s="5" t="inlineStr">
        <is>
          <t>verde</t>
        </is>
      </c>
      <c r="E3" s="4" t="n">
        <v>23.32</v>
      </c>
    </row>
    <row r="4">
      <c r="A4" s="2" t="n">
        <v>2</v>
      </c>
      <c r="B4" s="2" t="n">
        <v>4</v>
      </c>
      <c r="C4" s="2" t="n">
        <v>8</v>
      </c>
      <c r="D4" s="3" t="inlineStr">
        <is>
          <t>giallo</t>
        </is>
      </c>
      <c r="E4" s="2" t="n">
        <v>47.99</v>
      </c>
    </row>
    <row r="5">
      <c r="A5" s="6" t="n">
        <v>3</v>
      </c>
      <c r="B5" s="6" t="n">
        <v>6</v>
      </c>
      <c r="C5" s="6" t="n">
        <v>10</v>
      </c>
      <c r="D5" s="7" t="inlineStr">
        <is>
          <t>arancione</t>
        </is>
      </c>
      <c r="E5" s="6" t="n">
        <v>66.79000000000001</v>
      </c>
    </row>
    <row r="6">
      <c r="A6" s="6" t="n">
        <v>4</v>
      </c>
      <c r="B6" s="6" t="n">
        <v>8</v>
      </c>
      <c r="C6" s="6" t="n">
        <v>12</v>
      </c>
      <c r="D6" s="7" t="inlineStr">
        <is>
          <t>arancione</t>
        </is>
      </c>
      <c r="E6" s="6" t="n">
        <v>62.07</v>
      </c>
    </row>
    <row r="7">
      <c r="A7" s="6" t="n">
        <v>5</v>
      </c>
      <c r="B7" s="6" t="n">
        <v>10</v>
      </c>
      <c r="C7" s="6" t="n">
        <v>14</v>
      </c>
      <c r="D7" s="7" t="inlineStr">
        <is>
          <t>arancione</t>
        </is>
      </c>
      <c r="E7" s="6" t="n">
        <v>59.24</v>
      </c>
    </row>
    <row r="8">
      <c r="A8" s="6" t="n">
        <v>6</v>
      </c>
      <c r="B8" s="6" t="n">
        <v>12</v>
      </c>
      <c r="C8" s="6" t="n">
        <v>16</v>
      </c>
      <c r="D8" s="7" t="inlineStr">
        <is>
          <t>arancione</t>
        </is>
      </c>
      <c r="E8" s="6" t="n">
        <v>49.54</v>
      </c>
    </row>
    <row r="9">
      <c r="A9" s="2" t="n">
        <v>7</v>
      </c>
      <c r="B9" s="2" t="n">
        <v>14</v>
      </c>
      <c r="C9" s="2" t="n">
        <v>18</v>
      </c>
      <c r="D9" s="3" t="inlineStr">
        <is>
          <t>giallo</t>
        </is>
      </c>
      <c r="E9" s="2" t="n">
        <v>33.72</v>
      </c>
    </row>
    <row r="10">
      <c r="A10" s="8" t="n">
        <v>8</v>
      </c>
      <c r="B10" s="8" t="n">
        <v>16</v>
      </c>
      <c r="C10" s="8" t="n">
        <v>20</v>
      </c>
      <c r="D10" s="9" t="inlineStr">
        <is>
          <t>rosso</t>
        </is>
      </c>
      <c r="E10" s="8" t="n">
        <v>100</v>
      </c>
    </row>
    <row r="11">
      <c r="A11" s="6" t="n">
        <v>9</v>
      </c>
      <c r="B11" s="6" t="n">
        <v>18</v>
      </c>
      <c r="C11" s="6" t="n">
        <v>22</v>
      </c>
      <c r="D11" s="7" t="inlineStr">
        <is>
          <t>arancione</t>
        </is>
      </c>
      <c r="E11" s="6" t="n">
        <v>63.2</v>
      </c>
    </row>
    <row r="12">
      <c r="A12" s="6" t="n">
        <v>10</v>
      </c>
      <c r="B12" s="6" t="n">
        <v>20</v>
      </c>
      <c r="C12" s="6" t="n">
        <v>24</v>
      </c>
      <c r="D12" s="7" t="inlineStr">
        <is>
          <t>arancione</t>
        </is>
      </c>
      <c r="E12" s="6" t="n">
        <v>67.52</v>
      </c>
    </row>
    <row r="13">
      <c r="A13" s="2" t="n">
        <v>11</v>
      </c>
      <c r="B13" s="2" t="n">
        <v>22</v>
      </c>
      <c r="C13" s="2" t="n">
        <v>26</v>
      </c>
      <c r="D13" s="3" t="inlineStr">
        <is>
          <t>giallo</t>
        </is>
      </c>
      <c r="E13" s="2" t="n">
        <v>42.51</v>
      </c>
    </row>
    <row r="14">
      <c r="A14" s="2" t="n">
        <v>12</v>
      </c>
      <c r="B14" s="2" t="n">
        <v>24</v>
      </c>
      <c r="C14" s="2" t="n">
        <v>28</v>
      </c>
      <c r="D14" s="3" t="inlineStr">
        <is>
          <t>giallo</t>
        </is>
      </c>
      <c r="E14" s="2" t="n">
        <v>31.11</v>
      </c>
    </row>
    <row r="15">
      <c r="A15" s="8" t="n">
        <v>13</v>
      </c>
      <c r="B15" s="8" t="n">
        <v>26</v>
      </c>
      <c r="C15" s="8" t="n">
        <v>30</v>
      </c>
      <c r="D15" s="9" t="inlineStr">
        <is>
          <t>rosso</t>
        </is>
      </c>
      <c r="E15" s="8" t="n">
        <v>100</v>
      </c>
    </row>
    <row r="16">
      <c r="A16" s="8" t="n">
        <v>14</v>
      </c>
      <c r="B16" s="8" t="n">
        <v>28</v>
      </c>
      <c r="C16" s="8" t="n">
        <v>32</v>
      </c>
      <c r="D16" s="9" t="inlineStr">
        <is>
          <t>rosso</t>
        </is>
      </c>
      <c r="E16" s="8" t="n">
        <v>76.8</v>
      </c>
    </row>
    <row r="17">
      <c r="A17" s="6" t="n">
        <v>15</v>
      </c>
      <c r="B17" s="6" t="n">
        <v>30</v>
      </c>
      <c r="C17" s="6" t="n">
        <v>34</v>
      </c>
      <c r="D17" s="7" t="inlineStr">
        <is>
          <t>arancione</t>
        </is>
      </c>
      <c r="E17" s="6" t="n">
        <v>58.08</v>
      </c>
    </row>
    <row r="18">
      <c r="A18" s="8" t="n">
        <v>16</v>
      </c>
      <c r="B18" s="8" t="n">
        <v>32</v>
      </c>
      <c r="C18" s="8" t="n">
        <v>35.9</v>
      </c>
      <c r="D18" s="9" t="inlineStr">
        <is>
          <t>rosso</t>
        </is>
      </c>
      <c r="E18" s="8" t="n">
        <v>88.84999999999999</v>
      </c>
    </row>
    <row r="19">
      <c r="A19" s="6" t="n">
        <v>17</v>
      </c>
      <c r="B19" s="6" t="n">
        <v>34</v>
      </c>
      <c r="C19" s="6" t="n">
        <v>35.9</v>
      </c>
      <c r="D19" s="7" t="inlineStr">
        <is>
          <t>arancione</t>
        </is>
      </c>
      <c r="E19" s="6" t="n">
        <v>55.31</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12" customWidth="1" min="1" max="1"/>
    <col width="14" customWidth="1" min="2" max="2"/>
    <col width="12" customWidth="1" min="3" max="3"/>
    <col width="25" customWidth="1" min="4" max="4"/>
    <col width="24" customWidth="1" min="5" max="5"/>
  </cols>
  <sheetData>
    <row r="1">
      <c r="A1" s="1" t="inlineStr">
        <is>
          <t>window_id</t>
        </is>
      </c>
      <c r="B1" s="1" t="inlineStr">
        <is>
          <t>start_time_s</t>
        </is>
      </c>
      <c r="C1" s="1" t="inlineStr">
        <is>
          <t>end_time_s</t>
        </is>
      </c>
      <c r="D1" s="1" t="inlineStr">
        <is>
          <t>traffic_light_color_ahp</t>
        </is>
      </c>
      <c r="E1" s="1" t="inlineStr">
        <is>
          <t>dynamic_risk_score_ahp</t>
        </is>
      </c>
    </row>
    <row r="2">
      <c r="A2" s="4" t="n">
        <v>0</v>
      </c>
      <c r="B2" s="4" t="n">
        <v>0</v>
      </c>
      <c r="C2" s="4" t="n">
        <v>4</v>
      </c>
      <c r="D2" s="5" t="inlineStr">
        <is>
          <t>verde</t>
        </is>
      </c>
      <c r="E2" s="4" t="n">
        <v>1.57</v>
      </c>
    </row>
    <row r="3">
      <c r="A3" s="4" t="n">
        <v>1</v>
      </c>
      <c r="B3" s="4" t="n">
        <v>2</v>
      </c>
      <c r="C3" s="4" t="n">
        <v>6</v>
      </c>
      <c r="D3" s="5" t="inlineStr">
        <is>
          <t>verde</t>
        </is>
      </c>
      <c r="E3" s="4" t="n">
        <v>1.11</v>
      </c>
    </row>
    <row r="4">
      <c r="A4" s="4" t="n">
        <v>2</v>
      </c>
      <c r="B4" s="4" t="n">
        <v>4</v>
      </c>
      <c r="C4" s="4" t="n">
        <v>8</v>
      </c>
      <c r="D4" s="5" t="inlineStr">
        <is>
          <t>verde</t>
        </is>
      </c>
      <c r="E4" s="4" t="n">
        <v>0.84</v>
      </c>
    </row>
    <row r="5">
      <c r="A5" s="4" t="n">
        <v>3</v>
      </c>
      <c r="B5" s="4" t="n">
        <v>6</v>
      </c>
      <c r="C5" s="4" t="n">
        <v>10</v>
      </c>
      <c r="D5" s="5" t="inlineStr">
        <is>
          <t>verde</t>
        </is>
      </c>
      <c r="E5" s="4" t="n">
        <v>2.36</v>
      </c>
    </row>
    <row r="6">
      <c r="A6" s="4" t="n">
        <v>4</v>
      </c>
      <c r="B6" s="4" t="n">
        <v>8</v>
      </c>
      <c r="C6" s="4" t="n">
        <v>12</v>
      </c>
      <c r="D6" s="5" t="inlineStr">
        <is>
          <t>verde</t>
        </is>
      </c>
      <c r="E6" s="4" t="n">
        <v>2.15</v>
      </c>
    </row>
    <row r="7">
      <c r="A7" s="4" t="n">
        <v>5</v>
      </c>
      <c r="B7" s="4" t="n">
        <v>10</v>
      </c>
      <c r="C7" s="4" t="n">
        <v>14</v>
      </c>
      <c r="D7" s="5" t="inlineStr">
        <is>
          <t>verde</t>
        </is>
      </c>
      <c r="E7" s="4" t="n">
        <v>2.65</v>
      </c>
    </row>
    <row r="8">
      <c r="A8" s="4" t="n">
        <v>6</v>
      </c>
      <c r="B8" s="4" t="n">
        <v>12</v>
      </c>
      <c r="C8" s="4" t="n">
        <v>16</v>
      </c>
      <c r="D8" s="5" t="inlineStr">
        <is>
          <t>verde</t>
        </is>
      </c>
      <c r="E8" s="4" t="n">
        <v>1.76</v>
      </c>
    </row>
    <row r="9">
      <c r="A9" s="4" t="n">
        <v>7</v>
      </c>
      <c r="B9" s="4" t="n">
        <v>14</v>
      </c>
      <c r="C9" s="4" t="n">
        <v>18</v>
      </c>
      <c r="D9" s="5" t="inlineStr">
        <is>
          <t>verde</t>
        </is>
      </c>
      <c r="E9" s="4" t="n">
        <v>1.23</v>
      </c>
    </row>
    <row r="10">
      <c r="A10" s="4" t="n">
        <v>8</v>
      </c>
      <c r="B10" s="4" t="n">
        <v>16</v>
      </c>
      <c r="C10" s="4" t="n">
        <v>20</v>
      </c>
      <c r="D10" s="5" t="inlineStr">
        <is>
          <t>verde</t>
        </is>
      </c>
      <c r="E10" s="4" t="n">
        <v>2.91</v>
      </c>
    </row>
    <row r="11">
      <c r="A11" s="4" t="n">
        <v>9</v>
      </c>
      <c r="B11" s="4" t="n">
        <v>18</v>
      </c>
      <c r="C11" s="4" t="n">
        <v>22</v>
      </c>
      <c r="D11" s="5" t="inlineStr">
        <is>
          <t>verde</t>
        </is>
      </c>
      <c r="E11" s="4" t="n">
        <v>1.92</v>
      </c>
    </row>
    <row r="12">
      <c r="A12" s="4" t="n">
        <v>10</v>
      </c>
      <c r="B12" s="4" t="n">
        <v>20</v>
      </c>
      <c r="C12" s="4" t="n">
        <v>24</v>
      </c>
      <c r="D12" s="5" t="inlineStr">
        <is>
          <t>verde</t>
        </is>
      </c>
      <c r="E12" s="4" t="n">
        <v>3.3</v>
      </c>
    </row>
    <row r="13">
      <c r="A13" s="4" t="n">
        <v>11</v>
      </c>
      <c r="B13" s="4" t="n">
        <v>22</v>
      </c>
      <c r="C13" s="4" t="n">
        <v>26</v>
      </c>
      <c r="D13" s="5" t="inlineStr">
        <is>
          <t>verde</t>
        </is>
      </c>
      <c r="E13" s="4" t="n">
        <v>2.15</v>
      </c>
    </row>
    <row r="14">
      <c r="A14" s="4" t="n">
        <v>12</v>
      </c>
      <c r="B14" s="4" t="n">
        <v>24</v>
      </c>
      <c r="C14" s="4" t="n">
        <v>28</v>
      </c>
      <c r="D14" s="5" t="inlineStr">
        <is>
          <t>verde</t>
        </is>
      </c>
      <c r="E14" s="4" t="n">
        <v>1.46</v>
      </c>
    </row>
    <row r="15">
      <c r="A15" s="2" t="n">
        <v>13</v>
      </c>
      <c r="B15" s="2" t="n">
        <v>26</v>
      </c>
      <c r="C15" s="2" t="n">
        <v>30</v>
      </c>
      <c r="D15" s="3" t="inlineStr">
        <is>
          <t>giallo</t>
        </is>
      </c>
      <c r="E15" s="2" t="n">
        <v>43.64</v>
      </c>
    </row>
    <row r="16">
      <c r="A16" s="2" t="n">
        <v>14</v>
      </c>
      <c r="B16" s="2" t="n">
        <v>28</v>
      </c>
      <c r="C16" s="2" t="n">
        <v>32</v>
      </c>
      <c r="D16" s="3" t="inlineStr">
        <is>
          <t>giallo</t>
        </is>
      </c>
      <c r="E16" s="2" t="n">
        <v>27.02</v>
      </c>
    </row>
    <row r="17">
      <c r="A17" s="4" t="n">
        <v>15</v>
      </c>
      <c r="B17" s="4" t="n">
        <v>30</v>
      </c>
      <c r="C17" s="4" t="n">
        <v>34</v>
      </c>
      <c r="D17" s="5" t="inlineStr">
        <is>
          <t>verde</t>
        </is>
      </c>
      <c r="E17" s="4" t="n">
        <v>19.97</v>
      </c>
    </row>
    <row r="18">
      <c r="A18" s="4" t="n">
        <v>16</v>
      </c>
      <c r="B18" s="4" t="n">
        <v>32</v>
      </c>
      <c r="C18" s="4" t="n">
        <v>35.9</v>
      </c>
      <c r="D18" s="5" t="inlineStr">
        <is>
          <t>verde</t>
        </is>
      </c>
      <c r="E18" s="4" t="n">
        <v>22.57</v>
      </c>
    </row>
    <row r="19">
      <c r="A19" s="4" t="n">
        <v>17</v>
      </c>
      <c r="B19" s="4" t="n">
        <v>34</v>
      </c>
      <c r="C19" s="4" t="n">
        <v>35.9</v>
      </c>
      <c r="D19" s="5" t="inlineStr">
        <is>
          <t>verde</t>
        </is>
      </c>
      <c r="E19" s="4" t="n">
        <v>13.71</v>
      </c>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L19"/>
  <sheetViews>
    <sheetView workbookViewId="0">
      <selection activeCell="A1" sqref="A1"/>
    </sheetView>
  </sheetViews>
  <sheetFormatPr baseColWidth="8" defaultRowHeight="15"/>
  <cols>
    <col width="12" customWidth="1" min="1" max="1"/>
    <col width="14" customWidth="1" min="2" max="2"/>
    <col width="12" customWidth="1" min="3" max="3"/>
    <col width="30" customWidth="1" min="4" max="4"/>
    <col width="24" customWidth="1" min="5" max="5"/>
    <col width="25" customWidth="1" min="6" max="6"/>
    <col width="30" customWidth="1" min="7" max="7"/>
    <col width="24" customWidth="1" min="8" max="8"/>
    <col width="25" customWidth="1" min="9" max="9"/>
    <col width="30" customWidth="1" min="10" max="10"/>
    <col width="24" customWidth="1" min="11" max="11"/>
    <col width="25" customWidth="1" min="12" max="12"/>
  </cols>
  <sheetData>
    <row r="1">
      <c r="A1" s="1" t="inlineStr">
        <is>
          <t>window_id</t>
        </is>
      </c>
      <c r="B1" s="1" t="inlineStr">
        <is>
          <t>start_time_s</t>
        </is>
      </c>
      <c r="C1" s="1" t="inlineStr">
        <is>
          <t>end_time_s</t>
        </is>
      </c>
      <c r="D1" s="1" t="inlineStr">
        <is>
          <t>instantaneous_risk_score_vlm</t>
        </is>
      </c>
      <c r="E1" s="1" t="inlineStr">
        <is>
          <t>dynamic_risk_score_vlm</t>
        </is>
      </c>
      <c r="F1" s="1" t="inlineStr">
        <is>
          <t>traffic_light_color_vlm</t>
        </is>
      </c>
      <c r="G1" s="1" t="inlineStr">
        <is>
          <t>instantaneous_risk_score_ahp</t>
        </is>
      </c>
      <c r="H1" s="1" t="inlineStr">
        <is>
          <t>dynamic_risk_score_ahp</t>
        </is>
      </c>
      <c r="I1" s="1" t="inlineStr">
        <is>
          <t>traffic_light_color_ahp</t>
        </is>
      </c>
      <c r="J1" s="1" t="inlineStr">
        <is>
          <t>instantaneous_score_abs_diff</t>
        </is>
      </c>
      <c r="K1" s="1" t="inlineStr">
        <is>
          <t>dynamic_score_abs_diff</t>
        </is>
      </c>
      <c r="L1" s="1" t="inlineStr">
        <is>
          <t>traffic_light_agreement</t>
        </is>
      </c>
    </row>
    <row r="2">
      <c r="A2" s="10" t="n">
        <v>0</v>
      </c>
      <c r="B2" s="10" t="n">
        <v>0</v>
      </c>
      <c r="C2" s="10" t="n">
        <v>4</v>
      </c>
      <c r="D2" s="10" t="n">
        <v>10</v>
      </c>
      <c r="E2" s="10" t="n">
        <v>32.2</v>
      </c>
      <c r="F2" s="10" t="inlineStr">
        <is>
          <t>giallo</t>
        </is>
      </c>
      <c r="G2" s="10" t="n">
        <v>0.43</v>
      </c>
      <c r="H2" s="10" t="n">
        <v>1.57</v>
      </c>
      <c r="I2" s="10" t="inlineStr">
        <is>
          <t>verde</t>
        </is>
      </c>
      <c r="J2" s="10" t="n">
        <v>9.57</v>
      </c>
      <c r="K2" s="10" t="n">
        <v>30.63</v>
      </c>
      <c r="L2" s="10" t="inlineStr">
        <is>
          <t>disaccordo</t>
        </is>
      </c>
    </row>
    <row r="3">
      <c r="A3" s="11" t="n">
        <v>1</v>
      </c>
      <c r="B3" s="11" t="n">
        <v>2</v>
      </c>
      <c r="C3" s="11" t="n">
        <v>6</v>
      </c>
      <c r="D3" s="11" t="n">
        <v>10</v>
      </c>
      <c r="E3" s="11" t="n">
        <v>23.32</v>
      </c>
      <c r="F3" s="11" t="inlineStr">
        <is>
          <t>verde</t>
        </is>
      </c>
      <c r="G3" s="11" t="n">
        <v>0.43</v>
      </c>
      <c r="H3" s="11" t="n">
        <v>1.11</v>
      </c>
      <c r="I3" s="11" t="inlineStr">
        <is>
          <t>verde</t>
        </is>
      </c>
      <c r="J3" s="11" t="n">
        <v>9.57</v>
      </c>
      <c r="K3" s="11" t="n">
        <v>22.21</v>
      </c>
      <c r="L3" s="11" t="inlineStr">
        <is>
          <t>accordo</t>
        </is>
      </c>
    </row>
    <row r="4">
      <c r="A4" s="10" t="n">
        <v>2</v>
      </c>
      <c r="B4" s="10" t="n">
        <v>4</v>
      </c>
      <c r="C4" s="10" t="n">
        <v>8</v>
      </c>
      <c r="D4" s="10" t="n">
        <v>35</v>
      </c>
      <c r="E4" s="10" t="n">
        <v>47.99</v>
      </c>
      <c r="F4" s="10" t="inlineStr">
        <is>
          <t>giallo</t>
        </is>
      </c>
      <c r="G4" s="10" t="n">
        <v>0.43</v>
      </c>
      <c r="H4" s="10" t="n">
        <v>0.84</v>
      </c>
      <c r="I4" s="10" t="inlineStr">
        <is>
          <t>verde</t>
        </is>
      </c>
      <c r="J4" s="10" t="n">
        <v>34.57</v>
      </c>
      <c r="K4" s="10" t="n">
        <v>47.15</v>
      </c>
      <c r="L4" s="10" t="inlineStr">
        <is>
          <t>disaccordo</t>
        </is>
      </c>
    </row>
    <row r="5">
      <c r="A5" s="10" t="n">
        <v>3</v>
      </c>
      <c r="B5" s="10" t="n">
        <v>6</v>
      </c>
      <c r="C5" s="10" t="n">
        <v>10</v>
      </c>
      <c r="D5" s="10" t="n">
        <v>55</v>
      </c>
      <c r="E5" s="10" t="n">
        <v>66.79000000000001</v>
      </c>
      <c r="F5" s="10" t="inlineStr">
        <is>
          <t>arancione</t>
        </is>
      </c>
      <c r="G5" s="10" t="n">
        <v>1.83</v>
      </c>
      <c r="H5" s="10" t="n">
        <v>2.36</v>
      </c>
      <c r="I5" s="10" t="inlineStr">
        <is>
          <t>verde</t>
        </is>
      </c>
      <c r="J5" s="10" t="n">
        <v>53.17</v>
      </c>
      <c r="K5" s="10" t="n">
        <v>64.43000000000001</v>
      </c>
      <c r="L5" s="10" t="inlineStr">
        <is>
          <t>disaccordo</t>
        </is>
      </c>
    </row>
    <row r="6">
      <c r="A6" s="10" t="n">
        <v>4</v>
      </c>
      <c r="B6" s="10" t="n">
        <v>8</v>
      </c>
      <c r="C6" s="10" t="n">
        <v>12</v>
      </c>
      <c r="D6" s="10" t="n">
        <v>55</v>
      </c>
      <c r="E6" s="10" t="n">
        <v>62.07</v>
      </c>
      <c r="F6" s="10" t="inlineStr">
        <is>
          <t>arancione</t>
        </is>
      </c>
      <c r="G6" s="10" t="n">
        <v>1.83</v>
      </c>
      <c r="H6" s="10" t="n">
        <v>2.15</v>
      </c>
      <c r="I6" s="10" t="inlineStr">
        <is>
          <t>verde</t>
        </is>
      </c>
      <c r="J6" s="10" t="n">
        <v>53.17</v>
      </c>
      <c r="K6" s="10" t="n">
        <v>59.92</v>
      </c>
      <c r="L6" s="10" t="inlineStr">
        <is>
          <t>disaccordo</t>
        </is>
      </c>
    </row>
    <row r="7">
      <c r="A7" s="10" t="n">
        <v>5</v>
      </c>
      <c r="B7" s="10" t="n">
        <v>10</v>
      </c>
      <c r="C7" s="10" t="n">
        <v>14</v>
      </c>
      <c r="D7" s="10" t="n">
        <v>55</v>
      </c>
      <c r="E7" s="10" t="n">
        <v>59.24</v>
      </c>
      <c r="F7" s="10" t="inlineStr">
        <is>
          <t>arancione</t>
        </is>
      </c>
      <c r="G7" s="10" t="n">
        <v>2.35</v>
      </c>
      <c r="H7" s="10" t="n">
        <v>2.65</v>
      </c>
      <c r="I7" s="10" t="inlineStr">
        <is>
          <t>verde</t>
        </is>
      </c>
      <c r="J7" s="10" t="n">
        <v>52.65</v>
      </c>
      <c r="K7" s="10" t="n">
        <v>56.59</v>
      </c>
      <c r="L7" s="10" t="inlineStr">
        <is>
          <t>disaccordo</t>
        </is>
      </c>
    </row>
    <row r="8">
      <c r="A8" s="10" t="n">
        <v>6</v>
      </c>
      <c r="B8" s="10" t="n">
        <v>12</v>
      </c>
      <c r="C8" s="10" t="n">
        <v>16</v>
      </c>
      <c r="D8" s="10" t="n">
        <v>35</v>
      </c>
      <c r="E8" s="10" t="n">
        <v>49.54</v>
      </c>
      <c r="F8" s="10" t="inlineStr">
        <is>
          <t>arancione</t>
        </is>
      </c>
      <c r="G8" s="10" t="n">
        <v>0.43</v>
      </c>
      <c r="H8" s="10" t="n">
        <v>1.76</v>
      </c>
      <c r="I8" s="10" t="inlineStr">
        <is>
          <t>verde</t>
        </is>
      </c>
      <c r="J8" s="10" t="n">
        <v>34.57</v>
      </c>
      <c r="K8" s="10" t="n">
        <v>47.78</v>
      </c>
      <c r="L8" s="10" t="inlineStr">
        <is>
          <t>disaccordo</t>
        </is>
      </c>
    </row>
    <row r="9">
      <c r="A9" s="10" t="n">
        <v>7</v>
      </c>
      <c r="B9" s="10" t="n">
        <v>14</v>
      </c>
      <c r="C9" s="10" t="n">
        <v>18</v>
      </c>
      <c r="D9" s="10" t="n">
        <v>10</v>
      </c>
      <c r="E9" s="10" t="n">
        <v>33.72</v>
      </c>
      <c r="F9" s="10" t="inlineStr">
        <is>
          <t>giallo</t>
        </is>
      </c>
      <c r="G9" s="10" t="n">
        <v>0.43</v>
      </c>
      <c r="H9" s="10" t="n">
        <v>1.23</v>
      </c>
      <c r="I9" s="10" t="inlineStr">
        <is>
          <t>verde</t>
        </is>
      </c>
      <c r="J9" s="10" t="n">
        <v>9.57</v>
      </c>
      <c r="K9" s="10" t="n">
        <v>32.49</v>
      </c>
      <c r="L9" s="10" t="inlineStr">
        <is>
          <t>disaccordo</t>
        </is>
      </c>
    </row>
    <row r="10">
      <c r="A10" s="10" t="n">
        <v>8</v>
      </c>
      <c r="B10" s="10" t="n">
        <v>16</v>
      </c>
      <c r="C10" s="10" t="n">
        <v>20</v>
      </c>
      <c r="D10" s="10" t="n">
        <v>80</v>
      </c>
      <c r="E10" s="10" t="n">
        <v>100</v>
      </c>
      <c r="F10" s="10" t="inlineStr">
        <is>
          <t>rosso</t>
        </is>
      </c>
      <c r="G10" s="10" t="n">
        <v>2.1</v>
      </c>
      <c r="H10" s="10" t="n">
        <v>2.91</v>
      </c>
      <c r="I10" s="10" t="inlineStr">
        <is>
          <t>verde</t>
        </is>
      </c>
      <c r="J10" s="10" t="n">
        <v>77.90000000000001</v>
      </c>
      <c r="K10" s="10" t="n">
        <v>97.09</v>
      </c>
      <c r="L10" s="10" t="inlineStr">
        <is>
          <t>disaccordo</t>
        </is>
      </c>
    </row>
    <row r="11">
      <c r="A11" s="10" t="n">
        <v>9</v>
      </c>
      <c r="B11" s="10" t="n">
        <v>18</v>
      </c>
      <c r="C11" s="10" t="n">
        <v>22</v>
      </c>
      <c r="D11" s="10" t="n">
        <v>8</v>
      </c>
      <c r="E11" s="10" t="n">
        <v>63.2</v>
      </c>
      <c r="F11" s="10" t="inlineStr">
        <is>
          <t>arancione</t>
        </is>
      </c>
      <c r="G11" s="10" t="n">
        <v>0.43</v>
      </c>
      <c r="H11" s="10" t="n">
        <v>1.92</v>
      </c>
      <c r="I11" s="10" t="inlineStr">
        <is>
          <t>verde</t>
        </is>
      </c>
      <c r="J11" s="10" t="n">
        <v>7.57</v>
      </c>
      <c r="K11" s="10" t="n">
        <v>61.28</v>
      </c>
      <c r="L11" s="10" t="inlineStr">
        <is>
          <t>disaccordo</t>
        </is>
      </c>
    </row>
    <row r="12">
      <c r="A12" s="10" t="n">
        <v>10</v>
      </c>
      <c r="B12" s="10" t="n">
        <v>20</v>
      </c>
      <c r="C12" s="10" t="n">
        <v>24</v>
      </c>
      <c r="D12" s="10" t="n">
        <v>30</v>
      </c>
      <c r="E12" s="10" t="n">
        <v>67.52</v>
      </c>
      <c r="F12" s="10" t="inlineStr">
        <is>
          <t>arancione</t>
        </is>
      </c>
      <c r="G12" s="10" t="n">
        <v>2.08</v>
      </c>
      <c r="H12" s="10" t="n">
        <v>3.3</v>
      </c>
      <c r="I12" s="10" t="inlineStr">
        <is>
          <t>verde</t>
        </is>
      </c>
      <c r="J12" s="10" t="n">
        <v>27.92</v>
      </c>
      <c r="K12" s="10" t="n">
        <v>64.22</v>
      </c>
      <c r="L12" s="10" t="inlineStr">
        <is>
          <t>disaccordo</t>
        </is>
      </c>
    </row>
    <row r="13">
      <c r="A13" s="10" t="n">
        <v>11</v>
      </c>
      <c r="B13" s="10" t="n">
        <v>22</v>
      </c>
      <c r="C13" s="10" t="n">
        <v>26</v>
      </c>
      <c r="D13" s="10" t="n">
        <v>5</v>
      </c>
      <c r="E13" s="10" t="n">
        <v>42.51</v>
      </c>
      <c r="F13" s="10" t="inlineStr">
        <is>
          <t>giallo</t>
        </is>
      </c>
      <c r="G13" s="10" t="n">
        <v>0.43</v>
      </c>
      <c r="H13" s="10" t="n">
        <v>2.15</v>
      </c>
      <c r="I13" s="10" t="inlineStr">
        <is>
          <t>verde</t>
        </is>
      </c>
      <c r="J13" s="10" t="n">
        <v>4.57</v>
      </c>
      <c r="K13" s="10" t="n">
        <v>40.36</v>
      </c>
      <c r="L13" s="10" t="inlineStr">
        <is>
          <t>disaccordo</t>
        </is>
      </c>
    </row>
    <row r="14">
      <c r="A14" s="10" t="n">
        <v>12</v>
      </c>
      <c r="B14" s="10" t="n">
        <v>24</v>
      </c>
      <c r="C14" s="10" t="n">
        <v>28</v>
      </c>
      <c r="D14" s="10" t="n">
        <v>8</v>
      </c>
      <c r="E14" s="10" t="n">
        <v>31.11</v>
      </c>
      <c r="F14" s="10" t="inlineStr">
        <is>
          <t>giallo</t>
        </is>
      </c>
      <c r="G14" s="10" t="n">
        <v>0.43</v>
      </c>
      <c r="H14" s="10" t="n">
        <v>1.46</v>
      </c>
      <c r="I14" s="10" t="inlineStr">
        <is>
          <t>verde</t>
        </is>
      </c>
      <c r="J14" s="10" t="n">
        <v>7.57</v>
      </c>
      <c r="K14" s="10" t="n">
        <v>29.65</v>
      </c>
      <c r="L14" s="10" t="inlineStr">
        <is>
          <t>disaccordo</t>
        </is>
      </c>
    </row>
    <row r="15">
      <c r="A15" s="10" t="n">
        <v>13</v>
      </c>
      <c r="B15" s="10" t="n">
        <v>26</v>
      </c>
      <c r="C15" s="10" t="n">
        <v>30</v>
      </c>
      <c r="D15" s="10" t="n">
        <v>75</v>
      </c>
      <c r="E15" s="10" t="n">
        <v>100</v>
      </c>
      <c r="F15" s="10" t="inlineStr">
        <is>
          <t>rosso</t>
        </is>
      </c>
      <c r="G15" s="10" t="n">
        <v>35.92</v>
      </c>
      <c r="H15" s="10" t="n">
        <v>43.64</v>
      </c>
      <c r="I15" s="10" t="inlineStr">
        <is>
          <t>giallo</t>
        </is>
      </c>
      <c r="J15" s="10" t="n">
        <v>39.08</v>
      </c>
      <c r="K15" s="10" t="n">
        <v>56.36</v>
      </c>
      <c r="L15" s="10" t="inlineStr">
        <is>
          <t>disaccordo</t>
        </is>
      </c>
    </row>
    <row r="16">
      <c r="A16" s="10" t="n">
        <v>14</v>
      </c>
      <c r="B16" s="10" t="n">
        <v>28</v>
      </c>
      <c r="C16" s="10" t="n">
        <v>32</v>
      </c>
      <c r="D16" s="10" t="n">
        <v>42</v>
      </c>
      <c r="E16" s="10" t="n">
        <v>76.8</v>
      </c>
      <c r="F16" s="10" t="inlineStr">
        <is>
          <t>rosso</t>
        </is>
      </c>
      <c r="G16" s="10" t="n">
        <v>2.08</v>
      </c>
      <c r="H16" s="10" t="n">
        <v>27.02</v>
      </c>
      <c r="I16" s="10" t="inlineStr">
        <is>
          <t>giallo</t>
        </is>
      </c>
      <c r="J16" s="10" t="n">
        <v>39.92</v>
      </c>
      <c r="K16" s="10" t="n">
        <v>49.78</v>
      </c>
      <c r="L16" s="10" t="inlineStr">
        <is>
          <t>disaccordo</t>
        </is>
      </c>
    </row>
    <row r="17">
      <c r="A17" s="10" t="n">
        <v>15</v>
      </c>
      <c r="B17" s="10" t="n">
        <v>30</v>
      </c>
      <c r="C17" s="10" t="n">
        <v>34</v>
      </c>
      <c r="D17" s="10" t="n">
        <v>30</v>
      </c>
      <c r="E17" s="10" t="n">
        <v>58.08</v>
      </c>
      <c r="F17" s="10" t="inlineStr">
        <is>
          <t>arancione</t>
        </is>
      </c>
      <c r="G17" s="10" t="n">
        <v>4.52</v>
      </c>
      <c r="H17" s="10" t="n">
        <v>19.97</v>
      </c>
      <c r="I17" s="10" t="inlineStr">
        <is>
          <t>verde</t>
        </is>
      </c>
      <c r="J17" s="10" t="n">
        <v>25.48</v>
      </c>
      <c r="K17" s="10" t="n">
        <v>38.11</v>
      </c>
      <c r="L17" s="10" t="inlineStr">
        <is>
          <t>disaccordo</t>
        </is>
      </c>
    </row>
    <row r="18">
      <c r="A18" s="10" t="n">
        <v>16</v>
      </c>
      <c r="B18" s="10" t="n">
        <v>32</v>
      </c>
      <c r="C18" s="10" t="n">
        <v>35.9</v>
      </c>
      <c r="D18" s="10" t="n">
        <v>65</v>
      </c>
      <c r="E18" s="10" t="n">
        <v>88.84999999999999</v>
      </c>
      <c r="F18" s="10" t="inlineStr">
        <is>
          <t>rosso</t>
        </is>
      </c>
      <c r="G18" s="10" t="n">
        <v>11.84</v>
      </c>
      <c r="H18" s="10" t="n">
        <v>22.57</v>
      </c>
      <c r="I18" s="10" t="inlineStr">
        <is>
          <t>verde</t>
        </is>
      </c>
      <c r="J18" s="10" t="n">
        <v>53.16</v>
      </c>
      <c r="K18" s="10" t="n">
        <v>66.28</v>
      </c>
      <c r="L18" s="10" t="inlineStr">
        <is>
          <t>disaccordo</t>
        </is>
      </c>
    </row>
    <row r="19">
      <c r="A19" s="10" t="n">
        <v>17</v>
      </c>
      <c r="B19" s="10" t="n">
        <v>34</v>
      </c>
      <c r="C19" s="10" t="n">
        <v>35.9</v>
      </c>
      <c r="D19" s="10" t="n">
        <v>5</v>
      </c>
      <c r="E19" s="10" t="n">
        <v>55.31</v>
      </c>
      <c r="F19" s="10" t="inlineStr">
        <is>
          <t>arancione</t>
        </is>
      </c>
      <c r="G19" s="10" t="n">
        <v>0.43</v>
      </c>
      <c r="H19" s="10" t="n">
        <v>13.71</v>
      </c>
      <c r="I19" s="10" t="inlineStr">
        <is>
          <t>verde</t>
        </is>
      </c>
      <c r="J19" s="10" t="n">
        <v>4.57</v>
      </c>
      <c r="K19" s="10" t="n">
        <v>41.6</v>
      </c>
      <c r="L19" s="10" t="inlineStr">
        <is>
          <t>disaccordo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19"/>
  <sheetViews>
    <sheetView workbookViewId="0">
      <selection activeCell="A1" sqref="A1"/>
    </sheetView>
  </sheetViews>
  <sheetFormatPr baseColWidth="8" defaultRowHeight="15"/>
  <cols>
    <col width="12" customWidth="1" min="1" max="1"/>
    <col width="14" customWidth="1" min="2" max="2"/>
    <col width="12"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21" customWidth="1" min="11" max="11"/>
    <col width="21" customWidth="1" min="12" max="12"/>
    <col width="21" customWidth="1" min="13" max="13"/>
    <col width="21" customWidth="1" min="14" max="14"/>
    <col width="21" customWidth="1" min="15" max="15"/>
    <col width="21" customWidth="1" min="16" max="16"/>
    <col width="21" customWidth="1" min="17" max="17"/>
    <col width="30" customWidth="1" min="18" max="18"/>
  </cols>
  <sheetData>
    <row r="1">
      <c r="A1" s="1" t="inlineStr">
        <is>
          <t>window_id</t>
        </is>
      </c>
      <c r="B1" s="1" t="inlineStr">
        <is>
          <t>start_time_s</t>
        </is>
      </c>
      <c r="C1" s="1" t="inlineStr">
        <is>
          <t>end_time_s</t>
        </is>
      </c>
      <c r="D1" s="1" t="inlineStr">
        <is>
          <t>R1_contribution</t>
        </is>
      </c>
      <c r="E1" s="1" t="inlineStr">
        <is>
          <t>R2_contribution</t>
        </is>
      </c>
      <c r="F1" s="1" t="inlineStr">
        <is>
          <t>R3_contribution</t>
        </is>
      </c>
      <c r="G1" s="1" t="inlineStr">
        <is>
          <t>R4_contribution</t>
        </is>
      </c>
      <c r="H1" s="1" t="inlineStr">
        <is>
          <t>R5_contribution</t>
        </is>
      </c>
      <c r="I1" s="1" t="inlineStr">
        <is>
          <t>R6_contribution</t>
        </is>
      </c>
      <c r="J1" s="1" t="inlineStr">
        <is>
          <t>R7_contribution</t>
        </is>
      </c>
      <c r="K1" s="1" t="inlineStr">
        <is>
          <t>R1_contribution_pct</t>
        </is>
      </c>
      <c r="L1" s="1" t="inlineStr">
        <is>
          <t>R2_contribution_pct</t>
        </is>
      </c>
      <c r="M1" s="1" t="inlineStr">
        <is>
          <t>R3_contribution_pct</t>
        </is>
      </c>
      <c r="N1" s="1" t="inlineStr">
        <is>
          <t>R4_contribution_pct</t>
        </is>
      </c>
      <c r="O1" s="1" t="inlineStr">
        <is>
          <t>R5_contribution_pct</t>
        </is>
      </c>
      <c r="P1" s="1" t="inlineStr">
        <is>
          <t>R6_contribution_pct</t>
        </is>
      </c>
      <c r="Q1" s="1" t="inlineStr">
        <is>
          <t>R7_contribution_pct</t>
        </is>
      </c>
      <c r="R1" s="1" t="inlineStr">
        <is>
          <t>instantaneous_risk_score_ahp</t>
        </is>
      </c>
    </row>
    <row r="2">
      <c r="A2" t="n">
        <v>0</v>
      </c>
      <c r="B2" t="n">
        <v>0</v>
      </c>
      <c r="C2" t="n">
        <v>4</v>
      </c>
      <c r="D2" t="n">
        <v>0.1588</v>
      </c>
      <c r="E2" t="n">
        <v>0</v>
      </c>
      <c r="F2" t="n">
        <v>0.0965</v>
      </c>
      <c r="G2" t="n">
        <v>0.171</v>
      </c>
      <c r="H2" t="n">
        <v>0</v>
      </c>
      <c r="I2" t="n">
        <v>0</v>
      </c>
      <c r="J2" t="n">
        <v>0</v>
      </c>
      <c r="K2" t="n">
        <v>36.93</v>
      </c>
      <c r="L2" t="n">
        <v>0</v>
      </c>
      <c r="M2" t="n">
        <v>22.44</v>
      </c>
      <c r="N2" t="n">
        <v>39.77</v>
      </c>
      <c r="O2" t="n">
        <v>0</v>
      </c>
      <c r="P2" t="n">
        <v>0</v>
      </c>
      <c r="Q2" t="n">
        <v>0</v>
      </c>
      <c r="R2" t="n">
        <v>0.43</v>
      </c>
    </row>
    <row r="3">
      <c r="A3" t="n">
        <v>1</v>
      </c>
      <c r="B3" t="n">
        <v>2</v>
      </c>
      <c r="C3" t="n">
        <v>6</v>
      </c>
      <c r="D3" t="n">
        <v>0.1588</v>
      </c>
      <c r="E3" t="n">
        <v>0</v>
      </c>
      <c r="F3" t="n">
        <v>0.0965</v>
      </c>
      <c r="G3" t="n">
        <v>0.171</v>
      </c>
      <c r="H3" t="n">
        <v>0</v>
      </c>
      <c r="I3" t="n">
        <v>0</v>
      </c>
      <c r="J3" t="n">
        <v>0</v>
      </c>
      <c r="K3" t="n">
        <v>36.93</v>
      </c>
      <c r="L3" t="n">
        <v>0</v>
      </c>
      <c r="M3" t="n">
        <v>22.44</v>
      </c>
      <c r="N3" t="n">
        <v>39.77</v>
      </c>
      <c r="O3" t="n">
        <v>0</v>
      </c>
      <c r="P3" t="n">
        <v>0</v>
      </c>
      <c r="Q3" t="n">
        <v>0</v>
      </c>
      <c r="R3" t="n">
        <v>0.43</v>
      </c>
    </row>
    <row r="4">
      <c r="A4" t="n">
        <v>2</v>
      </c>
      <c r="B4" t="n">
        <v>4</v>
      </c>
      <c r="C4" t="n">
        <v>8</v>
      </c>
      <c r="D4" t="n">
        <v>0.1588</v>
      </c>
      <c r="E4" t="n">
        <v>0</v>
      </c>
      <c r="F4" t="n">
        <v>0.0965</v>
      </c>
      <c r="G4" t="n">
        <v>0.171</v>
      </c>
      <c r="H4" t="n">
        <v>0</v>
      </c>
      <c r="I4" t="n">
        <v>0</v>
      </c>
      <c r="J4" t="n">
        <v>0</v>
      </c>
      <c r="K4" t="n">
        <v>36.93</v>
      </c>
      <c r="L4" t="n">
        <v>0</v>
      </c>
      <c r="M4" t="n">
        <v>22.44</v>
      </c>
      <c r="N4" t="n">
        <v>39.77</v>
      </c>
      <c r="O4" t="n">
        <v>0</v>
      </c>
      <c r="P4" t="n">
        <v>0</v>
      </c>
      <c r="Q4" t="n">
        <v>0</v>
      </c>
      <c r="R4" t="n">
        <v>0.43</v>
      </c>
    </row>
    <row r="5">
      <c r="A5" t="n">
        <v>3</v>
      </c>
      <c r="B5" t="n">
        <v>6</v>
      </c>
      <c r="C5" t="n">
        <v>10</v>
      </c>
      <c r="D5" t="n">
        <v>0.1588</v>
      </c>
      <c r="E5" t="n">
        <v>0</v>
      </c>
      <c r="F5" t="n">
        <v>0.0965</v>
      </c>
      <c r="G5" t="n">
        <v>0.171</v>
      </c>
      <c r="H5" t="n">
        <v>0</v>
      </c>
      <c r="I5" t="n">
        <v>0</v>
      </c>
      <c r="J5" t="n">
        <v>1.4</v>
      </c>
      <c r="K5" t="n">
        <v>8.68</v>
      </c>
      <c r="L5" t="n">
        <v>0</v>
      </c>
      <c r="M5" t="n">
        <v>5.27</v>
      </c>
      <c r="N5" t="n">
        <v>9.34</v>
      </c>
      <c r="O5" t="n">
        <v>0</v>
      </c>
      <c r="P5" t="n">
        <v>0</v>
      </c>
      <c r="Q5" t="n">
        <v>76.5</v>
      </c>
      <c r="R5" t="n">
        <v>1.83</v>
      </c>
    </row>
    <row r="6">
      <c r="A6" t="n">
        <v>4</v>
      </c>
      <c r="B6" t="n">
        <v>8</v>
      </c>
      <c r="C6" t="n">
        <v>12</v>
      </c>
      <c r="D6" t="n">
        <v>0.1588</v>
      </c>
      <c r="E6" t="n">
        <v>0</v>
      </c>
      <c r="F6" t="n">
        <v>0.0965</v>
      </c>
      <c r="G6" t="n">
        <v>0.171</v>
      </c>
      <c r="H6" t="n">
        <v>0</v>
      </c>
      <c r="I6" t="n">
        <v>0</v>
      </c>
      <c r="J6" t="n">
        <v>1.4</v>
      </c>
      <c r="K6" t="n">
        <v>8.68</v>
      </c>
      <c r="L6" t="n">
        <v>0</v>
      </c>
      <c r="M6" t="n">
        <v>5.27</v>
      </c>
      <c r="N6" t="n">
        <v>9.34</v>
      </c>
      <c r="O6" t="n">
        <v>0</v>
      </c>
      <c r="P6" t="n">
        <v>0</v>
      </c>
      <c r="Q6" t="n">
        <v>76.5</v>
      </c>
      <c r="R6" t="n">
        <v>1.83</v>
      </c>
    </row>
    <row r="7">
      <c r="A7" t="n">
        <v>5</v>
      </c>
      <c r="B7" t="n">
        <v>10</v>
      </c>
      <c r="C7" t="n">
        <v>14</v>
      </c>
      <c r="D7" t="n">
        <v>0.1588</v>
      </c>
      <c r="E7" t="n">
        <v>1.65</v>
      </c>
      <c r="F7" t="n">
        <v>0.0965</v>
      </c>
      <c r="G7" t="n">
        <v>0.171</v>
      </c>
      <c r="H7" t="n">
        <v>0.275</v>
      </c>
      <c r="I7" t="n">
        <v>0</v>
      </c>
      <c r="J7" t="n">
        <v>0</v>
      </c>
      <c r="K7" t="n">
        <v>6.76</v>
      </c>
      <c r="L7" t="n">
        <v>70.20999999999999</v>
      </c>
      <c r="M7" t="n">
        <v>4.11</v>
      </c>
      <c r="N7" t="n">
        <v>7.28</v>
      </c>
      <c r="O7" t="n">
        <v>11.7</v>
      </c>
      <c r="P7" t="n">
        <v>0</v>
      </c>
      <c r="Q7" t="n">
        <v>0</v>
      </c>
      <c r="R7" t="n">
        <v>2.35</v>
      </c>
    </row>
    <row r="8">
      <c r="A8" t="n">
        <v>6</v>
      </c>
      <c r="B8" t="n">
        <v>12</v>
      </c>
      <c r="C8" t="n">
        <v>16</v>
      </c>
      <c r="D8" t="n">
        <v>0.1588</v>
      </c>
      <c r="E8" t="n">
        <v>0</v>
      </c>
      <c r="F8" t="n">
        <v>0.0965</v>
      </c>
      <c r="G8" t="n">
        <v>0.171</v>
      </c>
      <c r="H8" t="n">
        <v>0</v>
      </c>
      <c r="I8" t="n">
        <v>0</v>
      </c>
      <c r="J8" t="n">
        <v>0</v>
      </c>
      <c r="K8" t="n">
        <v>36.93</v>
      </c>
      <c r="L8" t="n">
        <v>0</v>
      </c>
      <c r="M8" t="n">
        <v>22.44</v>
      </c>
      <c r="N8" t="n">
        <v>39.77</v>
      </c>
      <c r="O8" t="n">
        <v>0</v>
      </c>
      <c r="P8" t="n">
        <v>0</v>
      </c>
      <c r="Q8" t="n">
        <v>0</v>
      </c>
      <c r="R8" t="n">
        <v>0.43</v>
      </c>
    </row>
    <row r="9">
      <c r="A9" t="n">
        <v>7</v>
      </c>
      <c r="B9" t="n">
        <v>14</v>
      </c>
      <c r="C9" t="n">
        <v>18</v>
      </c>
      <c r="D9" t="n">
        <v>0.1588</v>
      </c>
      <c r="E9" t="n">
        <v>0</v>
      </c>
      <c r="F9" t="n">
        <v>0.0965</v>
      </c>
      <c r="G9" t="n">
        <v>0.171</v>
      </c>
      <c r="H9" t="n">
        <v>0</v>
      </c>
      <c r="I9" t="n">
        <v>0</v>
      </c>
      <c r="J9" t="n">
        <v>0</v>
      </c>
      <c r="K9" t="n">
        <v>36.93</v>
      </c>
      <c r="L9" t="n">
        <v>0</v>
      </c>
      <c r="M9" t="n">
        <v>22.44</v>
      </c>
      <c r="N9" t="n">
        <v>39.77</v>
      </c>
      <c r="O9" t="n">
        <v>0</v>
      </c>
      <c r="P9" t="n">
        <v>0</v>
      </c>
      <c r="Q9" t="n">
        <v>0</v>
      </c>
      <c r="R9" t="n">
        <v>0.43</v>
      </c>
    </row>
    <row r="10">
      <c r="A10" t="n">
        <v>8</v>
      </c>
      <c r="B10" t="n">
        <v>16</v>
      </c>
      <c r="C10" t="n">
        <v>20</v>
      </c>
      <c r="D10" t="n">
        <v>0.1588</v>
      </c>
      <c r="E10" t="n">
        <v>0</v>
      </c>
      <c r="F10" t="n">
        <v>0.0965</v>
      </c>
      <c r="G10" t="n">
        <v>0.171</v>
      </c>
      <c r="H10" t="n">
        <v>0.275</v>
      </c>
      <c r="I10" t="n">
        <v>0</v>
      </c>
      <c r="J10" t="n">
        <v>1.4</v>
      </c>
      <c r="K10" t="n">
        <v>7.56</v>
      </c>
      <c r="L10" t="n">
        <v>0</v>
      </c>
      <c r="M10" t="n">
        <v>4.6</v>
      </c>
      <c r="N10" t="n">
        <v>8.140000000000001</v>
      </c>
      <c r="O10" t="n">
        <v>13.1</v>
      </c>
      <c r="P10" t="n">
        <v>0</v>
      </c>
      <c r="Q10" t="n">
        <v>66.67</v>
      </c>
      <c r="R10" t="n">
        <v>2.1</v>
      </c>
    </row>
    <row r="11">
      <c r="A11" t="n">
        <v>9</v>
      </c>
      <c r="B11" t="n">
        <v>18</v>
      </c>
      <c r="C11" t="n">
        <v>22</v>
      </c>
      <c r="D11" t="n">
        <v>0.1588</v>
      </c>
      <c r="E11" t="n">
        <v>0</v>
      </c>
      <c r="F11" t="n">
        <v>0.0965</v>
      </c>
      <c r="G11" t="n">
        <v>0.171</v>
      </c>
      <c r="H11" t="n">
        <v>0</v>
      </c>
      <c r="I11" t="n">
        <v>0</v>
      </c>
      <c r="J11" t="n">
        <v>0</v>
      </c>
      <c r="K11" t="n">
        <v>36.93</v>
      </c>
      <c r="L11" t="n">
        <v>0</v>
      </c>
      <c r="M11" t="n">
        <v>22.44</v>
      </c>
      <c r="N11" t="n">
        <v>39.77</v>
      </c>
      <c r="O11" t="n">
        <v>0</v>
      </c>
      <c r="P11" t="n">
        <v>0</v>
      </c>
      <c r="Q11" t="n">
        <v>0</v>
      </c>
      <c r="R11" t="n">
        <v>0.43</v>
      </c>
    </row>
    <row r="12">
      <c r="A12" t="n">
        <v>10</v>
      </c>
      <c r="B12" t="n">
        <v>20</v>
      </c>
      <c r="C12" t="n">
        <v>24</v>
      </c>
      <c r="D12" t="n">
        <v>0.1588</v>
      </c>
      <c r="E12" t="n">
        <v>1.65</v>
      </c>
      <c r="F12" t="n">
        <v>0.0965</v>
      </c>
      <c r="G12" t="n">
        <v>0.171</v>
      </c>
      <c r="H12" t="n">
        <v>0</v>
      </c>
      <c r="I12" t="n">
        <v>0</v>
      </c>
      <c r="J12" t="n">
        <v>0</v>
      </c>
      <c r="K12" t="n">
        <v>7.63</v>
      </c>
      <c r="L12" t="n">
        <v>79.33</v>
      </c>
      <c r="M12" t="n">
        <v>4.64</v>
      </c>
      <c r="N12" t="n">
        <v>8.220000000000001</v>
      </c>
      <c r="O12" t="n">
        <v>0</v>
      </c>
      <c r="P12" t="n">
        <v>0</v>
      </c>
      <c r="Q12" t="n">
        <v>0</v>
      </c>
      <c r="R12" t="n">
        <v>2.08</v>
      </c>
    </row>
    <row r="13">
      <c r="A13" t="n">
        <v>11</v>
      </c>
      <c r="B13" t="n">
        <v>22</v>
      </c>
      <c r="C13" t="n">
        <v>26</v>
      </c>
      <c r="D13" t="n">
        <v>0.1588</v>
      </c>
      <c r="E13" t="n">
        <v>0</v>
      </c>
      <c r="F13" t="n">
        <v>0.0965</v>
      </c>
      <c r="G13" t="n">
        <v>0.171</v>
      </c>
      <c r="H13" t="n">
        <v>0</v>
      </c>
      <c r="I13" t="n">
        <v>0</v>
      </c>
      <c r="J13" t="n">
        <v>0</v>
      </c>
      <c r="K13" t="n">
        <v>36.93</v>
      </c>
      <c r="L13" t="n">
        <v>0</v>
      </c>
      <c r="M13" t="n">
        <v>22.44</v>
      </c>
      <c r="N13" t="n">
        <v>39.77</v>
      </c>
      <c r="O13" t="n">
        <v>0</v>
      </c>
      <c r="P13" t="n">
        <v>0</v>
      </c>
      <c r="Q13" t="n">
        <v>0</v>
      </c>
      <c r="R13" t="n">
        <v>0.43</v>
      </c>
    </row>
    <row r="14">
      <c r="A14" t="n">
        <v>12</v>
      </c>
      <c r="B14" t="n">
        <v>24</v>
      </c>
      <c r="C14" t="n">
        <v>28</v>
      </c>
      <c r="D14" t="n">
        <v>0.1588</v>
      </c>
      <c r="E14" t="n">
        <v>0</v>
      </c>
      <c r="F14" t="n">
        <v>0.0965</v>
      </c>
      <c r="G14" t="n">
        <v>0.171</v>
      </c>
      <c r="H14" t="n">
        <v>0</v>
      </c>
      <c r="I14" t="n">
        <v>0</v>
      </c>
      <c r="J14" t="n">
        <v>0</v>
      </c>
      <c r="K14" t="n">
        <v>36.93</v>
      </c>
      <c r="L14" t="n">
        <v>0</v>
      </c>
      <c r="M14" t="n">
        <v>22.44</v>
      </c>
      <c r="N14" t="n">
        <v>39.77</v>
      </c>
      <c r="O14" t="n">
        <v>0</v>
      </c>
      <c r="P14" t="n">
        <v>0</v>
      </c>
      <c r="Q14" t="n">
        <v>0</v>
      </c>
      <c r="R14" t="n">
        <v>0.43</v>
      </c>
    </row>
    <row r="15">
      <c r="A15" t="n">
        <v>13</v>
      </c>
      <c r="B15" t="n">
        <v>26</v>
      </c>
      <c r="C15" t="n">
        <v>30</v>
      </c>
      <c r="D15" t="n">
        <v>1.7988</v>
      </c>
      <c r="E15" t="n">
        <v>1.65</v>
      </c>
      <c r="F15" t="n">
        <v>0.0965</v>
      </c>
      <c r="G15" t="n">
        <v>24.5366</v>
      </c>
      <c r="H15" t="n">
        <v>1.1</v>
      </c>
      <c r="I15" t="n">
        <v>6.7377</v>
      </c>
      <c r="J15" t="n">
        <v>0</v>
      </c>
      <c r="K15" t="n">
        <v>5.01</v>
      </c>
      <c r="L15" t="n">
        <v>4.59</v>
      </c>
      <c r="M15" t="n">
        <v>0.27</v>
      </c>
      <c r="N15" t="n">
        <v>68.31</v>
      </c>
      <c r="O15" t="n">
        <v>3.06</v>
      </c>
      <c r="P15" t="n">
        <v>18.76</v>
      </c>
      <c r="Q15" t="n">
        <v>0</v>
      </c>
      <c r="R15" t="n">
        <v>35.92</v>
      </c>
    </row>
    <row r="16">
      <c r="A16" t="n">
        <v>14</v>
      </c>
      <c r="B16" t="n">
        <v>28</v>
      </c>
      <c r="C16" t="n">
        <v>32</v>
      </c>
      <c r="D16" t="n">
        <v>0.1588</v>
      </c>
      <c r="E16" t="n">
        <v>1.65</v>
      </c>
      <c r="F16" t="n">
        <v>0.0965</v>
      </c>
      <c r="G16" t="n">
        <v>0.171</v>
      </c>
      <c r="H16" t="n">
        <v>0</v>
      </c>
      <c r="I16" t="n">
        <v>0</v>
      </c>
      <c r="J16" t="n">
        <v>0</v>
      </c>
      <c r="K16" t="n">
        <v>7.63</v>
      </c>
      <c r="L16" t="n">
        <v>79.33</v>
      </c>
      <c r="M16" t="n">
        <v>4.64</v>
      </c>
      <c r="N16" t="n">
        <v>8.220000000000001</v>
      </c>
      <c r="O16" t="n">
        <v>0</v>
      </c>
      <c r="P16" t="n">
        <v>0</v>
      </c>
      <c r="Q16" t="n">
        <v>0</v>
      </c>
      <c r="R16" t="n">
        <v>2.08</v>
      </c>
    </row>
    <row r="17">
      <c r="A17" t="n">
        <v>15</v>
      </c>
      <c r="B17" t="n">
        <v>30</v>
      </c>
      <c r="C17" t="n">
        <v>34</v>
      </c>
      <c r="D17" t="n">
        <v>0.1588</v>
      </c>
      <c r="E17" t="n">
        <v>0</v>
      </c>
      <c r="F17" t="n">
        <v>0.0965</v>
      </c>
      <c r="G17" t="n">
        <v>3.1616</v>
      </c>
      <c r="H17" t="n">
        <v>1.1</v>
      </c>
      <c r="I17" t="n">
        <v>0</v>
      </c>
      <c r="J17" t="n">
        <v>0</v>
      </c>
      <c r="K17" t="n">
        <v>3.51</v>
      </c>
      <c r="L17" t="n">
        <v>0</v>
      </c>
      <c r="M17" t="n">
        <v>2.13</v>
      </c>
      <c r="N17" t="n">
        <v>69.95</v>
      </c>
      <c r="O17" t="n">
        <v>24.34</v>
      </c>
      <c r="P17" t="n">
        <v>0</v>
      </c>
      <c r="Q17" t="n">
        <v>0</v>
      </c>
      <c r="R17" t="n">
        <v>4.52</v>
      </c>
    </row>
    <row r="18">
      <c r="A18" t="n">
        <v>16</v>
      </c>
      <c r="B18" t="n">
        <v>32</v>
      </c>
      <c r="C18" t="n">
        <v>35.9</v>
      </c>
      <c r="D18" t="n">
        <v>0.1588</v>
      </c>
      <c r="E18" t="n">
        <v>1.65</v>
      </c>
      <c r="F18" t="n">
        <v>0.0965</v>
      </c>
      <c r="G18" t="n">
        <v>3.1616</v>
      </c>
      <c r="H18" t="n">
        <v>1.1</v>
      </c>
      <c r="I18" t="n">
        <v>4.2733</v>
      </c>
      <c r="J18" t="n">
        <v>1.4</v>
      </c>
      <c r="K18" t="n">
        <v>1.34</v>
      </c>
      <c r="L18" t="n">
        <v>13.94</v>
      </c>
      <c r="M18" t="n">
        <v>0.82</v>
      </c>
      <c r="N18" t="n">
        <v>26.7</v>
      </c>
      <c r="O18" t="n">
        <v>9.289999999999999</v>
      </c>
      <c r="P18" t="n">
        <v>36.09</v>
      </c>
      <c r="Q18" t="n">
        <v>11.82</v>
      </c>
      <c r="R18" t="n">
        <v>11.84</v>
      </c>
    </row>
    <row r="19">
      <c r="A19" t="n">
        <v>17</v>
      </c>
      <c r="B19" t="n">
        <v>34</v>
      </c>
      <c r="C19" t="n">
        <v>35.9</v>
      </c>
      <c r="D19" t="n">
        <v>0.1588</v>
      </c>
      <c r="E19" t="n">
        <v>0</v>
      </c>
      <c r="F19" t="n">
        <v>0.0965</v>
      </c>
      <c r="G19" t="n">
        <v>0.171</v>
      </c>
      <c r="H19" t="n">
        <v>0</v>
      </c>
      <c r="I19" t="n">
        <v>0</v>
      </c>
      <c r="J19" t="n">
        <v>0</v>
      </c>
      <c r="K19" t="n">
        <v>36.93</v>
      </c>
      <c r="L19" t="n">
        <v>0</v>
      </c>
      <c r="M19" t="n">
        <v>22.44</v>
      </c>
      <c r="N19" t="n">
        <v>39.77</v>
      </c>
      <c r="O19" t="n">
        <v>0</v>
      </c>
      <c r="P19" t="n">
        <v>0</v>
      </c>
      <c r="Q19" t="n">
        <v>0</v>
      </c>
      <c r="R19" t="n">
        <v>0.43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2026-06-15T09:14:57Z</dcterms:created>
  <dcterms:modified xsi:type="dcterms:W3CDTF">2026-06-15T09:14:57Z</dcterms:modified>
</cp:coreProperties>
</file>