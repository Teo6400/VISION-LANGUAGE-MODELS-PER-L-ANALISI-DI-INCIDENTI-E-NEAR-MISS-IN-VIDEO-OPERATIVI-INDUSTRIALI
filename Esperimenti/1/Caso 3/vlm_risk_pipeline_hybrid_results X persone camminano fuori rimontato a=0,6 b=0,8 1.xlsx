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indow_results_hybrid" sheetId="1" state="visible" r:id="rId1"/>
    <sheet name="traffic_light_dashboard_vlm" sheetId="2" state="visible" r:id="rId2"/>
    <sheet name="traffic_light_dashboard_ahp" sheetId="3" state="visible" r:id="rId3"/>
    <sheet name="branch_comparison" sheetId="4" state="visible" r:id="rId4"/>
    <sheet name="risk_contribution_analysis"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b val="1"/>
      <color rgb="00FFFFFF"/>
    </font>
    <font>
      <color rgb="00000000"/>
    </font>
    <font>
      <b val="1"/>
      <color rgb="00000000"/>
    </font>
    <font>
      <color rgb="00FFFFFF"/>
    </font>
  </fonts>
  <fills count="9">
    <fill>
      <patternFill/>
    </fill>
    <fill>
      <patternFill patternType="gray125"/>
    </fill>
    <fill>
      <patternFill patternType="solid">
        <fgColor rgb="002E4057"/>
        <bgColor rgb="002E4057"/>
      </patternFill>
    </fill>
    <fill>
      <patternFill patternType="solid">
        <fgColor rgb="00FF8800"/>
        <bgColor rgb="00FF8800"/>
      </patternFill>
    </fill>
    <fill>
      <patternFill patternType="solid">
        <fgColor rgb="00FFD700"/>
        <bgColor rgb="00FFD700"/>
      </patternFill>
    </fill>
    <fill>
      <patternFill patternType="solid">
        <fgColor rgb="0000C851"/>
        <bgColor rgb="0000C851"/>
      </patternFill>
    </fill>
    <fill>
      <patternFill patternType="solid">
        <fgColor rgb="00FF4444"/>
        <bgColor rgb="00FF4444"/>
      </patternFill>
    </fill>
    <fill>
      <patternFill patternType="solid">
        <fgColor rgb="00FADBD8"/>
        <bgColor rgb="00FADBD8"/>
      </patternFill>
    </fill>
    <fill>
      <patternFill patternType="solid">
        <fgColor rgb="00D5F5E3"/>
        <bgColor rgb="00D5F5E3"/>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12">
    <xf numFmtId="0" fontId="0" fillId="0" borderId="0" pivotButton="0" quotePrefix="0" xfId="0"/>
    <xf numFmtId="0" fontId="2" fillId="2" borderId="2" applyAlignment="1" pivotButton="0" quotePrefix="0" xfId="0">
      <alignment horizontal="center" vertical="center" wrapText="1"/>
    </xf>
    <xf numFmtId="0" fontId="3" fillId="3" borderId="2" applyAlignment="1" pivotButton="0" quotePrefix="0" xfId="0">
      <alignment horizontal="center" vertical="center"/>
    </xf>
    <xf numFmtId="0" fontId="4" fillId="3" borderId="2" applyAlignment="1" pivotButton="0" quotePrefix="0" xfId="0">
      <alignment horizontal="center" vertical="center"/>
    </xf>
    <xf numFmtId="0" fontId="3" fillId="4" borderId="2" applyAlignment="1" pivotButton="0" quotePrefix="0" xfId="0">
      <alignment horizontal="center" vertical="center"/>
    </xf>
    <xf numFmtId="0" fontId="4" fillId="4" borderId="2" applyAlignment="1" pivotButton="0" quotePrefix="0" xfId="0">
      <alignment horizontal="center" vertical="center"/>
    </xf>
    <xf numFmtId="0" fontId="3" fillId="5" borderId="2" applyAlignment="1" pivotButton="0" quotePrefix="0" xfId="0">
      <alignment horizontal="center" vertical="center"/>
    </xf>
    <xf numFmtId="0" fontId="4" fillId="5" borderId="2" applyAlignment="1" pivotButton="0" quotePrefix="0" xfId="0">
      <alignment horizontal="center" vertical="center"/>
    </xf>
    <xf numFmtId="0" fontId="5" fillId="6" borderId="2" applyAlignment="1" pivotButton="0" quotePrefix="0" xfId="0">
      <alignment horizontal="center" vertical="center"/>
    </xf>
    <xf numFmtId="0" fontId="2" fillId="6" borderId="2" applyAlignment="1" pivotButton="0" quotePrefix="0" xfId="0">
      <alignment horizontal="center" vertical="center"/>
    </xf>
    <xf numFmtId="0" fontId="0" fillId="7" borderId="2" pivotButton="0" quotePrefix="0" xfId="0"/>
    <xf numFmtId="0" fontId="0" fillId="8"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Evoluzione score dinamico VLM</a:t>
            </a:r>
          </a:p>
        </rich>
      </tx>
    </title>
    <plotArea>
      <lineChart>
        <grouping val="standard"/>
        <ser>
          <idx val="0"/>
          <order val="0"/>
          <tx>
            <strRef>
              <f>'traffic_light_dashboard_vlm'!E1</f>
            </strRef>
          </tx>
          <spPr>
            <a:ln>
              <a:prstDash val="solid"/>
            </a:ln>
          </spPr>
          <marker>
            <symbol val="none"/>
            <spPr>
              <a:ln>
                <a:prstDash val="solid"/>
              </a:ln>
            </spPr>
          </marker>
          <cat>
            <numRef>
              <f>'traffic_light_dashboard_vlm'!$A$2:$A$16</f>
            </numRef>
          </cat>
          <val>
            <numRef>
              <f>'traffic_light_dashboard_vlm'!$E$2:$E$16</f>
            </numRef>
          </val>
        </ser>
        <axId val="10"/>
        <axId val="100"/>
      </lineChart>
      <catAx>
        <axId val="10"/>
        <scaling>
          <orientation val="minMax"/>
        </scaling>
        <axPos val="l"/>
        <title>
          <tx>
            <rich>
              <a:bodyPr/>
              <a:p>
                <a:pPr>
                  <a:defRPr/>
                </a:pPr>
                <a:r>
                  <a:t>window_id</a:t>
                </a:r>
              </a:p>
            </rich>
          </tx>
        </title>
        <majorTickMark val="none"/>
        <minorTickMark val="none"/>
        <crossAx val="100"/>
        <lblOffset val="100"/>
      </catAx>
      <valAx>
        <axId val="100"/>
        <scaling>
          <orientation val="minMax"/>
          <max val="100"/>
          <min val="0"/>
        </scaling>
        <axPos val="l"/>
        <majorGridlines/>
        <title>
          <tx>
            <rich>
              <a:bodyPr/>
              <a:p>
                <a:pPr>
                  <a:defRPr/>
                </a:pPr>
                <a:r>
                  <a:t>Score dinamico</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Evoluzione score dinamico AHP</a:t>
            </a:r>
          </a:p>
        </rich>
      </tx>
    </title>
    <plotArea>
      <lineChart>
        <grouping val="standard"/>
        <ser>
          <idx val="0"/>
          <order val="0"/>
          <tx>
            <strRef>
              <f>'traffic_light_dashboard_ahp'!E1</f>
            </strRef>
          </tx>
          <spPr>
            <a:ln>
              <a:prstDash val="solid"/>
            </a:ln>
          </spPr>
          <marker>
            <symbol val="none"/>
            <spPr>
              <a:ln>
                <a:prstDash val="solid"/>
              </a:ln>
            </spPr>
          </marker>
          <cat>
            <numRef>
              <f>'traffic_light_dashboard_ahp'!$A$2:$A$16</f>
            </numRef>
          </cat>
          <val>
            <numRef>
              <f>'traffic_light_dashboard_ahp'!$E$2:$E$16</f>
            </numRef>
          </val>
        </ser>
        <axId val="10"/>
        <axId val="100"/>
      </lineChart>
      <catAx>
        <axId val="10"/>
        <scaling>
          <orientation val="minMax"/>
        </scaling>
        <axPos val="l"/>
        <title>
          <tx>
            <rich>
              <a:bodyPr/>
              <a:p>
                <a:pPr>
                  <a:defRPr/>
                </a:pPr>
                <a:r>
                  <a:t>window_id</a:t>
                </a:r>
              </a:p>
            </rich>
          </tx>
        </title>
        <majorTickMark val="none"/>
        <minorTickMark val="none"/>
        <crossAx val="100"/>
        <lblOffset val="100"/>
      </catAx>
      <valAx>
        <axId val="100"/>
        <scaling>
          <orientation val="minMax"/>
          <max val="100"/>
          <min val="0"/>
        </scaling>
        <axPos val="l"/>
        <majorGridlines/>
        <title>
          <tx>
            <rich>
              <a:bodyPr/>
              <a:p>
                <a:pPr>
                  <a:defRPr/>
                </a:pPr>
                <a:r>
                  <a:t>Score dinamico</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AX16"/>
  <sheetViews>
    <sheetView workbookViewId="0">
      <selection activeCell="A1" sqref="A1"/>
    </sheetView>
  </sheetViews>
  <sheetFormatPr baseColWidth="8" defaultRowHeight="15"/>
  <cols>
    <col width="12" customWidth="1" min="1" max="1"/>
    <col width="14" customWidth="1" min="2" max="2"/>
    <col width="12" customWidth="1" min="3" max="3"/>
    <col width="35" customWidth="1" min="4" max="4"/>
    <col width="35" customWidth="1" min="5" max="5"/>
    <col width="35" customWidth="1" min="6" max="6"/>
    <col width="30" customWidth="1" min="7" max="7"/>
    <col width="35" customWidth="1" min="8" max="8"/>
    <col width="24" customWidth="1" min="9" max="9"/>
    <col width="25" customWidth="1" min="10" max="10"/>
    <col width="30" customWidth="1" min="11" max="11"/>
    <col width="24" customWidth="1" min="12" max="12"/>
    <col width="25" customWidth="1" min="13" max="13"/>
    <col width="16" customWidth="1" min="14" max="14"/>
    <col width="35" customWidth="1" min="15" max="15"/>
    <col width="12" customWidth="1" min="16" max="16"/>
    <col width="16" customWidth="1" min="17" max="17"/>
    <col width="12" customWidth="1" min="18" max="18"/>
    <col width="17" customWidth="1" min="19" max="19"/>
    <col width="21" customWidth="1" min="20" max="20"/>
    <col width="12" customWidth="1" min="21" max="21"/>
    <col width="16" customWidth="1" min="22" max="22"/>
    <col width="12" customWidth="1" min="23" max="23"/>
    <col width="17" customWidth="1" min="24" max="24"/>
    <col width="21" customWidth="1" min="25" max="25"/>
    <col width="12" customWidth="1" min="26" max="26"/>
    <col width="16" customWidth="1" min="27" max="27"/>
    <col width="12" customWidth="1" min="28" max="28"/>
    <col width="17" customWidth="1" min="29" max="29"/>
    <col width="21" customWidth="1" min="30" max="30"/>
    <col width="12" customWidth="1" min="31" max="31"/>
    <col width="16" customWidth="1" min="32" max="32"/>
    <col width="12" customWidth="1" min="33" max="33"/>
    <col width="17" customWidth="1" min="34" max="34"/>
    <col width="21" customWidth="1" min="35" max="35"/>
    <col width="12" customWidth="1" min="36" max="36"/>
    <col width="16" customWidth="1" min="37" max="37"/>
    <col width="12" customWidth="1" min="38" max="38"/>
    <col width="17" customWidth="1" min="39" max="39"/>
    <col width="21" customWidth="1" min="40" max="40"/>
    <col width="12" customWidth="1" min="41" max="41"/>
    <col width="16" customWidth="1" min="42" max="42"/>
    <col width="12" customWidth="1" min="43" max="43"/>
    <col width="17" customWidth="1" min="44" max="44"/>
    <col width="21" customWidth="1" min="45" max="45"/>
    <col width="12" customWidth="1" min="46" max="46"/>
    <col width="16" customWidth="1" min="47" max="47"/>
    <col width="12" customWidth="1" min="48" max="48"/>
    <col width="17" customWidth="1" min="49" max="49"/>
    <col width="21" customWidth="1" min="50" max="50"/>
  </cols>
  <sheetData>
    <row r="1">
      <c r="A1" s="1" t="inlineStr">
        <is>
          <t>window_id</t>
        </is>
      </c>
      <c r="B1" s="1" t="inlineStr">
        <is>
          <t>start_time_s</t>
        </is>
      </c>
      <c r="C1" s="1" t="inlineStr">
        <is>
          <t>end_time_s</t>
        </is>
      </c>
      <c r="D1" s="1" t="inlineStr">
        <is>
          <t>descriptive_prompt_output_json</t>
        </is>
      </c>
      <c r="E1" s="1" t="inlineStr">
        <is>
          <t>question_set_prompt_output_json</t>
        </is>
      </c>
      <c r="F1" s="1" t="inlineStr">
        <is>
          <t>causal_prompt_output_json</t>
        </is>
      </c>
      <c r="G1" s="1" t="inlineStr">
        <is>
          <t>instantaneous_risk_score_vlm</t>
        </is>
      </c>
      <c r="H1" s="1" t="inlineStr">
        <is>
          <t>score_rationale_vlm</t>
        </is>
      </c>
      <c r="I1" s="1" t="inlineStr">
        <is>
          <t>dynamic_risk_score_vlm</t>
        </is>
      </c>
      <c r="J1" s="1" t="inlineStr">
        <is>
          <t>traffic_light_color_vlm</t>
        </is>
      </c>
      <c r="K1" s="1" t="inlineStr">
        <is>
          <t>instantaneous_risk_score_ahp</t>
        </is>
      </c>
      <c r="L1" s="1" t="inlineStr">
        <is>
          <t>dynamic_risk_score_ahp</t>
        </is>
      </c>
      <c r="M1" s="1" t="inlineStr">
        <is>
          <t>traffic_light_color_ahp</t>
        </is>
      </c>
      <c r="N1" s="1" t="inlineStr">
        <is>
          <t>cue_confidence</t>
        </is>
      </c>
      <c r="O1" s="1" t="inlineStr">
        <is>
          <t>diagnostic_notes</t>
        </is>
      </c>
      <c r="P1" s="1" t="inlineStr">
        <is>
          <t>R1_raw</t>
        </is>
      </c>
      <c r="Q1" s="1" t="inlineStr">
        <is>
          <t>R1_transformed</t>
        </is>
      </c>
      <c r="R1" s="1" t="inlineStr">
        <is>
          <t>R1_weight</t>
        </is>
      </c>
      <c r="S1" s="1" t="inlineStr">
        <is>
          <t>R1_contribution</t>
        </is>
      </c>
      <c r="T1" s="1" t="inlineStr">
        <is>
          <t>R1_contribution_pct</t>
        </is>
      </c>
      <c r="U1" s="1" t="inlineStr">
        <is>
          <t>R2_raw</t>
        </is>
      </c>
      <c r="V1" s="1" t="inlineStr">
        <is>
          <t>R2_transformed</t>
        </is>
      </c>
      <c r="W1" s="1" t="inlineStr">
        <is>
          <t>R2_weight</t>
        </is>
      </c>
      <c r="X1" s="1" t="inlineStr">
        <is>
          <t>R2_contribution</t>
        </is>
      </c>
      <c r="Y1" s="1" t="inlineStr">
        <is>
          <t>R2_contribution_pct</t>
        </is>
      </c>
      <c r="Z1" s="1" t="inlineStr">
        <is>
          <t>R3_raw</t>
        </is>
      </c>
      <c r="AA1" s="1" t="inlineStr">
        <is>
          <t>R3_transformed</t>
        </is>
      </c>
      <c r="AB1" s="1" t="inlineStr">
        <is>
          <t>R3_weight</t>
        </is>
      </c>
      <c r="AC1" s="1" t="inlineStr">
        <is>
          <t>R3_contribution</t>
        </is>
      </c>
      <c r="AD1" s="1" t="inlineStr">
        <is>
          <t>R3_contribution_pct</t>
        </is>
      </c>
      <c r="AE1" s="1" t="inlineStr">
        <is>
          <t>R4_raw</t>
        </is>
      </c>
      <c r="AF1" s="1" t="inlineStr">
        <is>
          <t>R4_transformed</t>
        </is>
      </c>
      <c r="AG1" s="1" t="inlineStr">
        <is>
          <t>R4_weight</t>
        </is>
      </c>
      <c r="AH1" s="1" t="inlineStr">
        <is>
          <t>R4_contribution</t>
        </is>
      </c>
      <c r="AI1" s="1" t="inlineStr">
        <is>
          <t>R4_contribution_pct</t>
        </is>
      </c>
      <c r="AJ1" s="1" t="inlineStr">
        <is>
          <t>R5_raw</t>
        </is>
      </c>
      <c r="AK1" s="1" t="inlineStr">
        <is>
          <t>R5_transformed</t>
        </is>
      </c>
      <c r="AL1" s="1" t="inlineStr">
        <is>
          <t>R5_weight</t>
        </is>
      </c>
      <c r="AM1" s="1" t="inlineStr">
        <is>
          <t>R5_contribution</t>
        </is>
      </c>
      <c r="AN1" s="1" t="inlineStr">
        <is>
          <t>R5_contribution_pct</t>
        </is>
      </c>
      <c r="AO1" s="1" t="inlineStr">
        <is>
          <t>R6_raw</t>
        </is>
      </c>
      <c r="AP1" s="1" t="inlineStr">
        <is>
          <t>R6_transformed</t>
        </is>
      </c>
      <c r="AQ1" s="1" t="inlineStr">
        <is>
          <t>R6_weight</t>
        </is>
      </c>
      <c r="AR1" s="1" t="inlineStr">
        <is>
          <t>R6_contribution</t>
        </is>
      </c>
      <c r="AS1" s="1" t="inlineStr">
        <is>
          <t>R6_contribution_pct</t>
        </is>
      </c>
      <c r="AT1" s="1" t="inlineStr">
        <is>
          <t>R7_raw</t>
        </is>
      </c>
      <c r="AU1" s="1" t="inlineStr">
        <is>
          <t>R7_transformed</t>
        </is>
      </c>
      <c r="AV1" s="1" t="inlineStr">
        <is>
          <t>R7_weight</t>
        </is>
      </c>
      <c r="AW1" s="1" t="inlineStr">
        <is>
          <t>R7_contribution</t>
        </is>
      </c>
      <c r="AX1" s="1" t="inlineStr">
        <is>
          <t>R7_contribution_pct</t>
        </is>
      </c>
    </row>
    <row r="2">
      <c r="A2" t="n">
        <v>0</v>
      </c>
      <c r="B2" t="n">
        <v>0</v>
      </c>
      <c r="C2" t="n">
        <v>4</v>
      </c>
      <c r="D2" t="inlineStr">
        <is>
          <t>{"scene_state": "Ambiente industriale interno, probabilmente un'officina o una fabbrica, con macchinari pesanti e personale in movimento.", "environmental_conditions": ["Illuminazione artificiale uniforme", "Pavimento in cemento con segnaletica orizzontale verde e gialla", "Spazi ampi e ordinati per un ambiente industriale"], "actors": ["Un individuo con uniforme scura e dettagli rossi, spinge un transpallet con un pallet metallico", "Due individui in abiti scuri camminano in lontananza lungo il corridoio centrale"], "objects": ["Un transpallet", "Un pallet metallico", "Diverse bobine metalliche a terra", "Contenitori e pallet lungo la parete destra", "Attrezzature varie a terra vicino ai macchinari"], "machines": ["Diverse presse industriali di grandi dimensioni (blu, bianche, grigie)", "Un macchinario arancione di medie dimensioni", "Altri macchinari parzialmente visibili sullo sfondo"], "observable_actions": ["Un individuo spinge un transpallet", "Due individui camminano"], "notes_visibility_limitations": "La telecamera è posizionata in alto, offrendo una vista generale. I dettagli fini e i volti non sono chiaramente visibili. Alcune aree in lontananza sono meno definite."}</t>
        </is>
      </c>
      <c r="E2" t="inlineStr">
        <is>
          <t>{"unsafe_behaviors": [], "vulnerable_elements": ["Operatore che spinge il transpallet in un'area potenzialmente condivisa"], "risk_cues": {"R1_pedestrian_vehicle_interference": 0.25, "R2_pedestrian_segregation_violation": 0.5, "R3_load_storage_instability": 0.0, "R4_crush_points_dangerous_parts_exposure": 0.0, "R5_unsafe_operational_proximity": 0.0, "R6_unsafe_behavior_posture_manoeuvre": 0.0, "R7_essential_ppe_non_compliance": 0.25}, "cue_confidence": 0.6, "diagnostic_notes": "La visibilità è limitata per i dettagli fini e i DPI specifici, influenzando la confidenza di alcune valutazioni. L'area di movimento del transpallet non mostra una chiara segregazione pedonale/veicolare, suggerendo una potenziale violazione o mancanza di percorsi dedicati. Non è possibile confermare l'uso di tutti i DPI essenziali."}</t>
        </is>
      </c>
      <c r="F2" t="inlineStr">
        <is>
          <t>{"causal_chain_plausible": true, "causal_chain_text": "Mancanza di segregazione chiara tra percorsi pedonali e veicolari (R2) -&gt; Coesistenza di pedoni e transpallet nello stesso spazio operativo (R1) -&gt; Rischio di interferenza o collisione.", "near_miss_or_incident_scenario": "Un pedone in transito si trova in prossimità del percorso del transpallet, portando a una collisione o a una manovra evasiva improvvisa per evitarla.", "contributing_factors": ["Mancanza di segregazione chiara tra percorsi pedonali e veicolari", "Potenziale interferenza tra pedoni e transpallet", "Incertezza sull'uso completo dei DPI essenziali", "Presenza di personale a piedi in un'area di movimentazione merci"]}</t>
        </is>
      </c>
      <c r="G2" t="n">
        <v>60</v>
      </c>
      <c r="H2" t="inlineStr">
        <is>
          <t>La mancanza di segregazione chiara tra percorsi pedonali e veicolari crea un rischio significativo di interferenza e potenziale collisione tra pedoni e transpallet. L'incertezza sull'uso dei DPI essenziali aggrava ulteriormente la situazione.</t>
        </is>
      </c>
      <c r="I2" t="n">
        <v>60</v>
      </c>
      <c r="J2" t="inlineStr">
        <is>
          <t>arancione</t>
        </is>
      </c>
      <c r="K2" t="n">
        <v>5.37</v>
      </c>
      <c r="L2" t="n">
        <v>5.37</v>
      </c>
      <c r="M2" t="inlineStr">
        <is>
          <t>verde</t>
        </is>
      </c>
      <c r="N2" t="n">
        <v>0.6</v>
      </c>
      <c r="O2" t="inlineStr">
        <is>
          <t>La visibilità è limitata per i dettagli fini e i DPI specifici, influenzando la confidenza di alcune valutazioni. L'area di movimento del transpallet non mostra una chiara segregazione pedonale/veicolare, suggerendo una potenziale violazione o mancanza di percorsi dedicati. Non è possibile confermare l'uso di tutti i DPI essenziali.</t>
        </is>
      </c>
      <c r="P2" t="n">
        <v>0.25</v>
      </c>
      <c r="Q2" t="n">
        <v>0.0759</v>
      </c>
      <c r="R2" t="n">
        <v>0.237</v>
      </c>
      <c r="S2" t="n">
        <v>1.7988</v>
      </c>
      <c r="T2" t="n">
        <v>33.5</v>
      </c>
      <c r="U2" t="n">
        <v>0.5</v>
      </c>
      <c r="V2" t="n">
        <v>0.5</v>
      </c>
      <c r="W2" t="n">
        <v>0.066</v>
      </c>
      <c r="X2" t="n">
        <v>3.3</v>
      </c>
      <c r="Y2" t="n">
        <v>61.45</v>
      </c>
      <c r="Z2" t="n">
        <v>0</v>
      </c>
      <c r="AA2" t="n">
        <v>0.0067</v>
      </c>
      <c r="AB2" t="n">
        <v>0.144</v>
      </c>
      <c r="AC2" t="n">
        <v>0.0965</v>
      </c>
      <c r="AD2" t="n">
        <v>1.8</v>
      </c>
      <c r="AE2" t="n">
        <v>0</v>
      </c>
      <c r="AF2" t="n">
        <v>0.0045</v>
      </c>
      <c r="AG2" t="n">
        <v>0.38</v>
      </c>
      <c r="AH2" t="n">
        <v>0.171</v>
      </c>
      <c r="AI2" t="n">
        <v>3.18</v>
      </c>
      <c r="AJ2" t="n">
        <v>0</v>
      </c>
      <c r="AK2" t="n">
        <v>0</v>
      </c>
      <c r="AL2" t="n">
        <v>0.044</v>
      </c>
      <c r="AM2" t="n">
        <v>0</v>
      </c>
      <c r="AN2" t="n">
        <v>0</v>
      </c>
      <c r="AO2" t="n">
        <v>0</v>
      </c>
      <c r="AP2" t="n">
        <v>0</v>
      </c>
      <c r="AQ2" t="n">
        <v>0.101</v>
      </c>
      <c r="AR2" t="n">
        <v>0</v>
      </c>
      <c r="AS2" t="n">
        <v>0</v>
      </c>
      <c r="AT2" t="n">
        <v>0.25</v>
      </c>
      <c r="AU2" t="n">
        <v>0</v>
      </c>
      <c r="AV2" t="n">
        <v>0.028</v>
      </c>
      <c r="AW2" t="n">
        <v>0</v>
      </c>
      <c r="AX2" t="n">
        <v>0</v>
      </c>
    </row>
    <row r="3">
      <c r="A3" t="n">
        <v>1</v>
      </c>
      <c r="B3" t="n">
        <v>2</v>
      </c>
      <c r="C3" t="n">
        <v>6</v>
      </c>
      <c r="D3" t="inlineStr">
        <is>
          <t>{"scene_state": "Officina industriale o reparto di produzione.", "environmental_conditions": ["Interno", "Ben illuminato", "Pavimento pulito con segnaletica orizzontale verde"], "actors": [{"id": "person_1", "description": "Una persona cammina da destra a sinistra nella sezione centrale-destra, indossando abiti da lavoro scuri con dettagli rossi/arancioni."}, {"id": "person_2", "description": "Una persona è visibile più indietro, vicino a un'apertura, anch'essa in movimento."}], "objects": ["Una grande bobina di metallo sul pavimento al centro-sinistra.", "Pallet o slitte con oggetti sopra nella sezione centrale-destra.", "Cavi e piccole attrezzature sul pavimento vicino ai macchinari in primo piano.", "Cartello murale con la scritta \"MAMUL AMBARI\".", "Unità di condizionamento dell'aria sulla parete destra."], "machines": ["Diverse grandi presse industriali (blu, bianche, grigie) nella parte sinistra e centrale.", "Sistema di movimentazione materiali o nastro trasportatore (struttura arancione) vicino alle macchine centrali.", "Macchinari più piccoli in primo piano, probabilmente parte di una linea di produzione."], "observable_actions": ["Una persona cammina da destra a sinistra.", "Una seconda persona cammina sullo sfondo.", "I macchinari principali sembrano essere inattivi o in standby, senza movimenti operativi visibili."], "notes_visibility_limitations": "Alcune parti dei macchinari sono parzialmente oscurate. I dettagli degli oggetti sui pallet non sono chiari. La funzione esatta di tutte le attrezzature in primo piano non è completamente discernibile. L'attività della persona sullo sfondo è meno chiara a causa della distanza."}</t>
        </is>
      </c>
      <c r="E3" t="inlineStr">
        <is>
          <t>{"unsafe_behaviors": ["Camminare fuori dalle linee di demarcazione (potenziale violazione segregazione pedonale)", "Assenza di casco (potenziale non conformità DPI)"], "vulnerable_elements": ["Persona 1 (per assenza casco e percorso ambiguo)", "Cavi/attrezzature a terra (potenziale rischio di inciampo, non direttamente coinvolto)"], "risk_cues": {"R1_pedestrian_vehicle_interference": 0.0, "R2_pedestrian_segregation_violation": 0.25, "R3_load_storage_instability": 0.0, "R4_crush_points_dangerous_parts_exposure": 0.0, "R5_unsafe_operational_proximity": 0.0, "R6_unsafe_behavior_posture_manoeuvre": 0.0, "R7_essential_ppe_non_compliance": 0.5}, "cue_confidence": 0.8, "diagnostic_notes": "La persona 1 cammina in un'area non chiaramente definita come percorso pedonale esclusivo, sebbene sia un corridoio sgombro. Non indossa un casco, la cui necessità per il semplice transito non è determinabile con certezza dall'immagine, ma è un DPI comune in ambienti industriali. I macchinari sono inattivi e non ci sono mezzi mobili in transito, riducendo i rischi di collisione o schiacciamento."}</t>
        </is>
      </c>
      <c r="F3" t="inlineStr">
        <is>
          <t>{"causal_chain_plausible": true, "causal_chain_text": "La persona 1 transita in un ambiente industriale senza indossare il casco, un DPI comune per la protezione del capo. Sebbene i macchinari siano inattivi, l'ambiente presenta rischi intrinseci come la caduta di oggetti o l'attivazione improvvisa, rendendo la persona vulnerabile a impatti alla testa. Il percorso non chiaramente segregato aumenta la potenziale esposizione a tali rischi.", "near_miss_or_incident_scenario": "Un piccolo oggetto (es. attrezzo, componente) cade accidentalmente da un'altezza (es. scaffale, parte di macchinario, pallet) e colpisce la testa della persona 1, causando un infortunio a causa dell'assenza del casco.", "contributing_factors": ["Assenza di casco (DPI essenziale per la protezione del capo in ambiente industriale)", "Transito in un'area industriale con rischi di caduta oggetti", "Potenziale violazione della segregazione pedonale (percorso non chiaramente definito)"]}</t>
        </is>
      </c>
      <c r="G3" t="n">
        <v>60</v>
      </c>
      <c r="H3" t="inlineStr">
        <is>
          <t>Il punteggio riflette principalmente l'assenza del casco in un ambiente industriale, rendendo la persona vulnerabile a cadute di oggetti. Sebbene i macchinari siano inattivi, i rischi intrinseci dell'ambiente giustificano un'attenzione significativa.</t>
        </is>
      </c>
      <c r="I3" t="n">
        <v>60</v>
      </c>
      <c r="J3" t="inlineStr">
        <is>
          <t>arancione</t>
        </is>
      </c>
      <c r="K3" t="n">
        <v>3.48</v>
      </c>
      <c r="L3" t="n">
        <v>4.61</v>
      </c>
      <c r="M3" t="inlineStr">
        <is>
          <t>verde</t>
        </is>
      </c>
      <c r="N3" t="n">
        <v>0.8</v>
      </c>
      <c r="O3" t="inlineStr">
        <is>
          <t>La persona 1 cammina in un'area non chiaramente definita come percorso pedonale esclusivo, sebbene sia un corridoio sgombro. Non indossa un casco, la cui necessità per il semplice transito non è determinabile con certezza dall'immagine, ma è un DPI comune in ambienti industriali. I macchinari sono inattivi e non ci sono mezzi mobili in transito, riducendo i rischi di collisione o schiacciamento.</t>
        </is>
      </c>
      <c r="P3" t="n">
        <v>0</v>
      </c>
      <c r="Q3" t="n">
        <v>0.0067</v>
      </c>
      <c r="R3" t="n">
        <v>0.237</v>
      </c>
      <c r="S3" t="n">
        <v>0.1588</v>
      </c>
      <c r="T3" t="n">
        <v>4.56</v>
      </c>
      <c r="U3" t="n">
        <v>0.25</v>
      </c>
      <c r="V3" t="n">
        <v>0.25</v>
      </c>
      <c r="W3" t="n">
        <v>0.066</v>
      </c>
      <c r="X3" t="n">
        <v>1.65</v>
      </c>
      <c r="Y3" t="n">
        <v>47.41</v>
      </c>
      <c r="Z3" t="n">
        <v>0</v>
      </c>
      <c r="AA3" t="n">
        <v>0.0067</v>
      </c>
      <c r="AB3" t="n">
        <v>0.144</v>
      </c>
      <c r="AC3" t="n">
        <v>0.0965</v>
      </c>
      <c r="AD3" t="n">
        <v>2.77</v>
      </c>
      <c r="AE3" t="n">
        <v>0</v>
      </c>
      <c r="AF3" t="n">
        <v>0.0045</v>
      </c>
      <c r="AG3" t="n">
        <v>0.38</v>
      </c>
      <c r="AH3" t="n">
        <v>0.171</v>
      </c>
      <c r="AI3" t="n">
        <v>4.91</v>
      </c>
      <c r="AJ3" t="n">
        <v>0</v>
      </c>
      <c r="AK3" t="n">
        <v>0</v>
      </c>
      <c r="AL3" t="n">
        <v>0.044</v>
      </c>
      <c r="AM3" t="n">
        <v>0</v>
      </c>
      <c r="AN3" t="n">
        <v>0</v>
      </c>
      <c r="AO3" t="n">
        <v>0</v>
      </c>
      <c r="AP3" t="n">
        <v>0</v>
      </c>
      <c r="AQ3" t="n">
        <v>0.101</v>
      </c>
      <c r="AR3" t="n">
        <v>0</v>
      </c>
      <c r="AS3" t="n">
        <v>0</v>
      </c>
      <c r="AT3" t="n">
        <v>0.5</v>
      </c>
      <c r="AU3" t="n">
        <v>0.5</v>
      </c>
      <c r="AV3" t="n">
        <v>0.028</v>
      </c>
      <c r="AW3" t="n">
        <v>1.4</v>
      </c>
      <c r="AX3" t="n">
        <v>40.23</v>
      </c>
    </row>
    <row r="4">
      <c r="A4" t="n">
        <v>2</v>
      </c>
      <c r="B4" t="n">
        <v>4</v>
      </c>
      <c r="C4" t="n">
        <v>8</v>
      </c>
      <c r="D4" t="inlineStr">
        <is>
          <t>{"scene_state": "La scena mostra un ampio capannone industriale con diverse macchine pesanti e un'area di passaggio per il personale.", "environmental_conditions": ["Ambiente interno ben illuminato", "Pavimento pulito con segnaletica orizzontale (linee verdi) che delimita i percorsi"], "actors": [{"type": "persona", "count": 2, "description": "Due individui, presumibilmente operai, che camminano nel corridoio sul lato destro della scena."}], "objects": [{"type": "bobina di metallo", "count": 1, "description": "Una grande bobina di metallo o nastro, posizionata a terra al centro della scena."}, {"type": "pallet/carrelli", "count": "diversi", "description": "Alcuni pallet o carrelli vuoti e altri con oggetti, disposti lungo la parete destra."}, {"type": "attrezzature varie", "count": "diverse", "description": "Piccole attrezzature e cavi a terra vicino alle macchine in primo piano."}], "machines": [{"type": "presse industriali", "count": "diverse", "description": "Diverse grandi presse o macchine industriali di colore blu, bianco e grigio, posizionate in varie aree del capannone."}, {"type": "macchinario arancione", "count": 1, "description": "Un piccolo macchinario o dispositivo di colore arancione vicino alla bobina di metallo."}], "observable_actions": ["I due individui camminano da destra verso sinistra lungo il percorso segnalato nel fondo della scena.", "Le macchine appaiono in stato di riposo o standby, senza movimenti operativi visibili."], "notes_visibility_limitations": "La vista è dall'alto, offrendo una buona panoramica. Alcuni dettagli delle macchine e degli oggetti più distanti sono meno definiti. Non è possibile determinare l'esatta funzione di tutte le macchine o lo scopo specifico del cammino degli individui."}</t>
        </is>
      </c>
      <c r="E4"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0.25}, "cue_confidence": 0.8, "diagnostic_notes": "I pedoni rispettano il percorso segnalato. Nessun mezzo mobile in transito o operazione macchina attiva. La visibilità dei DPI specifici è limitata dalla distanza."}</t>
        </is>
      </c>
      <c r="F4" t="inlineStr">
        <is>
          <t>{"causal_chain_plausible": false, "causal_chain_text": "Sulla base degli elementi visibili e dei cue di rischio forniti, non è possibile identificare una catena causale plausibile che porti a un near miss o incidente. I pedoni rispettano il percorso segnalato, le macchine sono in stato di riposo e non ci sono rischi immediati di interferenza o instabilità di carichi. Il cue R7 (non conformità DPI) è qualificato da limitazioni di visibilità, impedendo di stabilire una non conformità certa come causa.", "near_miss_or_incident_scenario": "Nessuno scenario di near miss o incidente è plausibile data l'assenza di comportamenti non sicuri, operazioni attive o pericoli immediati chiaramente identificabili dagli elementi osservati e dai cue di rischio.", "contributing_factors": []}</t>
        </is>
      </c>
      <c r="G4" t="n">
        <v>5</v>
      </c>
      <c r="H4" t="inlineStr">
        <is>
          <t>Il punteggio è molto basso poiché la scena non presenta rischi immediati: i pedoni rispettano i percorsi e le macchine sono inattive. L'unico cue di rischio (R7) è minimo e non confermato a causa di limitazioni di visibilità.</t>
        </is>
      </c>
      <c r="I4" t="n">
        <v>38</v>
      </c>
      <c r="J4" t="inlineStr">
        <is>
          <t>giallo</t>
        </is>
      </c>
      <c r="K4" t="n">
        <v>0.43</v>
      </c>
      <c r="L4" t="n">
        <v>2.94</v>
      </c>
      <c r="M4" t="inlineStr">
        <is>
          <t>verde</t>
        </is>
      </c>
      <c r="N4" t="n">
        <v>0.8</v>
      </c>
      <c r="O4" t="inlineStr">
        <is>
          <t>I pedoni rispettano il percorso segnalato. Nessun mezzo mobile in transito o operazione macchina attiva. La visibilità dei DPI specifici è limitata dalla distanza.</t>
        </is>
      </c>
      <c r="P4" t="n">
        <v>0</v>
      </c>
      <c r="Q4" t="n">
        <v>0.0067</v>
      </c>
      <c r="R4" t="n">
        <v>0.237</v>
      </c>
      <c r="S4" t="n">
        <v>0.1588</v>
      </c>
      <c r="T4" t="n">
        <v>36.93</v>
      </c>
      <c r="U4" t="n">
        <v>0</v>
      </c>
      <c r="V4" t="n">
        <v>0</v>
      </c>
      <c r="W4" t="n">
        <v>0.066</v>
      </c>
      <c r="X4" t="n">
        <v>0</v>
      </c>
      <c r="Y4" t="n">
        <v>0</v>
      </c>
      <c r="Z4" t="n">
        <v>0</v>
      </c>
      <c r="AA4" t="n">
        <v>0.0067</v>
      </c>
      <c r="AB4" t="n">
        <v>0.144</v>
      </c>
      <c r="AC4" t="n">
        <v>0.0965</v>
      </c>
      <c r="AD4" t="n">
        <v>22.44</v>
      </c>
      <c r="AE4" t="n">
        <v>0</v>
      </c>
      <c r="AF4" t="n">
        <v>0.0045</v>
      </c>
      <c r="AG4" t="n">
        <v>0.38</v>
      </c>
      <c r="AH4" t="n">
        <v>0.171</v>
      </c>
      <c r="AI4" t="n">
        <v>39.77</v>
      </c>
      <c r="AJ4" t="n">
        <v>0</v>
      </c>
      <c r="AK4" t="n">
        <v>0</v>
      </c>
      <c r="AL4" t="n">
        <v>0.044</v>
      </c>
      <c r="AM4" t="n">
        <v>0</v>
      </c>
      <c r="AN4" t="n">
        <v>0</v>
      </c>
      <c r="AO4" t="n">
        <v>0</v>
      </c>
      <c r="AP4" t="n">
        <v>0</v>
      </c>
      <c r="AQ4" t="n">
        <v>0.101</v>
      </c>
      <c r="AR4" t="n">
        <v>0</v>
      </c>
      <c r="AS4" t="n">
        <v>0</v>
      </c>
      <c r="AT4" t="n">
        <v>0.25</v>
      </c>
      <c r="AU4" t="n">
        <v>0</v>
      </c>
      <c r="AV4" t="n">
        <v>0.028</v>
      </c>
      <c r="AW4" t="n">
        <v>0</v>
      </c>
      <c r="AX4" t="n">
        <v>0</v>
      </c>
    </row>
    <row r="5">
      <c r="A5" t="n">
        <v>3</v>
      </c>
      <c r="B5" t="n">
        <v>6</v>
      </c>
      <c r="C5" t="n">
        <v>10</v>
      </c>
      <c r="D5" t="inlineStr">
        <is>
          <t>{"scene_state": "Officina industriale o reparto di produzione.", "environmental_conditions": ["Ambiente interno ben illuminato", "Pavimento pulito con segnaletica orizzontale gialla e verde", "Pareti e soffitto in metallo ondulato"], "actors": ["Due individui camminano da sinistra a destra nel corridoio posteriore, poi svoltano a destra", "Un individuo è fermo vicino a una macchina sul lato destro"], "objects": ["Bobine di metallo sul pavimento", "Pallet o contenitori sul pavimento", "Segnaletica di sicurezza e informazioni sulle macchine e pareti"], "machines": ["Diverse grandi presse industriali (blu e bianche)", "Sistemi di movimentazione materiali o nastri trasportatori associati alle macchine", "Pannelli di controllo e attrezzature ausiliarie"], "observable_actions": ["Due individui camminano lungo un corridoio", "Un individuo è in piedi", "Le macchine sembrano essere inattive o in pausa"], "notes_visibility_limitations": "La ripresa dall'alto limita la visibilità dei dettagli fini e delle operazioni specifiche delle macchine. I volti degli individui non sono distinguibili."}</t>
        </is>
      </c>
      <c r="E5" t="inlineStr">
        <is>
          <t>{"unsafe_behaviors": [], "vulnerable_elements": ["Individui in ambiente industriale"], "risk_cues": {"R1_pedestrian_vehicle_interference": 0.0, "R2_pedestrian_segregation_violation": 0.0, "R3_load_storage_instability": 0.0, "R4_crush_points_dangerous_parts_exposure": 0.0, "R5_unsafe_operational_proximity": 0.0, "R6_unsafe_behavior_posture_manoeuvre": 0.0, "R7_essential_ppe_non_compliance": 0.25}, "cue_confidence": 0.6, "diagnostic_notes": "La ripresa dall'alto e la distanza limitano la visibilità dei dettagli dei DPI e delle operazioni specifiche delle macchine. Gli individui stanno camminando in un corridoio o sono fermi, senza interagire con macchinari o carichi in movimento. Le macchine appaiono inattive. Non si osservano comportamenti o condizioni di rischio evidenti. La valutazione dei DPI è limitata dalla visibilità."}</t>
        </is>
      </c>
      <c r="F5" t="inlineStr">
        <is>
          <t>{"causal_chain_plausible": false, "causal_chain_text": "Data l'inattività delle macchine, l'assenza di comportamenti o condizioni di rischio evidenti (es. instabilità carichi, interazione con macchinari in movimento, violazioni segregazione) e la limitata visibilità sui DPI, non si identifica una catena causale plausibile che possa portare a un near miss o incidente nella finestra temporale osservata. La potenziale non conformità dei DPI (R7) non si traduce in un rischio immediato in assenza di operazioni attive o interazioni pericolose.", "near_miss_or_incident_scenario": "Nessuno scenario plausibile di near miss o incidente è identificabile, data l'assenza di rischi osservabili e l'inattività delle macchine.", "contributing_factors": []}</t>
        </is>
      </c>
      <c r="G5" t="n">
        <v>8</v>
      </c>
      <c r="H5" t="inlineStr">
        <is>
          <t>Il punteggio è basso poiché le macchine sono inattive e non si osservano comportamenti o condizioni di rischio evidenti. La potenziale non conformità dei DPI non genera un rischio immediato in assenza di operazioni attive.</t>
        </is>
      </c>
      <c r="I5" t="n">
        <v>28.4</v>
      </c>
      <c r="J5" t="inlineStr">
        <is>
          <t>giallo</t>
        </is>
      </c>
      <c r="K5" t="n">
        <v>0.43</v>
      </c>
      <c r="L5" t="n">
        <v>1.94</v>
      </c>
      <c r="M5" t="inlineStr">
        <is>
          <t>verde</t>
        </is>
      </c>
      <c r="N5" t="n">
        <v>0.6</v>
      </c>
      <c r="O5" t="inlineStr">
        <is>
          <t>La ripresa dall'alto e la distanza limitano la visibilità dei dettagli dei DPI e delle operazioni specifiche delle macchine. Gli individui stanno camminando in un corridoio o sono fermi, senza interagire con macchinari o carichi in movimento. Le macchine appaiono inattive. Non si osservano comportamenti o condizioni di rischio evidenti. La valutazione dei DPI è limitata dalla visibilità.</t>
        </is>
      </c>
      <c r="P5" t="n">
        <v>0</v>
      </c>
      <c r="Q5" t="n">
        <v>0.0067</v>
      </c>
      <c r="R5" t="n">
        <v>0.237</v>
      </c>
      <c r="S5" t="n">
        <v>0.1588</v>
      </c>
      <c r="T5" t="n">
        <v>36.93</v>
      </c>
      <c r="U5" t="n">
        <v>0</v>
      </c>
      <c r="V5" t="n">
        <v>0</v>
      </c>
      <c r="W5" t="n">
        <v>0.066</v>
      </c>
      <c r="X5" t="n">
        <v>0</v>
      </c>
      <c r="Y5" t="n">
        <v>0</v>
      </c>
      <c r="Z5" t="n">
        <v>0</v>
      </c>
      <c r="AA5" t="n">
        <v>0.0067</v>
      </c>
      <c r="AB5" t="n">
        <v>0.144</v>
      </c>
      <c r="AC5" t="n">
        <v>0.0965</v>
      </c>
      <c r="AD5" t="n">
        <v>22.44</v>
      </c>
      <c r="AE5" t="n">
        <v>0</v>
      </c>
      <c r="AF5" t="n">
        <v>0.0045</v>
      </c>
      <c r="AG5" t="n">
        <v>0.38</v>
      </c>
      <c r="AH5" t="n">
        <v>0.171</v>
      </c>
      <c r="AI5" t="n">
        <v>39.77</v>
      </c>
      <c r="AJ5" t="n">
        <v>0</v>
      </c>
      <c r="AK5" t="n">
        <v>0</v>
      </c>
      <c r="AL5" t="n">
        <v>0.044</v>
      </c>
      <c r="AM5" t="n">
        <v>0</v>
      </c>
      <c r="AN5" t="n">
        <v>0</v>
      </c>
      <c r="AO5" t="n">
        <v>0</v>
      </c>
      <c r="AP5" t="n">
        <v>0</v>
      </c>
      <c r="AQ5" t="n">
        <v>0.101</v>
      </c>
      <c r="AR5" t="n">
        <v>0</v>
      </c>
      <c r="AS5" t="n">
        <v>0</v>
      </c>
      <c r="AT5" t="n">
        <v>0.25</v>
      </c>
      <c r="AU5" t="n">
        <v>0</v>
      </c>
      <c r="AV5" t="n">
        <v>0.028</v>
      </c>
      <c r="AW5" t="n">
        <v>0</v>
      </c>
      <c r="AX5" t="n">
        <v>0</v>
      </c>
    </row>
    <row r="6">
      <c r="A6" t="n">
        <v>4</v>
      </c>
      <c r="B6" t="n">
        <v>8</v>
      </c>
      <c r="C6" t="n">
        <v>12</v>
      </c>
      <c r="D6" t="inlineStr">
        <is>
          <t>{"scene_state": "Scena interna di un capannone industriale o di una fabbrica, con macchinari pesanti e aree di passaggio.", "environmental_conditions": ["Ambiente interno ben illuminato", "Pavimento pulito con segnaletica orizzontale gialla e verde"], "actors": [{"type": "persona", "count": 3, "description": "Tre individui, presumibilmente operai, camminano lungo un corridoio segnalato nella parte destra della scena."}], "objects": [{"type": "bobina di metallo", "count": 2, "description": "Due grandi bobine di metallo sono posizionate sul pavimento al centro-destra."}, {"type": "pallet", "count": 2, "description": "Due pallet sono visibili nell'area di passaggio a destra."}, {"type": "attrezzatura varia", "count": "numerosa", "description": "Diversi piccoli oggetti e attrezzature sono sparsi intorno ai macchinari."}], "machines": [{"type": "pressa industriale", "count": 3, "description": "Tre grandi presse o macchinari industriali sono visibili, uno in primo piano a sinistra (blu e grigio) e due più grandi al centro (blu e bianco)."}, {"type": "carrello elevatore", "count": 1, "description": "Un piccolo carrello elevatore o piattaforma mobile di colore arancione è posizionato tra i macchinari centrali."}], "observable_actions": ["Gli individui camminano lungo un percorso segnalato da destra verso il centro della scena."], "notes_visibility_limitations": "La visuale è dall'alto, il che limita la percezione dei dettagli a terra e dei volti degli individui. Alcune aree dietro i macchinari più grandi sono parzialmente occluse."}</t>
        </is>
      </c>
      <c r="E6"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0.25}, "cue_confidence": 0.6, "diagnostic_notes": "La visuale dall'alto e la distanza limitano la capacità di verificare dettagli specifici dei DPI (es. calzature di sicurezza, guanti) e la presenza di eventuali pericoli minori a terra. Tuttavia, non si osservano comportamenti non sicuri o situazioni di rischio imminente per i pedoni che camminano nel percorso segnalato."}</t>
        </is>
      </c>
      <c r="F6" t="inlineStr">
        <is>
          <t>{"causal_chain_plausible": false, "causal_chain_text": "", "near_miss_or_incident_scenario": "", "contributing_factors": []}</t>
        </is>
      </c>
      <c r="G6" t="n">
        <v>8</v>
      </c>
      <c r="H6" t="inlineStr">
        <is>
          <t>Il rischio è basso poiché non si osservano comportamenti non sicuri o pericoli imminenti. L'unica indicazione di rischio riguarda una potenziale non conformità dei DPI, la cui verifica è limitata dalla visuale.</t>
        </is>
      </c>
      <c r="I6" t="n">
        <v>20.24</v>
      </c>
      <c r="J6" t="inlineStr">
        <is>
          <t>verde</t>
        </is>
      </c>
      <c r="K6" t="n">
        <v>0.43</v>
      </c>
      <c r="L6" t="n">
        <v>1.34</v>
      </c>
      <c r="M6" t="inlineStr">
        <is>
          <t>verde</t>
        </is>
      </c>
      <c r="N6" t="n">
        <v>0.6</v>
      </c>
      <c r="O6" t="inlineStr">
        <is>
          <t>La visuale dall'alto e la distanza limitano la capacità di verificare dettagli specifici dei DPI (es. calzature di sicurezza, guanti) e la presenza di eventuali pericoli minori a terra. Tuttavia, non si osservano comportamenti non sicuri o situazioni di rischio imminente per i pedoni che camminano nel percorso segnalato.</t>
        </is>
      </c>
      <c r="P6" t="n">
        <v>0</v>
      </c>
      <c r="Q6" t="n">
        <v>0.0067</v>
      </c>
      <c r="R6" t="n">
        <v>0.237</v>
      </c>
      <c r="S6" t="n">
        <v>0.1588</v>
      </c>
      <c r="T6" t="n">
        <v>36.93</v>
      </c>
      <c r="U6" t="n">
        <v>0</v>
      </c>
      <c r="V6" t="n">
        <v>0</v>
      </c>
      <c r="W6" t="n">
        <v>0.066</v>
      </c>
      <c r="X6" t="n">
        <v>0</v>
      </c>
      <c r="Y6" t="n">
        <v>0</v>
      </c>
      <c r="Z6" t="n">
        <v>0</v>
      </c>
      <c r="AA6" t="n">
        <v>0.0067</v>
      </c>
      <c r="AB6" t="n">
        <v>0.144</v>
      </c>
      <c r="AC6" t="n">
        <v>0.0965</v>
      </c>
      <c r="AD6" t="n">
        <v>22.44</v>
      </c>
      <c r="AE6" t="n">
        <v>0</v>
      </c>
      <c r="AF6" t="n">
        <v>0.0045</v>
      </c>
      <c r="AG6" t="n">
        <v>0.38</v>
      </c>
      <c r="AH6" t="n">
        <v>0.171</v>
      </c>
      <c r="AI6" t="n">
        <v>39.77</v>
      </c>
      <c r="AJ6" t="n">
        <v>0</v>
      </c>
      <c r="AK6" t="n">
        <v>0</v>
      </c>
      <c r="AL6" t="n">
        <v>0.044</v>
      </c>
      <c r="AM6" t="n">
        <v>0</v>
      </c>
      <c r="AN6" t="n">
        <v>0</v>
      </c>
      <c r="AO6" t="n">
        <v>0</v>
      </c>
      <c r="AP6" t="n">
        <v>0</v>
      </c>
      <c r="AQ6" t="n">
        <v>0.101</v>
      </c>
      <c r="AR6" t="n">
        <v>0</v>
      </c>
      <c r="AS6" t="n">
        <v>0</v>
      </c>
      <c r="AT6" t="n">
        <v>0.25</v>
      </c>
      <c r="AU6" t="n">
        <v>0</v>
      </c>
      <c r="AV6" t="n">
        <v>0.028</v>
      </c>
      <c r="AW6" t="n">
        <v>0</v>
      </c>
      <c r="AX6" t="n">
        <v>0</v>
      </c>
    </row>
    <row r="7">
      <c r="A7" t="n">
        <v>5</v>
      </c>
      <c r="B7" t="n">
        <v>10</v>
      </c>
      <c r="C7" t="n">
        <v>14</v>
      </c>
      <c r="D7" t="inlineStr">
        <is>
          <t>{"scene_state": "Officina industriale in attività.", "environmental_conditions": ["Illuminazione adeguata", "Pavimento pulito e organizzato", "Segnaletica orizzontale (verde e gialla) presente"], "actors": ["Diversi individui (presumibilmente operai) che camminano."], "objects": ["Bobine di metallo", "Pallet", "Attrezzature e carrelli vari", "Cartelli di avviso/sicurezza"], "machines": ["Diverse presse industriali di grandi dimensioni (colori blu, bianco, grigio)", "Macchinari ausiliari per la lavorazione dei metalli"], "observable_actions": ["Individui che camminano lungo un percorso segnalato all'interno dell'officina."], "notes_visibility_limitations": "La ripresa dall'alto può limitare la visibilità di dettagli minuti o di oggetti parzialmente occlusi dai macchinari."}</t>
        </is>
      </c>
      <c r="E7"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0.0}, "cue_confidence": 0.8, "diagnostic_notes": "La visibilità dall'alto limita l'identificazione dettagliata dei DPI individuali. Non si osservano mezzi mobili, violazioni della segregazione pedonale, instabilità di carichi o interazioni pericolose con macchinari."}</t>
        </is>
      </c>
      <c r="F7" t="inlineStr">
        <is>
          <t>{"causal_chain_plausible": false, "causal_chain_text": "", "near_miss_or_incident_scenario": "", "contributing_factors": []}</t>
        </is>
      </c>
      <c r="G7" t="n">
        <v>10</v>
      </c>
      <c r="H7" t="inlineStr">
        <is>
          <t>Non sono stati osservati comportamenti insicuri, violazioni della segregazione pedonale o interazioni pericolose con i macchinari. Gli individui camminano lungo percorsi segnalati in un ambiente ben organizzato.</t>
        </is>
      </c>
      <c r="I7" t="n">
        <v>17.74</v>
      </c>
      <c r="J7" t="inlineStr">
        <is>
          <t>verde</t>
        </is>
      </c>
      <c r="K7" t="n">
        <v>0.43</v>
      </c>
      <c r="L7" t="n">
        <v>0.98</v>
      </c>
      <c r="M7" t="inlineStr">
        <is>
          <t>verde</t>
        </is>
      </c>
      <c r="N7" t="n">
        <v>0.8</v>
      </c>
      <c r="O7" t="inlineStr">
        <is>
          <t>La visibilità dall'alto limita l'identificazione dettagliata dei DPI individuali. Non si osservano mezzi mobili, violazioni della segregazione pedonale, instabilità di carichi o interazioni pericolose con macchinari.</t>
        </is>
      </c>
      <c r="P7" t="n">
        <v>0</v>
      </c>
      <c r="Q7" t="n">
        <v>0.0067</v>
      </c>
      <c r="R7" t="n">
        <v>0.237</v>
      </c>
      <c r="S7" t="n">
        <v>0.1588</v>
      </c>
      <c r="T7" t="n">
        <v>36.93</v>
      </c>
      <c r="U7" t="n">
        <v>0</v>
      </c>
      <c r="V7" t="n">
        <v>0</v>
      </c>
      <c r="W7" t="n">
        <v>0.066</v>
      </c>
      <c r="X7" t="n">
        <v>0</v>
      </c>
      <c r="Y7" t="n">
        <v>0</v>
      </c>
      <c r="Z7" t="n">
        <v>0</v>
      </c>
      <c r="AA7" t="n">
        <v>0.0067</v>
      </c>
      <c r="AB7" t="n">
        <v>0.144</v>
      </c>
      <c r="AC7" t="n">
        <v>0.0965</v>
      </c>
      <c r="AD7" t="n">
        <v>22.44</v>
      </c>
      <c r="AE7" t="n">
        <v>0</v>
      </c>
      <c r="AF7" t="n">
        <v>0.0045</v>
      </c>
      <c r="AG7" t="n">
        <v>0.38</v>
      </c>
      <c r="AH7" t="n">
        <v>0.171</v>
      </c>
      <c r="AI7" t="n">
        <v>39.77</v>
      </c>
      <c r="AJ7" t="n">
        <v>0</v>
      </c>
      <c r="AK7" t="n">
        <v>0</v>
      </c>
      <c r="AL7" t="n">
        <v>0.044</v>
      </c>
      <c r="AM7" t="n">
        <v>0</v>
      </c>
      <c r="AN7" t="n">
        <v>0</v>
      </c>
      <c r="AO7" t="n">
        <v>0</v>
      </c>
      <c r="AP7" t="n">
        <v>0</v>
      </c>
      <c r="AQ7" t="n">
        <v>0.101</v>
      </c>
      <c r="AR7" t="n">
        <v>0</v>
      </c>
      <c r="AS7" t="n">
        <v>0</v>
      </c>
      <c r="AT7" t="n">
        <v>0</v>
      </c>
      <c r="AU7" t="n">
        <v>0</v>
      </c>
      <c r="AV7" t="n">
        <v>0.028</v>
      </c>
      <c r="AW7" t="n">
        <v>0</v>
      </c>
      <c r="AX7" t="n">
        <v>0</v>
      </c>
    </row>
    <row r="8">
      <c r="A8" t="n">
        <v>6</v>
      </c>
      <c r="B8" t="n">
        <v>12</v>
      </c>
      <c r="C8" t="n">
        <v>16</v>
      </c>
      <c r="D8" t="inlineStr">
        <is>
          <t>{"scene_state": "La scena mostra un ambiente industriale interno, probabilmente un'officina o un reparto di produzione, con macchinari pesanti e personale in movimento. L'area è ben organizzata con percorsi pedonali segnalati.", "environmental_conditions": ["Illuminazione interna adeguata", "Pavimento pulito con segnaletica orizzontale (gialla e verde)", "Nessun segno visibile di fumo o fuoriuscite di liquidi"], "actors": ["Una persona con abiti scuri e giubbotto rosso cammina da destra verso il fondo lungo il percorso", "Una persona con abiti scuri e giubbotto rosso cammina dal fondo verso il primo piano lungo il percorso", "Una persona con abiti scuri è chinata vicino a un macchinario in primo piano", "Altre persone sono visibili in lontananza o ferme vicino ai macchinari"], "objects": ["Bobine di metallo su pallet sul pavimento", "Attrezzature e cavi vicino ai macchinari in primo piano (incluso un treppiede per telecamera)", "Pallet o piattaforme lungo il percorso a destra", "Estintore a parete", "Cartello 'MAMUL DEPO' sulla parete"], "machines": ["Grandi presse industriali (bianche/blu e blu/grigie) a metà e primo piano", "Macchinari più piccoli collegati alle presse principali", "Binari per carroponte visibili in alto"], "observable_actions": ["Una persona si china, probabilmente per lavorare su un'attrezzatura in primo piano", "Diverse persone camminano lungo i percorsi pedonali segnalati", "Si osserva una leggera emissione di vapore/nebbia da un macchinario in primo piano all'inizio della clip"], "notes_visibility_limitations": "La vista dall'alto offre una panoramica generale, ma i dettagli specifici delle attività svolte dalle persone o di oggetti più piccoli potrebbero non essere completamente visibili. Alcune aree sullo sfondo sono meno definite a causa della distanza."}</t>
        </is>
      </c>
      <c r="E8" t="inlineStr">
        <is>
          <t>{"unsafe_behaviors": [], "vulnerable_elements": ["Persona in prossimità della pressa industriale"], "risk_cues": {"R1_pedestrian_vehicle_interference": 0.0, "R2_pedestrian_segregation_violation": 0.0, "R3_load_storage_instability": 0.0, "R4_crush_points_dangerous_parts_exposure": 0.25, "R5_unsafe_operational_proximity": 0.5, "R6_unsafe_behavior_posture_manoeuvre": 0.0, "R7_essential_ppe_non_compliance": 0.25}, "cue_confidence": 0.6, "diagnostic_notes": "La visibilità dei DPI per la persona in primo piano è limitata, rendendo difficile una valutazione completa. La prossimità di questa persona a una grande pressa industriale, anche se non si osservano operazioni dirette, rappresenta una potenziale area di rischio. Non sono presenti mezzi mobili nell'area di transito pedonale."}</t>
        </is>
      </c>
      <c r="F8" t="inlineStr">
        <is>
          <t>{"causal_chain_plausible": true, "causal_chain_text": "Una persona è chinata in prossimità di una grande pressa industriale. Se la macchina dovesse attivarsi inaspettatamente o se la persona entrasse in contatto involontario con punti di schiacciamento o parti in movimento a causa della sua postura o di una barriera insufficiente, potrebbe verificarsi un near miss o un incidente.", "near_miss_or_incident_scenario": "Una persona che si china vicino a una pressa industriale subisce un infortunio (es. schiacciamento di un arto) a causa dell'attivazione inattesa della macchina o del contatto con parti pericolose durante la sua attività.", "contributing_factors": ["Prossimità della persona a macchinari pesanti con punti di schiacciamento", "Postura vulnerabile (chinata) della persona", "Potenziale attivazione inattesa o movimento della macchina", "Visibilità limitata dei DPI"]}</t>
        </is>
      </c>
      <c r="G8" t="n">
        <v>58</v>
      </c>
      <c r="H8" t="inlineStr">
        <is>
          <t>La persona è chinata in prossimità di una grande pressa industriale, creando un rischio significativo di contatto con punti di schiacciamento o attivazione inattesa della macchina. La postura vulnerabile e l'incertezza sui DPI aumentano la potenziale gravità di un incidente.</t>
        </is>
      </c>
      <c r="I8" t="n">
        <v>72.23999999999999</v>
      </c>
      <c r="J8" t="inlineStr">
        <is>
          <t>arancione</t>
        </is>
      </c>
      <c r="K8" t="n">
        <v>4.52</v>
      </c>
      <c r="L8" t="n">
        <v>5.67</v>
      </c>
      <c r="M8" t="inlineStr">
        <is>
          <t>verde</t>
        </is>
      </c>
      <c r="N8" t="n">
        <v>0.6</v>
      </c>
      <c r="O8" t="inlineStr">
        <is>
          <t>La visibilità dei DPI per la persona in primo piano è limitata, rendendo difficile una valutazione completa. La prossimità di questa persona a una grande pressa industriale, anche se non si osservano operazioni dirette, rappresenta una potenziale area di rischio. Non sono presenti mezzi mobili nell'area di transito pedonale.</t>
        </is>
      </c>
      <c r="P8" t="n">
        <v>0</v>
      </c>
      <c r="Q8" t="n">
        <v>0.0067</v>
      </c>
      <c r="R8" t="n">
        <v>0.237</v>
      </c>
      <c r="S8" t="n">
        <v>0.1588</v>
      </c>
      <c r="T8" t="n">
        <v>3.51</v>
      </c>
      <c r="U8" t="n">
        <v>0</v>
      </c>
      <c r="V8" t="n">
        <v>0</v>
      </c>
      <c r="W8" t="n">
        <v>0.066</v>
      </c>
      <c r="X8" t="n">
        <v>0</v>
      </c>
      <c r="Y8" t="n">
        <v>0</v>
      </c>
      <c r="Z8" t="n">
        <v>0</v>
      </c>
      <c r="AA8" t="n">
        <v>0.0067</v>
      </c>
      <c r="AB8" t="n">
        <v>0.144</v>
      </c>
      <c r="AC8" t="n">
        <v>0.0965</v>
      </c>
      <c r="AD8" t="n">
        <v>2.13</v>
      </c>
      <c r="AE8" t="n">
        <v>0.25</v>
      </c>
      <c r="AF8" t="n">
        <v>0.0832</v>
      </c>
      <c r="AG8" t="n">
        <v>0.38</v>
      </c>
      <c r="AH8" t="n">
        <v>3.1616</v>
      </c>
      <c r="AI8" t="n">
        <v>69.95</v>
      </c>
      <c r="AJ8" t="n">
        <v>0.5</v>
      </c>
      <c r="AK8" t="n">
        <v>0.25</v>
      </c>
      <c r="AL8" t="n">
        <v>0.044</v>
      </c>
      <c r="AM8" t="n">
        <v>1.1</v>
      </c>
      <c r="AN8" t="n">
        <v>24.34</v>
      </c>
      <c r="AO8" t="n">
        <v>0</v>
      </c>
      <c r="AP8" t="n">
        <v>0</v>
      </c>
      <c r="AQ8" t="n">
        <v>0.101</v>
      </c>
      <c r="AR8" t="n">
        <v>0</v>
      </c>
      <c r="AS8" t="n">
        <v>0</v>
      </c>
      <c r="AT8" t="n">
        <v>0.25</v>
      </c>
      <c r="AU8" t="n">
        <v>0</v>
      </c>
      <c r="AV8" t="n">
        <v>0.028</v>
      </c>
      <c r="AW8" t="n">
        <v>0</v>
      </c>
      <c r="AX8" t="n">
        <v>0</v>
      </c>
    </row>
    <row r="9">
      <c r="A9" t="n">
        <v>7</v>
      </c>
      <c r="B9" t="n">
        <v>14</v>
      </c>
      <c r="C9" t="n">
        <v>18</v>
      </c>
      <c r="D9" t="inlineStr">
        <is>
          <t>{"scene_state": "La scena mostra un'officina industriale ben illuminata e attiva, con macchinari pesanti e personale in movimento.", "environmental_conditions": ["Interno", "Illuminazione artificiale diffusa", "Pavimento pulito con segnaletica orizzontale (verde e gialla)"], "actors": ["Un operatore in uniforme scura, posizionato vicino a un macchinario in primo piano a sinistra", "Due uomini in uniforme scura con dettagli rossi, che camminano lungo il corridoio a destra, allontanandosi"], "objects": ["Bobine di metallo sul pavimento", "Un carrello elevatore arancione", "Attrezzature e cavi vari sul pavimento", "Piattaforme e strutture metalliche", "Cartelli di avviso sui macchinari"], "machines": ["Diverse presse industriali di grandi dimensioni (blu e grigie) in primo piano e sullo sfondo", "Macchinari ausiliari collegati alle presse"], "observable_actions": ["L'operatore in primo piano si muove leggermente e sembra interagire con un pannello o dispositivo", "I due uomini camminano lungo il corridoio in direzione opposta alla telecamera"], "notes_visibility_limitations": "Nessuna occlusione significativa. I dettagli dei macchinari più distanti sono meno nitidi."}</t>
        </is>
      </c>
      <c r="E9" t="inlineStr">
        <is>
          <t>{"unsafe_behaviors": ["Mancanza apparente di elmetti di sicurezza per il personale in un ambiente industriale con macchinari pesanti."], "vulnerable_elements": ["Personale (per potenziale mancanza di DPI essenziali)", "Cavi sul pavimento (rischio di inciampo)"], "risk_cues": {"R1_pedestrian_vehicle_interference": 0.0, "R2_pedestrian_segregation_violation": 0.0, "R3_load_storage_instability": 0.0, "R4_crush_points_dangerous_parts_exposure": 0.25, "R5_unsafe_operational_proximity": 0.5, "R6_unsafe_behavior_posture_manoeuvre": 0.0, "R7_essential_ppe_non_compliance": 0.75}, "cue_confidence": 0.8, "diagnostic_notes": "L'operatore in primo piano e il personale nel corridoio non indossano elmetti di sicurezza, il che è una potenziale non conformità in un ambiente con macchinari pesanti. Sono presenti cavi sul pavimento nell'area di lavoro dell'operatore, che potrebbero rappresentare un rischio di inciampo. La prossimità dell'operatore a macchinari pesanti e bobine di metallo, unita alla presenza di cavi, crea una prossimità operativa moderatamente rischiosa."}</t>
        </is>
      </c>
      <c r="F9" t="inlineStr">
        <is>
          <t>{"causal_chain_plausible": true, "causal_chain_text": "L'operatore, muovendosi o interagendo con il pannello vicino al macchinario, potrebbe inciampare sui cavi presenti sul pavimento. La caduta lo porterebbe a impattare con le strutture metalliche o le bobine vicine. L'assenza di un elmetto di sicurezza aggraverebbe significativamente le conseguenze di un potenziale trauma cranico.", "near_miss_or_incident_scenario": "Un operatore inciampa sui cavi a terra mentre si muove vicino a una pressa industriale o a bobine di metallo, cadendo e battendo la testa contro una superficie dura, subendo una lesione a causa della mancanza di un elmetto di protezione.", "contributing_factors": ["Mancanza di elmetti di sicurezza per il personale", "Presenza di cavi sul pavimento nell'area di lavoro dell'operatore", "Prossimità dell'operatore a macchinari pesanti e bobine di metallo"]}</t>
        </is>
      </c>
      <c r="G9" t="n">
        <v>75</v>
      </c>
      <c r="H9" t="inlineStr">
        <is>
          <t>Il punteggio riflette l'elevato rischio derivante dalla mancata conformità ai DPI essenziali (elmetti) in un ambiente con macchinari pesanti. La presenza di cavi a terra e la prossimità operativa aumentano il rischio di inciampo e trauma cranico.</t>
        </is>
      </c>
      <c r="I9" t="n">
        <v>86.94</v>
      </c>
      <c r="J9" t="inlineStr">
        <is>
          <t>rosso</t>
        </is>
      </c>
      <c r="K9" t="n">
        <v>5.92</v>
      </c>
      <c r="L9" t="n">
        <v>6.89</v>
      </c>
      <c r="M9" t="inlineStr">
        <is>
          <t>verde</t>
        </is>
      </c>
      <c r="N9" t="n">
        <v>0.8</v>
      </c>
      <c r="O9" t="inlineStr">
        <is>
          <t>L'operatore in primo piano e il personale nel corridoio non indossano elmetti di sicurezza, il che è una potenziale non conformità in un ambiente con macchinari pesanti. Sono presenti cavi sul pavimento nell'area di lavoro dell'operatore, che potrebbero rappresentare un rischio di inciampo. La prossimità dell'operatore a macchinari pesanti e bobine di metallo, unita alla presenza di cavi, crea una prossimità operativa moderatamente rischiosa.</t>
        </is>
      </c>
      <c r="P9" t="n">
        <v>0</v>
      </c>
      <c r="Q9" t="n">
        <v>0.0067</v>
      </c>
      <c r="R9" t="n">
        <v>0.237</v>
      </c>
      <c r="S9" t="n">
        <v>0.1588</v>
      </c>
      <c r="T9" t="n">
        <v>2.68</v>
      </c>
      <c r="U9" t="n">
        <v>0</v>
      </c>
      <c r="V9" t="n">
        <v>0</v>
      </c>
      <c r="W9" t="n">
        <v>0.066</v>
      </c>
      <c r="X9" t="n">
        <v>0</v>
      </c>
      <c r="Y9" t="n">
        <v>0</v>
      </c>
      <c r="Z9" t="n">
        <v>0</v>
      </c>
      <c r="AA9" t="n">
        <v>0.0067</v>
      </c>
      <c r="AB9" t="n">
        <v>0.144</v>
      </c>
      <c r="AC9" t="n">
        <v>0.0965</v>
      </c>
      <c r="AD9" t="n">
        <v>1.63</v>
      </c>
      <c r="AE9" t="n">
        <v>0.25</v>
      </c>
      <c r="AF9" t="n">
        <v>0.0832</v>
      </c>
      <c r="AG9" t="n">
        <v>0.38</v>
      </c>
      <c r="AH9" t="n">
        <v>3.1616</v>
      </c>
      <c r="AI9" t="n">
        <v>53.41</v>
      </c>
      <c r="AJ9" t="n">
        <v>0.5</v>
      </c>
      <c r="AK9" t="n">
        <v>0.25</v>
      </c>
      <c r="AL9" t="n">
        <v>0.044</v>
      </c>
      <c r="AM9" t="n">
        <v>1.1</v>
      </c>
      <c r="AN9" t="n">
        <v>18.58</v>
      </c>
      <c r="AO9" t="n">
        <v>0</v>
      </c>
      <c r="AP9" t="n">
        <v>0</v>
      </c>
      <c r="AQ9" t="n">
        <v>0.101</v>
      </c>
      <c r="AR9" t="n">
        <v>0</v>
      </c>
      <c r="AS9" t="n">
        <v>0</v>
      </c>
      <c r="AT9" t="n">
        <v>0.75</v>
      </c>
      <c r="AU9" t="n">
        <v>0.5</v>
      </c>
      <c r="AV9" t="n">
        <v>0.028</v>
      </c>
      <c r="AW9" t="n">
        <v>1.4</v>
      </c>
      <c r="AX9" t="n">
        <v>23.65</v>
      </c>
    </row>
    <row r="10">
      <c r="A10" t="n">
        <v>8</v>
      </c>
      <c r="B10" t="n">
        <v>16</v>
      </c>
      <c r="C10" t="n">
        <v>20</v>
      </c>
      <c r="D10" t="inlineStr">
        <is>
          <t>{"scene_state": "La scena mostra un'officina industriale attiva con macchinari e personale.", "environmental_conditions": ["Illuminazione artificiale adeguata", "Pavimento pulito con percorsi segnalati da linee verdi e gialle", "Pareti in metallo ondulato", "Strutture aeree (tubi, cavi)"], "actors": ["Un operaio in uniforme scura (primo piano, centro-basso)", "Un operaio in uniforme scura con elementi rossi (percorso a destra)", "Altri operai in background vicino ai macchinari"], "objects": ["Bobine di metallo sul pavimento", "Pallet o telai metallici sul percorso a destra", "Piccola piattaforma mobile arancione", "Attrezzature e strumenti vari"], "machines": ["Grandi presse industriali (blu e bianche, blu e grigie)", "Sistemi di movimentazione materiali/nastri trasportatori", "Pannelli di controllo"], "observable_actions": ["L'operaio in primo piano guarda un oggetto nelle sue mani e si sistema la divisa", "L'operaio sul percorso a destra cammina allontanandosi dalla telecamera", "Operai in background operano o monitorano i macchinari"], "notes_visibility_limitations": "La vista dall'alto limita la visibilità di dettagli a terra o dietro i macchinari. Le attività specifiche degli operai in background non sono chiaramente distinguibili. L'oggetto nelle mani dell'operaio in primo piano non è identificabile."}</t>
        </is>
      </c>
      <c r="E10" t="inlineStr">
        <is>
          <t>{"unsafe_behaviors": ["Potenziale assenza di caschi protettivi sugli operatori in un ambiente industriale con macchinari pesanti."], "vulnerable_elements": ["Operatori esposti a rischi da macchinari e materiali pesanti senza DPI essenziali visibili."], "risk_cues": {"R1_pedestrian_vehicle_interference": 0.0, "R2_pedestrian_segregation_violation": 0.25, "R3_load_storage_instability": 0.0, "R4_crush_points_dangerous_parts_exposure": 0.0, "R5_unsafe_operational_proximity": 0.25, "R6_unsafe_behavior_posture_manoeuvre": 0.0, "R7_essential_ppe_non_compliance": 0.75}, "cue_confidence": 0.8, "diagnostic_notes": "Assenza di caschi visibili sugli operatori in un ambiente industriale con macchinari pesanti, suggerendo una potenziale non conformità con i DPI essenziali. La posizione dell'operaio in primo piano è vicina a macchinari e materiali, ma non sta eseguendo un'operazione pericolosa."}</t>
        </is>
      </c>
      <c r="F10" t="inlineStr">
        <is>
          <t>{"causal_chain_plausible": true, "causal_chain_text": "In un ambiente industriale attivo con macchinari pesanti e strutture aeree, la potenziale assenza di caschi protettivi (DPI essenziali) espone gli operatori al rischio di lesioni alla testa. Un oggetto (es. attrezzo, componente, detrito) potrebbe cadere da un macchinario o da una struttura aerea, colpendo un operatore non protetto.", "near_miss_or_incident_scenario": "Un operaio, privo di casco, si trova in prossimità di un macchinario o sotto una struttura aerea. Un piccolo oggetto si stacca o cade inaspettatamente, mancando di poco la testa dell'operaio (near miss) o colpendola (incidente).", "contributing_factors": ["Potenziale non conformità con i DPI essenziali (caschi protettivi) in un ambiente industriale.", "Presenza di macchinari pesanti e strutture aeree che possono essere fonte di caduta oggetti.", "Operatori in prossimità di aree con potenziale caduta di oggetti o urto."]}</t>
        </is>
      </c>
      <c r="G10" t="n">
        <v>75</v>
      </c>
      <c r="H10" t="inlineStr">
        <is>
          <t>Il punteggio riflette l'elevato rischio derivante dalla potenziale assenza di caschi protettivi (DPI essenziali) in un ambiente industriale con macchinari pesanti e strutture aeree. Questa non conformità espone gli operatori a un rischio significativo di lesioni alla testa.</t>
        </is>
      </c>
      <c r="I10" t="n">
        <v>82.16</v>
      </c>
      <c r="J10" t="inlineStr">
        <is>
          <t>rosso</t>
        </is>
      </c>
      <c r="K10" t="n">
        <v>3.75</v>
      </c>
      <c r="L10" t="n">
        <v>5.63</v>
      </c>
      <c r="M10" t="inlineStr">
        <is>
          <t>verde</t>
        </is>
      </c>
      <c r="N10" t="n">
        <v>0.8</v>
      </c>
      <c r="O10" t="inlineStr">
        <is>
          <t>Assenza di caschi visibili sugli operatori in un ambiente industriale con macchinari pesanti, suggerendo una potenziale non conformità con i DPI essenziali. La posizione dell'operaio in primo piano è vicina a macchinari e materiali, ma non sta eseguendo un'operazione pericolosa.</t>
        </is>
      </c>
      <c r="P10" t="n">
        <v>0</v>
      </c>
      <c r="Q10" t="n">
        <v>0.0067</v>
      </c>
      <c r="R10" t="n">
        <v>0.237</v>
      </c>
      <c r="S10" t="n">
        <v>0.1588</v>
      </c>
      <c r="T10" t="n">
        <v>4.23</v>
      </c>
      <c r="U10" t="n">
        <v>0.25</v>
      </c>
      <c r="V10" t="n">
        <v>0.25</v>
      </c>
      <c r="W10" t="n">
        <v>0.066</v>
      </c>
      <c r="X10" t="n">
        <v>1.65</v>
      </c>
      <c r="Y10" t="n">
        <v>44</v>
      </c>
      <c r="Z10" t="n">
        <v>0</v>
      </c>
      <c r="AA10" t="n">
        <v>0.0067</v>
      </c>
      <c r="AB10" t="n">
        <v>0.144</v>
      </c>
      <c r="AC10" t="n">
        <v>0.0965</v>
      </c>
      <c r="AD10" t="n">
        <v>2.57</v>
      </c>
      <c r="AE10" t="n">
        <v>0</v>
      </c>
      <c r="AF10" t="n">
        <v>0.0045</v>
      </c>
      <c r="AG10" t="n">
        <v>0.38</v>
      </c>
      <c r="AH10" t="n">
        <v>0.171</v>
      </c>
      <c r="AI10" t="n">
        <v>4.56</v>
      </c>
      <c r="AJ10" t="n">
        <v>0.25</v>
      </c>
      <c r="AK10" t="n">
        <v>0.0625</v>
      </c>
      <c r="AL10" t="n">
        <v>0.044</v>
      </c>
      <c r="AM10" t="n">
        <v>0.275</v>
      </c>
      <c r="AN10" t="n">
        <v>7.33</v>
      </c>
      <c r="AO10" t="n">
        <v>0</v>
      </c>
      <c r="AP10" t="n">
        <v>0</v>
      </c>
      <c r="AQ10" t="n">
        <v>0.101</v>
      </c>
      <c r="AR10" t="n">
        <v>0</v>
      </c>
      <c r="AS10" t="n">
        <v>0</v>
      </c>
      <c r="AT10" t="n">
        <v>0.75</v>
      </c>
      <c r="AU10" t="n">
        <v>0.5</v>
      </c>
      <c r="AV10" t="n">
        <v>0.028</v>
      </c>
      <c r="AW10" t="n">
        <v>1.4</v>
      </c>
      <c r="AX10" t="n">
        <v>37.33</v>
      </c>
    </row>
    <row r="11">
      <c r="A11" t="n">
        <v>9</v>
      </c>
      <c r="B11" t="n">
        <v>18</v>
      </c>
      <c r="C11" t="n">
        <v>22</v>
      </c>
      <c r="D11" t="inlineStr">
        <is>
          <t>{"scene_state": "Officina industriale con macchinari pesanti e area di passaggio.", "environmental_conditions": ["Illuminazione artificiale adeguata", "Pavimento pulito con segnaletica orizzontale", "Ambiente interno"], "actors": [{"role": "Operaio", "description": "Una persona in abiti scuri, ferma in primo piano, osserva un dispositivo."}, {"role": "Operai", "description": "Diverse persone in abiti da lavoro camminano lungo un percorso segnalato sullo sfondo."}], "objects": [{"type": "Bobine di metallo", "description": "Diverse bobine di metallo sono posizionate sul pavimento."}, {"type": "Pallet/Carrelli", "description": "Alcuni pallet o carrelli sono visibili lungo il percorso sullo sfondo."}, {"type": "Dispositivo elettronico", "description": "Un dispositivo tenuto in mano dalla persona in primo piano."}, {"type": "Attrezzature varie", "description": "Attrezzature e cavi sono presenti vicino ai macchinari."}], "machines": [{"type": "Presse industriali", "description": "Diverse grandi presse o macchinari per la lavorazione dei metalli sono visibili in tutta l'area."}, {"type": "Linee di produzione", "description": "Sembrano esserci sezioni di linee di produzione o assemblaggio."}], "observable_actions": [{"actor": "Operaio in primo piano", "action": "Sta in piedi e guarda un dispositivo."}, {"actor": "Operai sullo sfondo", "action": "Camminano lungo un percorso designato."}], "notes_visibility_limitations": "La breve durata della clip e la distanza limitano la visibilità dei dettagli specifici delle azioni e dello stato operativo dei macchinari."}</t>
        </is>
      </c>
      <c r="E11" t="inlineStr">
        <is>
          <t>{"unsafe_behaviors": [], "vulnerable_elements": ["Operatori in prossimità di macchinari pesanti"], "risk_cues": {"R1_pedestrian_vehicle_interference": 0.0, "R2_pedestrian_segregation_violation": 0.25, "R3_load_storage_instability": 0.0, "R4_crush_points_dangerous_parts_exposure": 0.25, "R5_unsafe_operational_proximity": 0.25, "R6_unsafe_behavior_posture_manoeuvre": 0.0, "R7_essential_ppe_non_compliance": 0.5}, "cue_confidence": 0.75, "diagnostic_notes": "Nessun mezzo mobile visibile nella finestra temporale analizzata. La visibilità dei DPI essenziali, in particolare dei caschi, è limitata e non è possibile confermare il loro utilizzo da parte di tutti gli operatori in un ambiente che potrebbe richiederli. L'operaio in primo piano è vicino a macchinari ma non interagisce con essi in modo diretto."}</t>
        </is>
      </c>
      <c r="F11" t="inlineStr">
        <is>
          <t>{"causal_chain_plausible": true, "causal_chain_text": "La prossimità degli operatori a macchinari pesanti con parti pericolose (presse, linee di produzione) e la potenziale non conformità nell'uso di DPI essenziali (es. caschi) aumentano la vulnerabilità. Un movimento inatteso del macchinario o la caduta di un oggetto potrebbe causare un impatto.", "near_miss_or_incident_scenario": "Un operaio in prossimità di un macchinario pesante viene colpito da una parte mobile o da un oggetto in caduta dal macchinario stesso, subendo lesioni alla testa o al corpo, aggravate dalla possibile assenza di DPI adeguati.", "contributing_factors": ["Prossimità degli operatori a macchinari pesanti", "Presenza di punti di schiacciamento/parti pericolose dei macchinari", "Potenziale non conformità nell'uso di DPI essenziali (es. caschi)"]}</t>
        </is>
      </c>
      <c r="G11" t="n">
        <v>60</v>
      </c>
      <c r="H11" t="inlineStr">
        <is>
          <t>La prossimità degli operatori a macchinari pesanti con parti pericolose, unita alla potenziale non conformità nell'uso di DPI essenziali come i caschi, crea un rischio significativo di lesioni gravi. La visibilità limitata dei DPI aumenta l'incertezza e la vulnerabilità in un ambiente ad alto rischio.</t>
        </is>
      </c>
      <c r="I11" t="n">
        <v>73.3</v>
      </c>
      <c r="J11" t="inlineStr">
        <is>
          <t>arancione</t>
        </is>
      </c>
      <c r="K11" t="n">
        <v>6.74</v>
      </c>
      <c r="L11" t="n">
        <v>8.470000000000001</v>
      </c>
      <c r="M11" t="inlineStr">
        <is>
          <t>verde</t>
        </is>
      </c>
      <c r="N11" t="n">
        <v>0.75</v>
      </c>
      <c r="O11" t="inlineStr">
        <is>
          <t>Nessun mezzo mobile visibile nella finestra temporale analizzata. La visibilità dei DPI essenziali, in particolare dei caschi, è limitata e non è possibile confermare il loro utilizzo da parte di tutti gli operatori in un ambiente che potrebbe richiederli. L'operaio in primo piano è vicino a macchinari ma non interagisce con essi in modo diretto.</t>
        </is>
      </c>
      <c r="P11" t="n">
        <v>0</v>
      </c>
      <c r="Q11" t="n">
        <v>0.0067</v>
      </c>
      <c r="R11" t="n">
        <v>0.237</v>
      </c>
      <c r="S11" t="n">
        <v>0.1588</v>
      </c>
      <c r="T11" t="n">
        <v>2.36</v>
      </c>
      <c r="U11" t="n">
        <v>0.25</v>
      </c>
      <c r="V11" t="n">
        <v>0.25</v>
      </c>
      <c r="W11" t="n">
        <v>0.066</v>
      </c>
      <c r="X11" t="n">
        <v>1.65</v>
      </c>
      <c r="Y11" t="n">
        <v>24.48</v>
      </c>
      <c r="Z11" t="n">
        <v>0</v>
      </c>
      <c r="AA11" t="n">
        <v>0.0067</v>
      </c>
      <c r="AB11" t="n">
        <v>0.144</v>
      </c>
      <c r="AC11" t="n">
        <v>0.0965</v>
      </c>
      <c r="AD11" t="n">
        <v>1.43</v>
      </c>
      <c r="AE11" t="n">
        <v>0.25</v>
      </c>
      <c r="AF11" t="n">
        <v>0.0832</v>
      </c>
      <c r="AG11" t="n">
        <v>0.38</v>
      </c>
      <c r="AH11" t="n">
        <v>3.1616</v>
      </c>
      <c r="AI11" t="n">
        <v>46.91</v>
      </c>
      <c r="AJ11" t="n">
        <v>0.25</v>
      </c>
      <c r="AK11" t="n">
        <v>0.0625</v>
      </c>
      <c r="AL11" t="n">
        <v>0.044</v>
      </c>
      <c r="AM11" t="n">
        <v>0.275</v>
      </c>
      <c r="AN11" t="n">
        <v>4.08</v>
      </c>
      <c r="AO11" t="n">
        <v>0</v>
      </c>
      <c r="AP11" t="n">
        <v>0</v>
      </c>
      <c r="AQ11" t="n">
        <v>0.101</v>
      </c>
      <c r="AR11" t="n">
        <v>0</v>
      </c>
      <c r="AS11" t="n">
        <v>0</v>
      </c>
      <c r="AT11" t="n">
        <v>0.5</v>
      </c>
      <c r="AU11" t="n">
        <v>0.5</v>
      </c>
      <c r="AV11" t="n">
        <v>0.028</v>
      </c>
      <c r="AW11" t="n">
        <v>1.4</v>
      </c>
      <c r="AX11" t="n">
        <v>20.77</v>
      </c>
    </row>
    <row r="12">
      <c r="A12" t="n">
        <v>10</v>
      </c>
      <c r="B12" t="n">
        <v>20</v>
      </c>
      <c r="C12" t="n">
        <v>24</v>
      </c>
      <c r="D12" t="inlineStr">
        <is>
          <t>{"scene_state": "Interno di un capannone industriale con macchinari pesanti e personale in movimento.", "environmental_conditions": ["Illuminazione artificiale diffusa", "Pavimento pulito con segnaletica orizzontale verde"], "actors": [{"role": "Operaio", "description": "Un operaio in piedi, vestito di scuro, interagisce con attrezzature in primo piano a sinistra."}, {"role": "Operaio", "description": "Un secondo operaio in piedi, vestito di scuro, vicino al primo, sembra osservare o assistere."}, {"role": "Operai", "description": "Due operai in lontananza, con abiti da lavoro scuri e dettagli rossi, camminano lungo un corridoio a destra."}], "objects": ["Bobina di materiale metallico a terra", "Attrezzature varie (cavi, treppiedi, luci) vicino agli operai in primo piano", "Pallet o carrelli vuoti lungo il corridoio", "Cartelli di avviso sui macchinari"], "machines": ["Diverse presse industriali di grandi dimensioni (blu, bianche, grigie)", "Un macchinario con nastro trasportatore arancione", "Un macchinario blu e grigio in primo piano a sinistra"], "observable_actions": ["Due operai in primo piano interagiscono con attrezzature o un pannello di controllo", "Due operai camminano lungo un corridoio in lontananza", "I macchinari sono in funzione o in standby"], "notes_visibility_limitations": "La ripresa dall'alto limita la visibilità dei dettagli fini e dei volti degli operai. La funzione esatta di alcune attrezzature non è chiara."}</t>
        </is>
      </c>
      <c r="E12" t="inlineStr">
        <is>
          <t>{"unsafe_behaviors": [], "vulnerable_elements": ["Operatori in prossimità di macchinari pesanti"], "risk_cues": {"R1_pedestrian_vehicle_interference": 0.0, "R2_pedestrian_segregation_violation": 0.0, "R3_load_storage_instability": 0.0, "R4_crush_points_dangerous_parts_exposure": 0.0, "R5_unsafe_operational_proximity": 0.25, "R6_unsafe_behavior_posture_manoeuvre": 0.0, "R7_essential_ppe_non_compliance": 0.25}, "cue_confidence": 0.6, "diagnostic_notes": "La visibilità dall'alto limita la capacità di verificare i dettagli dei DPI essenziali (es. caschi, scarpe antinfortunistiche) per gli operatori in primo piano. Nonostante non vi sia un'interazione diretta con le parti operative dei macchinari, la prossimità generale a presse industriali di grandi dimensioni introduce un debole rischio di prossimità operativa. Nessun comportamento non sicuro o instabilità di carico è evidente."}</t>
        </is>
      </c>
      <c r="F12" t="inlineStr">
        <is>
          <t>{"causal_chain_plausible": true, "causal_chain_text": "La prossimità degli operatori a macchinari pesanti (presse industriali) in funzione o standby, unita alla potenziale non conformità dei DPI (non verificabile), crea un rischio. Un movimento involontario dell'operatore o un'attivazione inattesa del macchinario potrebbe portare a un contatto accidentale.", "near_miss_or_incident_scenario": "Un operatore in prossimità di una pressa industriale subisce un contatto accidentale con una parte del macchinario a seguito di un movimento involontario o di un'attivazione inattesa, con conseguenze aggravate dalla potenziale assenza o inadeguatezza dei DPI.", "contributing_factors": ["Prossimità operativa a macchinari pesanti (presse industriali)", "Potenziale non conformità dei DPI essenziali (non verificabile)", "Macchinari in funzione o in standby"]}</t>
        </is>
      </c>
      <c r="G12" t="n">
        <v>30</v>
      </c>
      <c r="H12" t="inlineStr">
        <is>
          <t>Il punteggio riflette un rischio moderato dovuto alla prossimità degli operatori a macchinari pesanti e alla potenziale, ma non verificabile, non conformità dei DPI essenziali.</t>
        </is>
      </c>
      <c r="I12" t="n">
        <v>55.98</v>
      </c>
      <c r="J12" t="inlineStr">
        <is>
          <t>arancione</t>
        </is>
      </c>
      <c r="K12" t="n">
        <v>0.7</v>
      </c>
      <c r="L12" t="n">
        <v>5.36</v>
      </c>
      <c r="M12" t="inlineStr">
        <is>
          <t>verde</t>
        </is>
      </c>
      <c r="N12" t="n">
        <v>0.6</v>
      </c>
      <c r="O12" t="inlineStr">
        <is>
          <t>La visibilità dall'alto limita la capacità di verificare i dettagli dei DPI essenziali (es. caschi, scarpe antinfortunistiche) per gli operatori in primo piano. Nonostante non vi sia un'interazione diretta con le parti operative dei macchinari, la prossimità generale a presse industriali di grandi dimensioni introduce un debole rischio di prossimità operativa. Nessun comportamento non sicuro o instabilità di carico è evidente.</t>
        </is>
      </c>
      <c r="P12" t="n">
        <v>0</v>
      </c>
      <c r="Q12" t="n">
        <v>0.0067</v>
      </c>
      <c r="R12" t="n">
        <v>0.237</v>
      </c>
      <c r="S12" t="n">
        <v>0.1588</v>
      </c>
      <c r="T12" t="n">
        <v>22.69</v>
      </c>
      <c r="U12" t="n">
        <v>0</v>
      </c>
      <c r="V12" t="n">
        <v>0</v>
      </c>
      <c r="W12" t="n">
        <v>0.066</v>
      </c>
      <c r="X12" t="n">
        <v>0</v>
      </c>
      <c r="Y12" t="n">
        <v>0</v>
      </c>
      <c r="Z12" t="n">
        <v>0</v>
      </c>
      <c r="AA12" t="n">
        <v>0.0067</v>
      </c>
      <c r="AB12" t="n">
        <v>0.144</v>
      </c>
      <c r="AC12" t="n">
        <v>0.0965</v>
      </c>
      <c r="AD12" t="n">
        <v>13.79</v>
      </c>
      <c r="AE12" t="n">
        <v>0</v>
      </c>
      <c r="AF12" t="n">
        <v>0.0045</v>
      </c>
      <c r="AG12" t="n">
        <v>0.38</v>
      </c>
      <c r="AH12" t="n">
        <v>0.171</v>
      </c>
      <c r="AI12" t="n">
        <v>24.43</v>
      </c>
      <c r="AJ12" t="n">
        <v>0.25</v>
      </c>
      <c r="AK12" t="n">
        <v>0.0625</v>
      </c>
      <c r="AL12" t="n">
        <v>0.044</v>
      </c>
      <c r="AM12" t="n">
        <v>0.275</v>
      </c>
      <c r="AN12" t="n">
        <v>39.29</v>
      </c>
      <c r="AO12" t="n">
        <v>0</v>
      </c>
      <c r="AP12" t="n">
        <v>0</v>
      </c>
      <c r="AQ12" t="n">
        <v>0.101</v>
      </c>
      <c r="AR12" t="n">
        <v>0</v>
      </c>
      <c r="AS12" t="n">
        <v>0</v>
      </c>
      <c r="AT12" t="n">
        <v>0.25</v>
      </c>
      <c r="AU12" t="n">
        <v>0</v>
      </c>
      <c r="AV12" t="n">
        <v>0.028</v>
      </c>
      <c r="AW12" t="n">
        <v>0</v>
      </c>
      <c r="AX12" t="n">
        <v>0</v>
      </c>
    </row>
    <row r="13">
      <c r="A13" t="n">
        <v>11</v>
      </c>
      <c r="B13" t="n">
        <v>22</v>
      </c>
      <c r="C13" t="n">
        <v>26</v>
      </c>
      <c r="D13" t="inlineStr">
        <is>
          <t>{"scene_state": "Officina industriale attiva.", "environmental_conditions": ["Ambiente interno, ben illuminato.", "Pavimento pulito con segnaletica gialla e verde."], "actors": ["Diversi operai presenti.", "Due operai in primo piano interagiscono con attrezzature.", "Almeno tre operai camminano in lontananza."], "objects": ["Bobine di metallo a terra.", "Pallet, attrezzature varie.", "Estintore a parete."], "machines": ["Diverse grandi presse industriali.", "Macchinario blu e bianco al centro.", "Macchinario scuro in primo piano a sinistra.", "Altri macchinari sullo sfondo."], "observable_actions": ["Operai in lontananza camminano.", "Operai in primo piano interagiscono con macchinari/attrezzature (uno in piedi, uno piegato)."], "notes_visibility_limitations": "Visibilità parzialmente limitata da macchinari e distanza, impedendo dettagli precisi o conteggio esatto del personale in alcune aree."}</t>
        </is>
      </c>
      <c r="E13" t="inlineStr">
        <is>
          <t>{"unsafe_behaviors": ["Prossimità ravvicinata a macchinari industriali", "Potenziale assenza di elmetti per gli operatori in primo piano"], "vulnerable_elements": ["Operatori in primo piano"], "risk_cues": {"R1_pedestrian_vehicle_interference": 0.0, "R2_pedestrian_segregation_violation": 0.0, "R3_load_storage_instability": 0.0, "R4_crush_points_dangerous_parts_exposure": 0.25, "R5_unsafe_operational_proximity": 0.5, "R6_unsafe_behavior_posture_manoeuvre": 0.25, "R7_essential_ppe_non_compliance": 0.5}, "cue_confidence": 0.75, "diagnostic_notes": "Gli operatori in primo piano si trovano in prossimità ravvicinata a grandi macchinari industriali. Un operatore è in postura piegata, interagendo con attrezzature, la cui natura esatta e i potenziali rischi non sono completamente visibili. Non sono visibili elmetti sugli operatori in primo piano, il che potrebbe rappresentare una non conformità ai DPI essenziali in un ambiente industriale. Nessun mezzo mobile o carico instabile è presente nella clip. I macchinari non sembrano essere in fase operativa pericolosa durante la clip."}</t>
        </is>
      </c>
      <c r="F13" t="inlineStr">
        <is>
          <t>{"causal_chain_plausible": true, "causal_chain_text": "Operatori in prossimità di macchinari industriali, uno in postura piegata. Un movimento inatteso del macchinario o una perdita di equilibrio dell'operatore potrebbe causare un contatto con parti pericolose, aggravato dalla potenziale assenza di elmetto.", "near_miss_or_incident_scenario": "Un operatore, in prossimità ravvicinata e in postura piegata vicino a un macchinario, subisce un urto alla testa o al corpo a causa di un movimento inatteso o perdita di equilibrio, con conseguenze aggravate dalla potenziale assenza di elmetto.", "contributing_factors": ["Prossimità ravvicinata a macchinari industriali", "Postura non ergonomica/sicura dell'operatore", "Potenziale assenza di DPI essenziali (elmetti)", "Presenza di punti di schiacciamento o parti pericolose sui macchinari"]}</t>
        </is>
      </c>
      <c r="G13" t="n">
        <v>65</v>
      </c>
      <c r="H13" t="inlineStr">
        <is>
          <t>Il punteggio riflette la significativa prossimità degli operatori a macchinari industriali con punti di schiacciamento, aggravata dalla potenziale assenza di DPI essenziali come gli elmetti. La postura piegata di un operatore aumenta il rischio di contatto accidentale o infortunio alla testa.</t>
        </is>
      </c>
      <c r="I13" t="n">
        <v>87.59</v>
      </c>
      <c r="J13" t="inlineStr">
        <is>
          <t>rosso</t>
        </is>
      </c>
      <c r="K13" t="n">
        <v>10.19</v>
      </c>
      <c r="L13" t="n">
        <v>14.88</v>
      </c>
      <c r="M13" t="inlineStr">
        <is>
          <t>verde</t>
        </is>
      </c>
      <c r="N13" t="n">
        <v>0.75</v>
      </c>
      <c r="O13" t="inlineStr">
        <is>
          <t>Gli operatori in primo piano si trovano in prossimità ravvicinata a grandi macchinari industriali. Un operatore è in postura piegata, interagendo con attrezzature, la cui natura esatta e i potenziali rischi non sono completamente visibili. Non sono visibili elmetti sugli operatori in primo piano, il che potrebbe rappresentare una non conformità ai DPI essenziali in un ambiente industriale. Nessun mezzo mobile o carico instabile è presente nella clip. I macchinari non sembrano essere in fase operativa pericolosa durante la clip.</t>
        </is>
      </c>
      <c r="P13" t="n">
        <v>0</v>
      </c>
      <c r="Q13" t="n">
        <v>0.0067</v>
      </c>
      <c r="R13" t="n">
        <v>0.237</v>
      </c>
      <c r="S13" t="n">
        <v>0.1588</v>
      </c>
      <c r="T13" t="n">
        <v>1.56</v>
      </c>
      <c r="U13" t="n">
        <v>0</v>
      </c>
      <c r="V13" t="n">
        <v>0</v>
      </c>
      <c r="W13" t="n">
        <v>0.066</v>
      </c>
      <c r="X13" t="n">
        <v>0</v>
      </c>
      <c r="Y13" t="n">
        <v>0</v>
      </c>
      <c r="Z13" t="n">
        <v>0</v>
      </c>
      <c r="AA13" t="n">
        <v>0.0067</v>
      </c>
      <c r="AB13" t="n">
        <v>0.144</v>
      </c>
      <c r="AC13" t="n">
        <v>0.0965</v>
      </c>
      <c r="AD13" t="n">
        <v>0.95</v>
      </c>
      <c r="AE13" t="n">
        <v>0.25</v>
      </c>
      <c r="AF13" t="n">
        <v>0.0832</v>
      </c>
      <c r="AG13" t="n">
        <v>0.38</v>
      </c>
      <c r="AH13" t="n">
        <v>3.1616</v>
      </c>
      <c r="AI13" t="n">
        <v>31.03</v>
      </c>
      <c r="AJ13" t="n">
        <v>0.5</v>
      </c>
      <c r="AK13" t="n">
        <v>0.25</v>
      </c>
      <c r="AL13" t="n">
        <v>0.044</v>
      </c>
      <c r="AM13" t="n">
        <v>1.1</v>
      </c>
      <c r="AN13" t="n">
        <v>10.79</v>
      </c>
      <c r="AO13" t="n">
        <v>0.25</v>
      </c>
      <c r="AP13" t="n">
        <v>0.4231</v>
      </c>
      <c r="AQ13" t="n">
        <v>0.101</v>
      </c>
      <c r="AR13" t="n">
        <v>4.2733</v>
      </c>
      <c r="AS13" t="n">
        <v>41.94</v>
      </c>
      <c r="AT13" t="n">
        <v>0.5</v>
      </c>
      <c r="AU13" t="n">
        <v>0.5</v>
      </c>
      <c r="AV13" t="n">
        <v>0.028</v>
      </c>
      <c r="AW13" t="n">
        <v>1.4</v>
      </c>
      <c r="AX13" t="n">
        <v>13.74</v>
      </c>
    </row>
    <row r="14">
      <c r="A14" t="n">
        <v>12</v>
      </c>
      <c r="B14" t="n">
        <v>24</v>
      </c>
      <c r="C14" t="n">
        <v>28</v>
      </c>
      <c r="D14" t="inlineStr">
        <is>
          <t>{"scene_state": "La scena mostra un ampio capannone industriale con diverse postazioni di lavoro attive e macchinari in funzione.", "environmental_conditions": ["Ambiente interno illuminato artificialmente.", "Pavimento in cemento con segnaletica orizzontale verde.", "Presenza di fumo o vapore leggero proveniente da un'area centrale."], "actors": ["Due operatori in primo piano, uno dei quali interagisce con un dispositivo.", "Diversi altri individui (operai) distribuiti nell'area, alcuni camminano, altri sono stazionari vicino ai macchinari."], "objects": ["Bobine di materiale metallico sul pavimento.", "Carrelli o piattaforme di trasporto.", "Pannelli di controllo e cavi.", "Attrezzature e utensili vari."], "machines": ["Diverse presse industriali di grandi dimensioni (una blu in primo piano, una bianca/blu al centro, altre sullo sfondo).", "Un macchinario arancione al centro.", "Attrezzature ausiliarie per la lavorazione dei metalli."], "observable_actions": ["Due operatori in primo piano sono impegnati in attività lavorative.", "Personale che cammina lungo i corridoi e si muove tra le postazioni.", "I macchinari sembrano essere in funzione o in fase di preparazione."], "notes_visibility_limitations": "La vista dall'alto limita la chiarezza dei dettagli delle azioni individuali e la natura esatta del fumo/vapore."}</t>
        </is>
      </c>
      <c r="E14" t="inlineStr">
        <is>
          <t>{"unsafe_behaviors": [], "vulnerable_elements": ["Operatori in prossimità di macchinari pesanti e bobine di metallo."], "risk_cues": {"R1_pedestrian_vehicle_interference": 0.0, "R2_pedestrian_segregation_violation": 0.0, "R3_load_storage_instability": 0.0, "R4_crush_points_dangerous_parts_exposure": 0.25, "R5_unsafe_operational_proximity": 0.5, "R6_unsafe_behavior_posture_manoeuvre": 0.25, "R7_essential_ppe_non_compliance": 0.25}, "cue_confidence": 0.7, "diagnostic_notes": "La prospettiva dall'alto limita la visibilità dei dettagli sui DPI e la precisa interazione con i macchinari. Non sono stati rilevati mezzi mobili o violazioni della segregazione pedonale. La prossimità degli operatori a presse industriali e bobine di metallo rappresenta un rischio potenziale."}</t>
        </is>
      </c>
      <c r="F14" t="inlineStr">
        <is>
          <t>{"causal_chain_plausible": true, "causal_chain_text": "Operatori in prossimità di presse industriali in funzione o in preparazione e bobine di metallo -&gt; Esposizione a punti di schiacciamento o parti in movimento dei macchinari -&gt; Movimento inatteso del macchinario o manovra non sicura dell'operatore -&gt; Contatto, schiacciamento o intrappolamento.", "near_miss_or_incident_scenario": "Un operatore, trovandosi in prossimità di una pressa industriale in funzione o in fase di avvio/regolazione, potrebbe entrare in contatto con una parte mobile della macchina, rischiando schiacciamento o intrappolamento.", "contributing_factors": ["Prossimità degli operatori a macchinari pesanti (presse industriali) in funzione o in preparazione.", "Esposizione potenziale a punti di schiacciamento e parti pericolose dei macchinari.", "Possibile comportamento o postura non sicura degli operatori (sebbene non chiaramente visibile).", "Possibile non conformità con i DPI essenziali (sebbene non chiaramente visibile)."]}</t>
        </is>
      </c>
      <c r="G14" t="n">
        <v>60</v>
      </c>
      <c r="H14" t="inlineStr">
        <is>
          <t>La prossimità degli operatori a presse industriali di grandi dimensioni e la potenziale esposizione a punti di schiacciamento e parti in movimento creano un rischio significativo. La catena causale plausibile indica un elevato potenziale di infortunio grave.</t>
        </is>
      </c>
      <c r="I14" t="n">
        <v>76.55</v>
      </c>
      <c r="J14" t="inlineStr">
        <is>
          <t>rosso</t>
        </is>
      </c>
      <c r="K14" t="n">
        <v>8.789999999999999</v>
      </c>
      <c r="L14" t="n">
        <v>12.44</v>
      </c>
      <c r="M14" t="inlineStr">
        <is>
          <t>verde</t>
        </is>
      </c>
      <c r="N14" t="n">
        <v>0.7</v>
      </c>
      <c r="O14" t="inlineStr">
        <is>
          <t>La prospettiva dall'alto limita la visibilità dei dettagli sui DPI e la precisa interazione con i macchinari. Non sono stati rilevati mezzi mobili o violazioni della segregazione pedonale. La prossimità degli operatori a presse industriali e bobine di metallo rappresenta un rischio potenziale.</t>
        </is>
      </c>
      <c r="P14" t="n">
        <v>0</v>
      </c>
      <c r="Q14" t="n">
        <v>0.0067</v>
      </c>
      <c r="R14" t="n">
        <v>0.237</v>
      </c>
      <c r="S14" t="n">
        <v>0.1588</v>
      </c>
      <c r="T14" t="n">
        <v>1.81</v>
      </c>
      <c r="U14" t="n">
        <v>0</v>
      </c>
      <c r="V14" t="n">
        <v>0</v>
      </c>
      <c r="W14" t="n">
        <v>0.066</v>
      </c>
      <c r="X14" t="n">
        <v>0</v>
      </c>
      <c r="Y14" t="n">
        <v>0</v>
      </c>
      <c r="Z14" t="n">
        <v>0</v>
      </c>
      <c r="AA14" t="n">
        <v>0.0067</v>
      </c>
      <c r="AB14" t="n">
        <v>0.144</v>
      </c>
      <c r="AC14" t="n">
        <v>0.0965</v>
      </c>
      <c r="AD14" t="n">
        <v>1.1</v>
      </c>
      <c r="AE14" t="n">
        <v>0.25</v>
      </c>
      <c r="AF14" t="n">
        <v>0.0832</v>
      </c>
      <c r="AG14" t="n">
        <v>0.38</v>
      </c>
      <c r="AH14" t="n">
        <v>3.1616</v>
      </c>
      <c r="AI14" t="n">
        <v>35.97</v>
      </c>
      <c r="AJ14" t="n">
        <v>0.5</v>
      </c>
      <c r="AK14" t="n">
        <v>0.25</v>
      </c>
      <c r="AL14" t="n">
        <v>0.044</v>
      </c>
      <c r="AM14" t="n">
        <v>1.1</v>
      </c>
      <c r="AN14" t="n">
        <v>12.51</v>
      </c>
      <c r="AO14" t="n">
        <v>0.25</v>
      </c>
      <c r="AP14" t="n">
        <v>0.4231</v>
      </c>
      <c r="AQ14" t="n">
        <v>0.101</v>
      </c>
      <c r="AR14" t="n">
        <v>4.2733</v>
      </c>
      <c r="AS14" t="n">
        <v>48.62</v>
      </c>
      <c r="AT14" t="n">
        <v>0.25</v>
      </c>
      <c r="AU14" t="n">
        <v>0</v>
      </c>
      <c r="AV14" t="n">
        <v>0.028</v>
      </c>
      <c r="AW14" t="n">
        <v>0</v>
      </c>
      <c r="AX14" t="n">
        <v>0</v>
      </c>
    </row>
    <row r="15">
      <c r="A15" t="n">
        <v>13</v>
      </c>
      <c r="B15" t="n">
        <v>26</v>
      </c>
      <c r="C15" t="n">
        <v>30</v>
      </c>
      <c r="D15" t="inlineStr">
        <is>
          <t>{"scene_state": "La scena mostra l'interno di un capannone industriale o di una fabbrica, con diverse macchine e personale in movimento.", "environmental_conditions": ["Ambiente interno ben illuminato.", "Pavimento in cemento con segnaletica orizzontale (linee gialle e verdi)."], "actors": ["Diversi operai camminano lungo un percorso segnalato sullo sfondo.", "Un operaio in primo piano, con uniforme scura e visiera protettiva, è intento in un'attività che genera scintille.", "Un altro operaio è parzialmente visibile alla sinistra dell'operaio in primo piano."], "objects": ["Bobine di metallo o materiale arrotolato a terra.", "Attrezzature e cavi vicino all'operaio in primo piano (es. torcia, scatola verde).", "Pallet o contenitori nello sfondo."], "machines": ["Diverse presse industriali di grandi dimensioni (colori blu, bianco e grigio).", "Macchinari più piccoli e attrezzature varie distribuite nell'area.", "Strutture e tubazioni aeree."], "observable_actions": ["Operai che camminano lungo i percorsi designati.", "Un operaio che esegue un'attività che produce scintille (possibile saldatura o molatura) in primo piano."], "notes_visibility_limitations": "Alcune aree sono parzialmente ostruite dai macchinari. I dettagli specifici delle attività degli operai sullo sfondo non sono chiaramente visibili a causa della distanza. La natura esatta dell'attività dell'operaio in primo piano (es. saldatura, molatura) non è definibile con certezza, ma sono visibili scintille."}</t>
        </is>
      </c>
      <c r="E15" t="inlineStr">
        <is>
          <t>{"unsafe_behaviors": ["Potenziale assenza di guanti protettivi durante un'attività che genera scintille."], "vulnerable_elements": ["Operatore che esegue l'attività di generazione di scintille (mani, occhi, pelle)."], "risk_cues": {"R1_pedestrian_vehicle_interference": 0.0, "R2_pedestrian_segregation_violation": 0.0, "R3_load_storage_instability": 0.0, "R4_crush_points_dangerous_parts_exposure": 0.5, "R5_unsafe_operational_proximity": 0.5, "R6_unsafe_behavior_posture_manoeuvre": 0.0, "R7_essential_ppe_non_compliance": 0.5}, "cue_confidence": 0.7, "diagnostic_notes": "L'operatore in primo piano sta eseguendo un'attività che genera scintille, probabilmente saldatura o molatura. È visibile una visiera protettiva, ma la presenza di guanti, essenziali per questo tipo di lavoro, non è chiaramente discernibile. L'attività comporta una prossimità operativa a una fonte di rischio (scintille, utensile) e potenziale esposizione a parti pericolose dell'utensile. Non sono state rilevate interferenze pedone-mezzo mobile, violazioni della segregazione pedonale o instabilità del carico. Il comportamento e la postura dell'operatore appaiono adeguati per il compito."}</t>
        </is>
      </c>
      <c r="F15" t="inlineStr">
        <is>
          <t>{"causal_chain_plausible": true, "causal_chain_text": "L'operaio esegue un'attività che genera scintille (saldatura/molatura). Se i guanti protettivi non sono indossati o sono inadeguati, le scintille possono entrare in contatto con le mani o la pelle esposta dell'operatore, causando una lesione.", "near_miss_or_incident_scenario": "Durante l'attività di generazione di scintille, l'operatore subisce una scottatura o un'ustione alle mani a causa del contatto con le scintille, dovuto alla potenziale assenza o inadeguatezza dei guanti protettivi.", "contributing_factors": ["Potenziale non conformità con l'uso dei DPI essenziali (guanti protettivi).", "Natura dell'attività che genera scintille.", "Prossimità operativa alla fonte di rischio (scintille, utensile)."]}</t>
        </is>
      </c>
      <c r="G15" t="n">
        <v>68</v>
      </c>
      <c r="H15" t="inlineStr">
        <is>
          <t>Il punteggio riflette il rischio significativo di lesioni alle mani (ustioni) a causa della potenziale assenza di guanti protettivi durante un'attività che genera scintille. L'operatore è in prossimità operativa diretta con la fonte di pericolo.</t>
        </is>
      </c>
      <c r="I15" t="n">
        <v>79.53</v>
      </c>
      <c r="J15" t="inlineStr">
        <is>
          <t>rosso</t>
        </is>
      </c>
      <c r="K15" t="n">
        <v>27.29</v>
      </c>
      <c r="L15" t="n">
        <v>33.18</v>
      </c>
      <c r="M15" t="inlineStr">
        <is>
          <t>giallo</t>
        </is>
      </c>
      <c r="N15" t="n">
        <v>0.7</v>
      </c>
      <c r="O15" t="inlineStr">
        <is>
          <t>L'operatore in primo piano sta eseguendo un'attività che genera scintille, probabilmente saldatura o molatura. È visibile una visiera protettiva, ma la presenza di guanti, essenziali per questo tipo di lavoro, non è chiaramente discernibile. L'attività comporta una prossimità operativa a una fonte di rischio (scintille, utensile) e potenziale esposizione a parti pericolose dell'utensile. Non sono state rilevate interferenze pedone-mezzo mobile, violazioni della segregazione pedonale o instabilità del carico. Il comportamento e la postura dell'operatore appaiono adeguati per il compito.</t>
        </is>
      </c>
      <c r="P15" t="n">
        <v>0</v>
      </c>
      <c r="Q15" t="n">
        <v>0.0067</v>
      </c>
      <c r="R15" t="n">
        <v>0.237</v>
      </c>
      <c r="S15" t="n">
        <v>0.1588</v>
      </c>
      <c r="T15" t="n">
        <v>0.58</v>
      </c>
      <c r="U15" t="n">
        <v>0</v>
      </c>
      <c r="V15" t="n">
        <v>0</v>
      </c>
      <c r="W15" t="n">
        <v>0.066</v>
      </c>
      <c r="X15" t="n">
        <v>0</v>
      </c>
      <c r="Y15" t="n">
        <v>0</v>
      </c>
      <c r="Z15" t="n">
        <v>0</v>
      </c>
      <c r="AA15" t="n">
        <v>0.0067</v>
      </c>
      <c r="AB15" t="n">
        <v>0.144</v>
      </c>
      <c r="AC15" t="n">
        <v>0.0965</v>
      </c>
      <c r="AD15" t="n">
        <v>0.35</v>
      </c>
      <c r="AE15" t="n">
        <v>0.5</v>
      </c>
      <c r="AF15" t="n">
        <v>0.6457000000000001</v>
      </c>
      <c r="AG15" t="n">
        <v>0.38</v>
      </c>
      <c r="AH15" t="n">
        <v>24.5366</v>
      </c>
      <c r="AI15" t="n">
        <v>89.91</v>
      </c>
      <c r="AJ15" t="n">
        <v>0.5</v>
      </c>
      <c r="AK15" t="n">
        <v>0.25</v>
      </c>
      <c r="AL15" t="n">
        <v>0.044</v>
      </c>
      <c r="AM15" t="n">
        <v>1.1</v>
      </c>
      <c r="AN15" t="n">
        <v>4.03</v>
      </c>
      <c r="AO15" t="n">
        <v>0</v>
      </c>
      <c r="AP15" t="n">
        <v>0</v>
      </c>
      <c r="AQ15" t="n">
        <v>0.101</v>
      </c>
      <c r="AR15" t="n">
        <v>0</v>
      </c>
      <c r="AS15" t="n">
        <v>0</v>
      </c>
      <c r="AT15" t="n">
        <v>0.5</v>
      </c>
      <c r="AU15" t="n">
        <v>0.5</v>
      </c>
      <c r="AV15" t="n">
        <v>0.028</v>
      </c>
      <c r="AW15" t="n">
        <v>1.4</v>
      </c>
      <c r="AX15" t="n">
        <v>5.13</v>
      </c>
    </row>
    <row r="16">
      <c r="A16" t="n">
        <v>14</v>
      </c>
      <c r="B16" t="n">
        <v>28</v>
      </c>
      <c r="C16" t="n">
        <v>30.067</v>
      </c>
      <c r="D16" t="inlineStr">
        <is>
          <t>{"scene_state": "Ambiente di fabbrica o officina industriale con macchinari pesanti.", "environmental_conditions": ["Illuminazione artificiale chiara e uniforme.", "Pavimento in cemento con segnaletica orizzontale gialla e verde che delimita percorsi e aree.", "L'aria appare pulita, senza fumo o polvere visibili."], "actors": ["Un operaio è in primo piano, in piedi e chinato su un'attrezzatura.", "Un altro operaio è in piedi vicino a un macchinario nel mezzo.", "Diversi individui camminano in un corridoio o percorso sullo sfondo."], "objects": ["Bobine o dischi di metallo sono posizionati a terra.", "Pallet o casse sono visibili in diverse aree.", "Attrezzature e strumenti vari sono presenti vicino all'operaio in primo piano.", "Segnaletica e cartelli sono affissi su macchinari e pareti."], "machines": ["Diverse presse industriali di grandi dimensioni (di colore blu e bianco, e blu e grigio) occupano gran parte dell'area.", "Un sistema di trasporto a nastro di colore arancione è visibile nel mezzo.", "Altre attrezzature industriali minori sono sparse nell'ambiente."], "observable_actions": ["L'operaio in primo piano sta osservando o interagendo con un'attrezzatura posta a terra.", "L'operaio nel mezzo è in posizione eretta vicino a un macchinario.", "Gli individui sullo sfondo stanno camminando lungo il percorso designato."], "notes_visibility_limitations": "Alcune aree della scena sono parzialmente ostruite dai macchinari. I dettagli degli oggetti e delle persone più distanti sono meno nitidi a causa della prospettiva e della risoluzione."}</t>
        </is>
      </c>
      <c r="E16" t="inlineStr">
        <is>
          <t>{"unsafe_behaviors": ["Assenza di casco protettivo per gli operatori in un ambiente industriale con macchinari pesanti.", "Potenziale assenza di guanti per l'operatore in primo piano durante l'interazione con l'attrezzatura."], "vulnerable_elements": ["Teste degli operatori esposte a potenziali impatti o cadute di oggetti.", "Mani dell'operatore in primo piano potenzialmente esposte a rischi meccanici o elettrici."], "risk_cues": {"R1_pedestrian_vehicle_interference": 0.0, "R2_pedestrian_segregation_violation": 0.0, "R3_load_storage_instability": 0.0, "R4_crush_points_dangerous_parts_exposure": 0.25, "R5_unsafe_operational_proximity": 0.25, "R6_unsafe_behavior_posture_manoeuvre": 0.0, "R7_essential_ppe_non_compliance": 0.75}, "cue_confidence": 0.8, "diagnostic_notes": "L'assenza di caschi protettivi per gli operatori visibili, in particolare quello in primo piano e quello centrale, rappresenta una non conformità significativa in un ambiente industriale con macchinari pesanti e potenziali rischi di caduta oggetti o urti. L'operatore in primo piano non indossa guanti mentre interagisce con l'attrezzatura a terra; la necessità di guanti dipende dalla natura specifica del compito. Non sono stati rilevati mezzi mobili in transito o situazioni di instabilità di carico/stoccaggio. La prossimità degli operatori ai macchinari è operativa e non appare immediatamente pericolosa, ma richiede attenzione costante."}</t>
        </is>
      </c>
      <c r="F16" t="inlineStr">
        <is>
          <t>{"causal_chain_plausible": true, "causal_chain_text": "L'assenza di Dispositivi di Protezione Individuale (DPI) essenziali, come il casco protettivo e potenzialmente i guanti, espone gli operatori a rischi diretti. In un ambiente con macchinari pesanti e oggetti a terra, la caduta di un oggetto o un urto può causare un trauma cranico. L'interazione con attrezzature senza guanti adeguati può portare a lesioni alle mani (tagli, schiacciamenti).", "near_miss_or_incident_scenario": "Un piccolo componente o attrezzo, accidentalmente spostato o caduto da un macchinario o da un'area di lavoro elevata, colpisce la testa di un operaio sprovvisto di casco, causando un infortunio. Oppure, l'operaio in primo piano, maneggiando un'attrezzatura a terra senza guanti, subisce una lesione alla mano a causa di spigoli vivi o parti in movimento inattese.", "contributing_factors": ["Mancata conformità all'uso di DPI essenziali (caschi protettivi)", "Potenziale mancato uso di guanti protettivi per specifiche mansioni", "Presenza di macchinari pesanti e attrezzature che comportano rischi di caduta oggetti o urti", "Interazione diretta con attrezzature a terra"]}</t>
        </is>
      </c>
      <c r="G16" t="n">
        <v>85</v>
      </c>
      <c r="H16" t="inlineStr">
        <is>
          <t>Il punteggio elevato deriva dalla critica non conformità nell'uso dei DPI essenziali (caschi) in un ambiente con macchinari pesanti, esponendo gli operatori a gravi rischi di trauma cranico e lesioni alle mani.</t>
        </is>
      </c>
      <c r="I16" t="n">
        <v>95.31999999999999</v>
      </c>
      <c r="J16" t="inlineStr">
        <is>
          <t>rosso</t>
        </is>
      </c>
      <c r="K16" t="n">
        <v>5.09</v>
      </c>
      <c r="L16" t="n">
        <v>21.94</v>
      </c>
      <c r="M16" t="inlineStr">
        <is>
          <t>verde</t>
        </is>
      </c>
      <c r="N16" t="n">
        <v>0.8</v>
      </c>
      <c r="O16" t="inlineStr">
        <is>
          <t>L'assenza di caschi protettivi per gli operatori visibili, in particolare quello in primo piano e quello centrale, rappresenta una non conformità significativa in un ambiente industriale con macchinari pesanti e potenziali rischi di caduta oggetti o urti. L'operatore in primo piano non indossa guanti mentre interagisce con l'attrezzatura a terra; la necessità di guanti dipende dalla natura specifica del compito. Non sono stati rilevati mezzi mobili in transito o situazioni di instabilità di carico/stoccaggio. La prossimità degli operatori ai macchinari è operativa e non appare immediatamente pericolosa, ma richiede attenzione costante.</t>
        </is>
      </c>
      <c r="P16" t="n">
        <v>0</v>
      </c>
      <c r="Q16" t="n">
        <v>0.0067</v>
      </c>
      <c r="R16" t="n">
        <v>0.237</v>
      </c>
      <c r="S16" t="n">
        <v>0.1588</v>
      </c>
      <c r="T16" t="n">
        <v>3.12</v>
      </c>
      <c r="U16" t="n">
        <v>0</v>
      </c>
      <c r="V16" t="n">
        <v>0</v>
      </c>
      <c r="W16" t="n">
        <v>0.066</v>
      </c>
      <c r="X16" t="n">
        <v>0</v>
      </c>
      <c r="Y16" t="n">
        <v>0</v>
      </c>
      <c r="Z16" t="n">
        <v>0</v>
      </c>
      <c r="AA16" t="n">
        <v>0.0067</v>
      </c>
      <c r="AB16" t="n">
        <v>0.144</v>
      </c>
      <c r="AC16" t="n">
        <v>0.0965</v>
      </c>
      <c r="AD16" t="n">
        <v>1.9</v>
      </c>
      <c r="AE16" t="n">
        <v>0.25</v>
      </c>
      <c r="AF16" t="n">
        <v>0.0832</v>
      </c>
      <c r="AG16" t="n">
        <v>0.38</v>
      </c>
      <c r="AH16" t="n">
        <v>3.1616</v>
      </c>
      <c r="AI16" t="n">
        <v>62.11</v>
      </c>
      <c r="AJ16" t="n">
        <v>0.25</v>
      </c>
      <c r="AK16" t="n">
        <v>0.0625</v>
      </c>
      <c r="AL16" t="n">
        <v>0.044</v>
      </c>
      <c r="AM16" t="n">
        <v>0.275</v>
      </c>
      <c r="AN16" t="n">
        <v>5.4</v>
      </c>
      <c r="AO16" t="n">
        <v>0</v>
      </c>
      <c r="AP16" t="n">
        <v>0</v>
      </c>
      <c r="AQ16" t="n">
        <v>0.101</v>
      </c>
      <c r="AR16" t="n">
        <v>0</v>
      </c>
      <c r="AS16" t="n">
        <v>0</v>
      </c>
      <c r="AT16" t="n">
        <v>0.75</v>
      </c>
      <c r="AU16" t="n">
        <v>0.5</v>
      </c>
      <c r="AV16" t="n">
        <v>0.028</v>
      </c>
      <c r="AW16" t="n">
        <v>1.4</v>
      </c>
      <c r="AX16" t="n">
        <v>27.5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12" customWidth="1" min="1" max="1"/>
    <col width="14" customWidth="1" min="2" max="2"/>
    <col width="12" customWidth="1" min="3" max="3"/>
    <col width="25" customWidth="1" min="4" max="4"/>
    <col width="24" customWidth="1" min="5" max="5"/>
  </cols>
  <sheetData>
    <row r="1">
      <c r="A1" s="1" t="inlineStr">
        <is>
          <t>window_id</t>
        </is>
      </c>
      <c r="B1" s="1" t="inlineStr">
        <is>
          <t>start_time_s</t>
        </is>
      </c>
      <c r="C1" s="1" t="inlineStr">
        <is>
          <t>end_time_s</t>
        </is>
      </c>
      <c r="D1" s="1" t="inlineStr">
        <is>
          <t>traffic_light_color_vlm</t>
        </is>
      </c>
      <c r="E1" s="1" t="inlineStr">
        <is>
          <t>dynamic_risk_score_vlm</t>
        </is>
      </c>
    </row>
    <row r="2">
      <c r="A2" s="2" t="n">
        <v>0</v>
      </c>
      <c r="B2" s="2" t="n">
        <v>0</v>
      </c>
      <c r="C2" s="2" t="n">
        <v>4</v>
      </c>
      <c r="D2" s="3" t="inlineStr">
        <is>
          <t>arancione</t>
        </is>
      </c>
      <c r="E2" s="2" t="n">
        <v>60</v>
      </c>
    </row>
    <row r="3">
      <c r="A3" s="2" t="n">
        <v>1</v>
      </c>
      <c r="B3" s="2" t="n">
        <v>2</v>
      </c>
      <c r="C3" s="2" t="n">
        <v>6</v>
      </c>
      <c r="D3" s="3" t="inlineStr">
        <is>
          <t>arancione</t>
        </is>
      </c>
      <c r="E3" s="2" t="n">
        <v>60</v>
      </c>
    </row>
    <row r="4">
      <c r="A4" s="4" t="n">
        <v>2</v>
      </c>
      <c r="B4" s="4" t="n">
        <v>4</v>
      </c>
      <c r="C4" s="4" t="n">
        <v>8</v>
      </c>
      <c r="D4" s="5" t="inlineStr">
        <is>
          <t>giallo</t>
        </is>
      </c>
      <c r="E4" s="4" t="n">
        <v>38</v>
      </c>
    </row>
    <row r="5">
      <c r="A5" s="4" t="n">
        <v>3</v>
      </c>
      <c r="B5" s="4" t="n">
        <v>6</v>
      </c>
      <c r="C5" s="4" t="n">
        <v>10</v>
      </c>
      <c r="D5" s="5" t="inlineStr">
        <is>
          <t>giallo</t>
        </is>
      </c>
      <c r="E5" s="4" t="n">
        <v>28.4</v>
      </c>
    </row>
    <row r="6">
      <c r="A6" s="6" t="n">
        <v>4</v>
      </c>
      <c r="B6" s="6" t="n">
        <v>8</v>
      </c>
      <c r="C6" s="6" t="n">
        <v>12</v>
      </c>
      <c r="D6" s="7" t="inlineStr">
        <is>
          <t>verde</t>
        </is>
      </c>
      <c r="E6" s="6" t="n">
        <v>20.24</v>
      </c>
    </row>
    <row r="7">
      <c r="A7" s="6" t="n">
        <v>5</v>
      </c>
      <c r="B7" s="6" t="n">
        <v>10</v>
      </c>
      <c r="C7" s="6" t="n">
        <v>14</v>
      </c>
      <c r="D7" s="7" t="inlineStr">
        <is>
          <t>verde</t>
        </is>
      </c>
      <c r="E7" s="6" t="n">
        <v>17.74</v>
      </c>
    </row>
    <row r="8">
      <c r="A8" s="2" t="n">
        <v>6</v>
      </c>
      <c r="B8" s="2" t="n">
        <v>12</v>
      </c>
      <c r="C8" s="2" t="n">
        <v>16</v>
      </c>
      <c r="D8" s="3" t="inlineStr">
        <is>
          <t>arancione</t>
        </is>
      </c>
      <c r="E8" s="2" t="n">
        <v>72.23999999999999</v>
      </c>
    </row>
    <row r="9">
      <c r="A9" s="8" t="n">
        <v>7</v>
      </c>
      <c r="B9" s="8" t="n">
        <v>14</v>
      </c>
      <c r="C9" s="8" t="n">
        <v>18</v>
      </c>
      <c r="D9" s="9" t="inlineStr">
        <is>
          <t>rosso</t>
        </is>
      </c>
      <c r="E9" s="8" t="n">
        <v>86.94</v>
      </c>
    </row>
    <row r="10">
      <c r="A10" s="8" t="n">
        <v>8</v>
      </c>
      <c r="B10" s="8" t="n">
        <v>16</v>
      </c>
      <c r="C10" s="8" t="n">
        <v>20</v>
      </c>
      <c r="D10" s="9" t="inlineStr">
        <is>
          <t>rosso</t>
        </is>
      </c>
      <c r="E10" s="8" t="n">
        <v>82.16</v>
      </c>
    </row>
    <row r="11">
      <c r="A11" s="2" t="n">
        <v>9</v>
      </c>
      <c r="B11" s="2" t="n">
        <v>18</v>
      </c>
      <c r="C11" s="2" t="n">
        <v>22</v>
      </c>
      <c r="D11" s="3" t="inlineStr">
        <is>
          <t>arancione</t>
        </is>
      </c>
      <c r="E11" s="2" t="n">
        <v>73.3</v>
      </c>
    </row>
    <row r="12">
      <c r="A12" s="2" t="n">
        <v>10</v>
      </c>
      <c r="B12" s="2" t="n">
        <v>20</v>
      </c>
      <c r="C12" s="2" t="n">
        <v>24</v>
      </c>
      <c r="D12" s="3" t="inlineStr">
        <is>
          <t>arancione</t>
        </is>
      </c>
      <c r="E12" s="2" t="n">
        <v>55.98</v>
      </c>
    </row>
    <row r="13">
      <c r="A13" s="8" t="n">
        <v>11</v>
      </c>
      <c r="B13" s="8" t="n">
        <v>22</v>
      </c>
      <c r="C13" s="8" t="n">
        <v>26</v>
      </c>
      <c r="D13" s="9" t="inlineStr">
        <is>
          <t>rosso</t>
        </is>
      </c>
      <c r="E13" s="8" t="n">
        <v>87.59</v>
      </c>
    </row>
    <row r="14">
      <c r="A14" s="8" t="n">
        <v>12</v>
      </c>
      <c r="B14" s="8" t="n">
        <v>24</v>
      </c>
      <c r="C14" s="8" t="n">
        <v>28</v>
      </c>
      <c r="D14" s="9" t="inlineStr">
        <is>
          <t>rosso</t>
        </is>
      </c>
      <c r="E14" s="8" t="n">
        <v>76.55</v>
      </c>
    </row>
    <row r="15">
      <c r="A15" s="8" t="n">
        <v>13</v>
      </c>
      <c r="B15" s="8" t="n">
        <v>26</v>
      </c>
      <c r="C15" s="8" t="n">
        <v>30</v>
      </c>
      <c r="D15" s="9" t="inlineStr">
        <is>
          <t>rosso</t>
        </is>
      </c>
      <c r="E15" s="8" t="n">
        <v>79.53</v>
      </c>
    </row>
    <row r="16">
      <c r="A16" s="8" t="n">
        <v>14</v>
      </c>
      <c r="B16" s="8" t="n">
        <v>28</v>
      </c>
      <c r="C16" s="8" t="n">
        <v>30.067</v>
      </c>
      <c r="D16" s="9" t="inlineStr">
        <is>
          <t>rosso</t>
        </is>
      </c>
      <c r="E16" s="8" t="n">
        <v>95.31999999999999</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12" customWidth="1" min="1" max="1"/>
    <col width="14" customWidth="1" min="2" max="2"/>
    <col width="12" customWidth="1" min="3" max="3"/>
    <col width="25" customWidth="1" min="4" max="4"/>
    <col width="24" customWidth="1" min="5" max="5"/>
  </cols>
  <sheetData>
    <row r="1">
      <c r="A1" s="1" t="inlineStr">
        <is>
          <t>window_id</t>
        </is>
      </c>
      <c r="B1" s="1" t="inlineStr">
        <is>
          <t>start_time_s</t>
        </is>
      </c>
      <c r="C1" s="1" t="inlineStr">
        <is>
          <t>end_time_s</t>
        </is>
      </c>
      <c r="D1" s="1" t="inlineStr">
        <is>
          <t>traffic_light_color_ahp</t>
        </is>
      </c>
      <c r="E1" s="1" t="inlineStr">
        <is>
          <t>dynamic_risk_score_ahp</t>
        </is>
      </c>
    </row>
    <row r="2">
      <c r="A2" s="6" t="n">
        <v>0</v>
      </c>
      <c r="B2" s="6" t="n">
        <v>0</v>
      </c>
      <c r="C2" s="6" t="n">
        <v>4</v>
      </c>
      <c r="D2" s="7" t="inlineStr">
        <is>
          <t>verde</t>
        </is>
      </c>
      <c r="E2" s="6" t="n">
        <v>5.37</v>
      </c>
    </row>
    <row r="3">
      <c r="A3" s="6" t="n">
        <v>1</v>
      </c>
      <c r="B3" s="6" t="n">
        <v>2</v>
      </c>
      <c r="C3" s="6" t="n">
        <v>6</v>
      </c>
      <c r="D3" s="7" t="inlineStr">
        <is>
          <t>verde</t>
        </is>
      </c>
      <c r="E3" s="6" t="n">
        <v>4.61</v>
      </c>
    </row>
    <row r="4">
      <c r="A4" s="6" t="n">
        <v>2</v>
      </c>
      <c r="B4" s="6" t="n">
        <v>4</v>
      </c>
      <c r="C4" s="6" t="n">
        <v>8</v>
      </c>
      <c r="D4" s="7" t="inlineStr">
        <is>
          <t>verde</t>
        </is>
      </c>
      <c r="E4" s="6" t="n">
        <v>2.94</v>
      </c>
    </row>
    <row r="5">
      <c r="A5" s="6" t="n">
        <v>3</v>
      </c>
      <c r="B5" s="6" t="n">
        <v>6</v>
      </c>
      <c r="C5" s="6" t="n">
        <v>10</v>
      </c>
      <c r="D5" s="7" t="inlineStr">
        <is>
          <t>verde</t>
        </is>
      </c>
      <c r="E5" s="6" t="n">
        <v>1.94</v>
      </c>
    </row>
    <row r="6">
      <c r="A6" s="6" t="n">
        <v>4</v>
      </c>
      <c r="B6" s="6" t="n">
        <v>8</v>
      </c>
      <c r="C6" s="6" t="n">
        <v>12</v>
      </c>
      <c r="D6" s="7" t="inlineStr">
        <is>
          <t>verde</t>
        </is>
      </c>
      <c r="E6" s="6" t="n">
        <v>1.34</v>
      </c>
    </row>
    <row r="7">
      <c r="A7" s="6" t="n">
        <v>5</v>
      </c>
      <c r="B7" s="6" t="n">
        <v>10</v>
      </c>
      <c r="C7" s="6" t="n">
        <v>14</v>
      </c>
      <c r="D7" s="7" t="inlineStr">
        <is>
          <t>verde</t>
        </is>
      </c>
      <c r="E7" s="6" t="n">
        <v>0.98</v>
      </c>
    </row>
    <row r="8">
      <c r="A8" s="6" t="n">
        <v>6</v>
      </c>
      <c r="B8" s="6" t="n">
        <v>12</v>
      </c>
      <c r="C8" s="6" t="n">
        <v>16</v>
      </c>
      <c r="D8" s="7" t="inlineStr">
        <is>
          <t>verde</t>
        </is>
      </c>
      <c r="E8" s="6" t="n">
        <v>5.67</v>
      </c>
    </row>
    <row r="9">
      <c r="A9" s="6" t="n">
        <v>7</v>
      </c>
      <c r="B9" s="6" t="n">
        <v>14</v>
      </c>
      <c r="C9" s="6" t="n">
        <v>18</v>
      </c>
      <c r="D9" s="7" t="inlineStr">
        <is>
          <t>verde</t>
        </is>
      </c>
      <c r="E9" s="6" t="n">
        <v>6.89</v>
      </c>
    </row>
    <row r="10">
      <c r="A10" s="6" t="n">
        <v>8</v>
      </c>
      <c r="B10" s="6" t="n">
        <v>16</v>
      </c>
      <c r="C10" s="6" t="n">
        <v>20</v>
      </c>
      <c r="D10" s="7" t="inlineStr">
        <is>
          <t>verde</t>
        </is>
      </c>
      <c r="E10" s="6" t="n">
        <v>5.63</v>
      </c>
    </row>
    <row r="11">
      <c r="A11" s="6" t="n">
        <v>9</v>
      </c>
      <c r="B11" s="6" t="n">
        <v>18</v>
      </c>
      <c r="C11" s="6" t="n">
        <v>22</v>
      </c>
      <c r="D11" s="7" t="inlineStr">
        <is>
          <t>verde</t>
        </is>
      </c>
      <c r="E11" s="6" t="n">
        <v>8.470000000000001</v>
      </c>
    </row>
    <row r="12">
      <c r="A12" s="6" t="n">
        <v>10</v>
      </c>
      <c r="B12" s="6" t="n">
        <v>20</v>
      </c>
      <c r="C12" s="6" t="n">
        <v>24</v>
      </c>
      <c r="D12" s="7" t="inlineStr">
        <is>
          <t>verde</t>
        </is>
      </c>
      <c r="E12" s="6" t="n">
        <v>5.36</v>
      </c>
    </row>
    <row r="13">
      <c r="A13" s="6" t="n">
        <v>11</v>
      </c>
      <c r="B13" s="6" t="n">
        <v>22</v>
      </c>
      <c r="C13" s="6" t="n">
        <v>26</v>
      </c>
      <c r="D13" s="7" t="inlineStr">
        <is>
          <t>verde</t>
        </is>
      </c>
      <c r="E13" s="6" t="n">
        <v>14.88</v>
      </c>
    </row>
    <row r="14">
      <c r="A14" s="6" t="n">
        <v>12</v>
      </c>
      <c r="B14" s="6" t="n">
        <v>24</v>
      </c>
      <c r="C14" s="6" t="n">
        <v>28</v>
      </c>
      <c r="D14" s="7" t="inlineStr">
        <is>
          <t>verde</t>
        </is>
      </c>
      <c r="E14" s="6" t="n">
        <v>12.44</v>
      </c>
    </row>
    <row r="15">
      <c r="A15" s="4" t="n">
        <v>13</v>
      </c>
      <c r="B15" s="4" t="n">
        <v>26</v>
      </c>
      <c r="C15" s="4" t="n">
        <v>30</v>
      </c>
      <c r="D15" s="5" t="inlineStr">
        <is>
          <t>giallo</t>
        </is>
      </c>
      <c r="E15" s="4" t="n">
        <v>33.18</v>
      </c>
    </row>
    <row r="16">
      <c r="A16" s="6" t="n">
        <v>14</v>
      </c>
      <c r="B16" s="6" t="n">
        <v>28</v>
      </c>
      <c r="C16" s="6" t="n">
        <v>30.067</v>
      </c>
      <c r="D16" s="7" t="inlineStr">
        <is>
          <t>verde</t>
        </is>
      </c>
      <c r="E16" s="6" t="n">
        <v>21.94</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12" customWidth="1" min="1" max="1"/>
    <col width="14" customWidth="1" min="2" max="2"/>
    <col width="12" customWidth="1" min="3" max="3"/>
    <col width="30" customWidth="1" min="4" max="4"/>
    <col width="24" customWidth="1" min="5" max="5"/>
    <col width="25" customWidth="1" min="6" max="6"/>
    <col width="30" customWidth="1" min="7" max="7"/>
    <col width="24" customWidth="1" min="8" max="8"/>
    <col width="25" customWidth="1" min="9" max="9"/>
    <col width="30" customWidth="1" min="10" max="10"/>
    <col width="24" customWidth="1" min="11" max="11"/>
    <col width="25" customWidth="1" min="12" max="12"/>
  </cols>
  <sheetData>
    <row r="1">
      <c r="A1" s="1" t="inlineStr">
        <is>
          <t>window_id</t>
        </is>
      </c>
      <c r="B1" s="1" t="inlineStr">
        <is>
          <t>start_time_s</t>
        </is>
      </c>
      <c r="C1" s="1" t="inlineStr">
        <is>
          <t>end_time_s</t>
        </is>
      </c>
      <c r="D1" s="1" t="inlineStr">
        <is>
          <t>instantaneous_risk_score_vlm</t>
        </is>
      </c>
      <c r="E1" s="1" t="inlineStr">
        <is>
          <t>dynamic_risk_score_vlm</t>
        </is>
      </c>
      <c r="F1" s="1" t="inlineStr">
        <is>
          <t>traffic_light_color_vlm</t>
        </is>
      </c>
      <c r="G1" s="1" t="inlineStr">
        <is>
          <t>instantaneous_risk_score_ahp</t>
        </is>
      </c>
      <c r="H1" s="1" t="inlineStr">
        <is>
          <t>dynamic_risk_score_ahp</t>
        </is>
      </c>
      <c r="I1" s="1" t="inlineStr">
        <is>
          <t>traffic_light_color_ahp</t>
        </is>
      </c>
      <c r="J1" s="1" t="inlineStr">
        <is>
          <t>instantaneous_score_abs_diff</t>
        </is>
      </c>
      <c r="K1" s="1" t="inlineStr">
        <is>
          <t>dynamic_score_abs_diff</t>
        </is>
      </c>
      <c r="L1" s="1" t="inlineStr">
        <is>
          <t>traffic_light_agreement</t>
        </is>
      </c>
    </row>
    <row r="2">
      <c r="A2" s="10" t="n">
        <v>0</v>
      </c>
      <c r="B2" s="10" t="n">
        <v>0</v>
      </c>
      <c r="C2" s="10" t="n">
        <v>4</v>
      </c>
      <c r="D2" s="10" t="n">
        <v>60</v>
      </c>
      <c r="E2" s="10" t="n">
        <v>60</v>
      </c>
      <c r="F2" s="10" t="inlineStr">
        <is>
          <t>arancione</t>
        </is>
      </c>
      <c r="G2" s="10" t="n">
        <v>5.37</v>
      </c>
      <c r="H2" s="10" t="n">
        <v>5.37</v>
      </c>
      <c r="I2" s="10" t="inlineStr">
        <is>
          <t>verde</t>
        </is>
      </c>
      <c r="J2" s="10" t="n">
        <v>54.63</v>
      </c>
      <c r="K2" s="10" t="n">
        <v>54.63</v>
      </c>
      <c r="L2" s="10" t="inlineStr">
        <is>
          <t>disaccordo</t>
        </is>
      </c>
    </row>
    <row r="3">
      <c r="A3" s="10" t="n">
        <v>1</v>
      </c>
      <c r="B3" s="10" t="n">
        <v>2</v>
      </c>
      <c r="C3" s="10" t="n">
        <v>6</v>
      </c>
      <c r="D3" s="10" t="n">
        <v>60</v>
      </c>
      <c r="E3" s="10" t="n">
        <v>60</v>
      </c>
      <c r="F3" s="10" t="inlineStr">
        <is>
          <t>arancione</t>
        </is>
      </c>
      <c r="G3" s="10" t="n">
        <v>3.48</v>
      </c>
      <c r="H3" s="10" t="n">
        <v>4.61</v>
      </c>
      <c r="I3" s="10" t="inlineStr">
        <is>
          <t>verde</t>
        </is>
      </c>
      <c r="J3" s="10" t="n">
        <v>56.52</v>
      </c>
      <c r="K3" s="10" t="n">
        <v>55.39</v>
      </c>
      <c r="L3" s="10" t="inlineStr">
        <is>
          <t>disaccordo</t>
        </is>
      </c>
    </row>
    <row r="4">
      <c r="A4" s="10" t="n">
        <v>2</v>
      </c>
      <c r="B4" s="10" t="n">
        <v>4</v>
      </c>
      <c r="C4" s="10" t="n">
        <v>8</v>
      </c>
      <c r="D4" s="10" t="n">
        <v>5</v>
      </c>
      <c r="E4" s="10" t="n">
        <v>38</v>
      </c>
      <c r="F4" s="10" t="inlineStr">
        <is>
          <t>giallo</t>
        </is>
      </c>
      <c r="G4" s="10" t="n">
        <v>0.43</v>
      </c>
      <c r="H4" s="10" t="n">
        <v>2.94</v>
      </c>
      <c r="I4" s="10" t="inlineStr">
        <is>
          <t>verde</t>
        </is>
      </c>
      <c r="J4" s="10" t="n">
        <v>4.57</v>
      </c>
      <c r="K4" s="10" t="n">
        <v>35.06</v>
      </c>
      <c r="L4" s="10" t="inlineStr">
        <is>
          <t>disaccordo</t>
        </is>
      </c>
    </row>
    <row r="5">
      <c r="A5" s="10" t="n">
        <v>3</v>
      </c>
      <c r="B5" s="10" t="n">
        <v>6</v>
      </c>
      <c r="C5" s="10" t="n">
        <v>10</v>
      </c>
      <c r="D5" s="10" t="n">
        <v>8</v>
      </c>
      <c r="E5" s="10" t="n">
        <v>28.4</v>
      </c>
      <c r="F5" s="10" t="inlineStr">
        <is>
          <t>giallo</t>
        </is>
      </c>
      <c r="G5" s="10" t="n">
        <v>0.43</v>
      </c>
      <c r="H5" s="10" t="n">
        <v>1.94</v>
      </c>
      <c r="I5" s="10" t="inlineStr">
        <is>
          <t>verde</t>
        </is>
      </c>
      <c r="J5" s="10" t="n">
        <v>7.57</v>
      </c>
      <c r="K5" s="10" t="n">
        <v>26.46</v>
      </c>
      <c r="L5" s="10" t="inlineStr">
        <is>
          <t>disaccordo</t>
        </is>
      </c>
    </row>
    <row r="6">
      <c r="A6" s="11" t="n">
        <v>4</v>
      </c>
      <c r="B6" s="11" t="n">
        <v>8</v>
      </c>
      <c r="C6" s="11" t="n">
        <v>12</v>
      </c>
      <c r="D6" s="11" t="n">
        <v>8</v>
      </c>
      <c r="E6" s="11" t="n">
        <v>20.24</v>
      </c>
      <c r="F6" s="11" t="inlineStr">
        <is>
          <t>verde</t>
        </is>
      </c>
      <c r="G6" s="11" t="n">
        <v>0.43</v>
      </c>
      <c r="H6" s="11" t="n">
        <v>1.34</v>
      </c>
      <c r="I6" s="11" t="inlineStr">
        <is>
          <t>verde</t>
        </is>
      </c>
      <c r="J6" s="11" t="n">
        <v>7.57</v>
      </c>
      <c r="K6" s="11" t="n">
        <v>18.9</v>
      </c>
      <c r="L6" s="11" t="inlineStr">
        <is>
          <t>accordo</t>
        </is>
      </c>
    </row>
    <row r="7">
      <c r="A7" s="11" t="n">
        <v>5</v>
      </c>
      <c r="B7" s="11" t="n">
        <v>10</v>
      </c>
      <c r="C7" s="11" t="n">
        <v>14</v>
      </c>
      <c r="D7" s="11" t="n">
        <v>10</v>
      </c>
      <c r="E7" s="11" t="n">
        <v>17.74</v>
      </c>
      <c r="F7" s="11" t="inlineStr">
        <is>
          <t>verde</t>
        </is>
      </c>
      <c r="G7" s="11" t="n">
        <v>0.43</v>
      </c>
      <c r="H7" s="11" t="n">
        <v>0.98</v>
      </c>
      <c r="I7" s="11" t="inlineStr">
        <is>
          <t>verde</t>
        </is>
      </c>
      <c r="J7" s="11" t="n">
        <v>9.57</v>
      </c>
      <c r="K7" s="11" t="n">
        <v>16.76</v>
      </c>
      <c r="L7" s="11" t="inlineStr">
        <is>
          <t>accordo</t>
        </is>
      </c>
    </row>
    <row r="8">
      <c r="A8" s="10" t="n">
        <v>6</v>
      </c>
      <c r="B8" s="10" t="n">
        <v>12</v>
      </c>
      <c r="C8" s="10" t="n">
        <v>16</v>
      </c>
      <c r="D8" s="10" t="n">
        <v>58</v>
      </c>
      <c r="E8" s="10" t="n">
        <v>72.23999999999999</v>
      </c>
      <c r="F8" s="10" t="inlineStr">
        <is>
          <t>arancione</t>
        </is>
      </c>
      <c r="G8" s="10" t="n">
        <v>4.52</v>
      </c>
      <c r="H8" s="10" t="n">
        <v>5.67</v>
      </c>
      <c r="I8" s="10" t="inlineStr">
        <is>
          <t>verde</t>
        </is>
      </c>
      <c r="J8" s="10" t="n">
        <v>53.48</v>
      </c>
      <c r="K8" s="10" t="n">
        <v>66.56999999999999</v>
      </c>
      <c r="L8" s="10" t="inlineStr">
        <is>
          <t>disaccordo</t>
        </is>
      </c>
    </row>
    <row r="9">
      <c r="A9" s="10" t="n">
        <v>7</v>
      </c>
      <c r="B9" s="10" t="n">
        <v>14</v>
      </c>
      <c r="C9" s="10" t="n">
        <v>18</v>
      </c>
      <c r="D9" s="10" t="n">
        <v>75</v>
      </c>
      <c r="E9" s="10" t="n">
        <v>86.94</v>
      </c>
      <c r="F9" s="10" t="inlineStr">
        <is>
          <t>rosso</t>
        </is>
      </c>
      <c r="G9" s="10" t="n">
        <v>5.92</v>
      </c>
      <c r="H9" s="10" t="n">
        <v>6.89</v>
      </c>
      <c r="I9" s="10" t="inlineStr">
        <is>
          <t>verde</t>
        </is>
      </c>
      <c r="J9" s="10" t="n">
        <v>69.08</v>
      </c>
      <c r="K9" s="10" t="n">
        <v>80.05</v>
      </c>
      <c r="L9" s="10" t="inlineStr">
        <is>
          <t>disaccordo</t>
        </is>
      </c>
    </row>
    <row r="10">
      <c r="A10" s="10" t="n">
        <v>8</v>
      </c>
      <c r="B10" s="10" t="n">
        <v>16</v>
      </c>
      <c r="C10" s="10" t="n">
        <v>20</v>
      </c>
      <c r="D10" s="10" t="n">
        <v>75</v>
      </c>
      <c r="E10" s="10" t="n">
        <v>82.16</v>
      </c>
      <c r="F10" s="10" t="inlineStr">
        <is>
          <t>rosso</t>
        </is>
      </c>
      <c r="G10" s="10" t="n">
        <v>3.75</v>
      </c>
      <c r="H10" s="10" t="n">
        <v>5.63</v>
      </c>
      <c r="I10" s="10" t="inlineStr">
        <is>
          <t>verde</t>
        </is>
      </c>
      <c r="J10" s="10" t="n">
        <v>71.25</v>
      </c>
      <c r="K10" s="10" t="n">
        <v>76.53</v>
      </c>
      <c r="L10" s="10" t="inlineStr">
        <is>
          <t>disaccordo</t>
        </is>
      </c>
    </row>
    <row r="11">
      <c r="A11" s="10" t="n">
        <v>9</v>
      </c>
      <c r="B11" s="10" t="n">
        <v>18</v>
      </c>
      <c r="C11" s="10" t="n">
        <v>22</v>
      </c>
      <c r="D11" s="10" t="n">
        <v>60</v>
      </c>
      <c r="E11" s="10" t="n">
        <v>73.3</v>
      </c>
      <c r="F11" s="10" t="inlineStr">
        <is>
          <t>arancione</t>
        </is>
      </c>
      <c r="G11" s="10" t="n">
        <v>6.74</v>
      </c>
      <c r="H11" s="10" t="n">
        <v>8.470000000000001</v>
      </c>
      <c r="I11" s="10" t="inlineStr">
        <is>
          <t>verde</t>
        </is>
      </c>
      <c r="J11" s="10" t="n">
        <v>53.26</v>
      </c>
      <c r="K11" s="10" t="n">
        <v>64.83</v>
      </c>
      <c r="L11" s="10" t="inlineStr">
        <is>
          <t>disaccordo</t>
        </is>
      </c>
    </row>
    <row r="12">
      <c r="A12" s="10" t="n">
        <v>10</v>
      </c>
      <c r="B12" s="10" t="n">
        <v>20</v>
      </c>
      <c r="C12" s="10" t="n">
        <v>24</v>
      </c>
      <c r="D12" s="10" t="n">
        <v>30</v>
      </c>
      <c r="E12" s="10" t="n">
        <v>55.98</v>
      </c>
      <c r="F12" s="10" t="inlineStr">
        <is>
          <t>arancione</t>
        </is>
      </c>
      <c r="G12" s="10" t="n">
        <v>0.7</v>
      </c>
      <c r="H12" s="10" t="n">
        <v>5.36</v>
      </c>
      <c r="I12" s="10" t="inlineStr">
        <is>
          <t>verde</t>
        </is>
      </c>
      <c r="J12" s="10" t="n">
        <v>29.3</v>
      </c>
      <c r="K12" s="10" t="n">
        <v>50.62</v>
      </c>
      <c r="L12" s="10" t="inlineStr">
        <is>
          <t>disaccordo</t>
        </is>
      </c>
    </row>
    <row r="13">
      <c r="A13" s="10" t="n">
        <v>11</v>
      </c>
      <c r="B13" s="10" t="n">
        <v>22</v>
      </c>
      <c r="C13" s="10" t="n">
        <v>26</v>
      </c>
      <c r="D13" s="10" t="n">
        <v>65</v>
      </c>
      <c r="E13" s="10" t="n">
        <v>87.59</v>
      </c>
      <c r="F13" s="10" t="inlineStr">
        <is>
          <t>rosso</t>
        </is>
      </c>
      <c r="G13" s="10" t="n">
        <v>10.19</v>
      </c>
      <c r="H13" s="10" t="n">
        <v>14.88</v>
      </c>
      <c r="I13" s="10" t="inlineStr">
        <is>
          <t>verde</t>
        </is>
      </c>
      <c r="J13" s="10" t="n">
        <v>54.81</v>
      </c>
      <c r="K13" s="10" t="n">
        <v>72.71000000000001</v>
      </c>
      <c r="L13" s="10" t="inlineStr">
        <is>
          <t>disaccordo</t>
        </is>
      </c>
    </row>
    <row r="14">
      <c r="A14" s="10" t="n">
        <v>12</v>
      </c>
      <c r="B14" s="10" t="n">
        <v>24</v>
      </c>
      <c r="C14" s="10" t="n">
        <v>28</v>
      </c>
      <c r="D14" s="10" t="n">
        <v>60</v>
      </c>
      <c r="E14" s="10" t="n">
        <v>76.55</v>
      </c>
      <c r="F14" s="10" t="inlineStr">
        <is>
          <t>rosso</t>
        </is>
      </c>
      <c r="G14" s="10" t="n">
        <v>8.789999999999999</v>
      </c>
      <c r="H14" s="10" t="n">
        <v>12.44</v>
      </c>
      <c r="I14" s="10" t="inlineStr">
        <is>
          <t>verde</t>
        </is>
      </c>
      <c r="J14" s="10" t="n">
        <v>51.21</v>
      </c>
      <c r="K14" s="10" t="n">
        <v>64.11</v>
      </c>
      <c r="L14" s="10" t="inlineStr">
        <is>
          <t>disaccordo</t>
        </is>
      </c>
    </row>
    <row r="15">
      <c r="A15" s="10" t="n">
        <v>13</v>
      </c>
      <c r="B15" s="10" t="n">
        <v>26</v>
      </c>
      <c r="C15" s="10" t="n">
        <v>30</v>
      </c>
      <c r="D15" s="10" t="n">
        <v>68</v>
      </c>
      <c r="E15" s="10" t="n">
        <v>79.53</v>
      </c>
      <c r="F15" s="10" t="inlineStr">
        <is>
          <t>rosso</t>
        </is>
      </c>
      <c r="G15" s="10" t="n">
        <v>27.29</v>
      </c>
      <c r="H15" s="10" t="n">
        <v>33.18</v>
      </c>
      <c r="I15" s="10" t="inlineStr">
        <is>
          <t>giallo</t>
        </is>
      </c>
      <c r="J15" s="10" t="n">
        <v>40.71</v>
      </c>
      <c r="K15" s="10" t="n">
        <v>46.35</v>
      </c>
      <c r="L15" s="10" t="inlineStr">
        <is>
          <t>disaccordo</t>
        </is>
      </c>
    </row>
    <row r="16">
      <c r="A16" s="10" t="n">
        <v>14</v>
      </c>
      <c r="B16" s="10" t="n">
        <v>28</v>
      </c>
      <c r="C16" s="10" t="n">
        <v>30.067</v>
      </c>
      <c r="D16" s="10" t="n">
        <v>85</v>
      </c>
      <c r="E16" s="10" t="n">
        <v>95.31999999999999</v>
      </c>
      <c r="F16" s="10" t="inlineStr">
        <is>
          <t>rosso</t>
        </is>
      </c>
      <c r="G16" s="10" t="n">
        <v>5.09</v>
      </c>
      <c r="H16" s="10" t="n">
        <v>21.94</v>
      </c>
      <c r="I16" s="10" t="inlineStr">
        <is>
          <t>verde</t>
        </is>
      </c>
      <c r="J16" s="10" t="n">
        <v>79.91</v>
      </c>
      <c r="K16" s="10" t="n">
        <v>73.38</v>
      </c>
      <c r="L16" s="10" t="inlineStr">
        <is>
          <t>disaccordo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6"/>
  <sheetViews>
    <sheetView workbookViewId="0">
      <selection activeCell="A1" sqref="A1"/>
    </sheetView>
  </sheetViews>
  <sheetFormatPr baseColWidth="8" defaultRowHeight="15"/>
  <cols>
    <col width="12" customWidth="1" min="1" max="1"/>
    <col width="14" customWidth="1" min="2" max="2"/>
    <col width="12"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21" customWidth="1" min="11" max="11"/>
    <col width="21" customWidth="1" min="12" max="12"/>
    <col width="21" customWidth="1" min="13" max="13"/>
    <col width="21" customWidth="1" min="14" max="14"/>
    <col width="21" customWidth="1" min="15" max="15"/>
    <col width="21" customWidth="1" min="16" max="16"/>
    <col width="21" customWidth="1" min="17" max="17"/>
    <col width="30" customWidth="1" min="18" max="18"/>
  </cols>
  <sheetData>
    <row r="1">
      <c r="A1" s="1" t="inlineStr">
        <is>
          <t>window_id</t>
        </is>
      </c>
      <c r="B1" s="1" t="inlineStr">
        <is>
          <t>start_time_s</t>
        </is>
      </c>
      <c r="C1" s="1" t="inlineStr">
        <is>
          <t>end_time_s</t>
        </is>
      </c>
      <c r="D1" s="1" t="inlineStr">
        <is>
          <t>R1_contribution</t>
        </is>
      </c>
      <c r="E1" s="1" t="inlineStr">
        <is>
          <t>R2_contribution</t>
        </is>
      </c>
      <c r="F1" s="1" t="inlineStr">
        <is>
          <t>R3_contribution</t>
        </is>
      </c>
      <c r="G1" s="1" t="inlineStr">
        <is>
          <t>R4_contribution</t>
        </is>
      </c>
      <c r="H1" s="1" t="inlineStr">
        <is>
          <t>R5_contribution</t>
        </is>
      </c>
      <c r="I1" s="1" t="inlineStr">
        <is>
          <t>R6_contribution</t>
        </is>
      </c>
      <c r="J1" s="1" t="inlineStr">
        <is>
          <t>R7_contribution</t>
        </is>
      </c>
      <c r="K1" s="1" t="inlineStr">
        <is>
          <t>R1_contribution_pct</t>
        </is>
      </c>
      <c r="L1" s="1" t="inlineStr">
        <is>
          <t>R2_contribution_pct</t>
        </is>
      </c>
      <c r="M1" s="1" t="inlineStr">
        <is>
          <t>R3_contribution_pct</t>
        </is>
      </c>
      <c r="N1" s="1" t="inlineStr">
        <is>
          <t>R4_contribution_pct</t>
        </is>
      </c>
      <c r="O1" s="1" t="inlineStr">
        <is>
          <t>R5_contribution_pct</t>
        </is>
      </c>
      <c r="P1" s="1" t="inlineStr">
        <is>
          <t>R6_contribution_pct</t>
        </is>
      </c>
      <c r="Q1" s="1" t="inlineStr">
        <is>
          <t>R7_contribution_pct</t>
        </is>
      </c>
      <c r="R1" s="1" t="inlineStr">
        <is>
          <t>instantaneous_risk_score_ahp</t>
        </is>
      </c>
    </row>
    <row r="2">
      <c r="A2" t="n">
        <v>0</v>
      </c>
      <c r="B2" t="n">
        <v>0</v>
      </c>
      <c r="C2" t="n">
        <v>4</v>
      </c>
      <c r="D2" t="n">
        <v>1.7988</v>
      </c>
      <c r="E2" t="n">
        <v>3.3</v>
      </c>
      <c r="F2" t="n">
        <v>0.0965</v>
      </c>
      <c r="G2" t="n">
        <v>0.171</v>
      </c>
      <c r="H2" t="n">
        <v>0</v>
      </c>
      <c r="I2" t="n">
        <v>0</v>
      </c>
      <c r="J2" t="n">
        <v>0</v>
      </c>
      <c r="K2" t="n">
        <v>33.5</v>
      </c>
      <c r="L2" t="n">
        <v>61.45</v>
      </c>
      <c r="M2" t="n">
        <v>1.8</v>
      </c>
      <c r="N2" t="n">
        <v>3.18</v>
      </c>
      <c r="O2" t="n">
        <v>0</v>
      </c>
      <c r="P2" t="n">
        <v>0</v>
      </c>
      <c r="Q2" t="n">
        <v>0</v>
      </c>
      <c r="R2" t="n">
        <v>5.37</v>
      </c>
    </row>
    <row r="3">
      <c r="A3" t="n">
        <v>1</v>
      </c>
      <c r="B3" t="n">
        <v>2</v>
      </c>
      <c r="C3" t="n">
        <v>6</v>
      </c>
      <c r="D3" t="n">
        <v>0.1588</v>
      </c>
      <c r="E3" t="n">
        <v>1.65</v>
      </c>
      <c r="F3" t="n">
        <v>0.0965</v>
      </c>
      <c r="G3" t="n">
        <v>0.171</v>
      </c>
      <c r="H3" t="n">
        <v>0</v>
      </c>
      <c r="I3" t="n">
        <v>0</v>
      </c>
      <c r="J3" t="n">
        <v>1.4</v>
      </c>
      <c r="K3" t="n">
        <v>4.56</v>
      </c>
      <c r="L3" t="n">
        <v>47.41</v>
      </c>
      <c r="M3" t="n">
        <v>2.77</v>
      </c>
      <c r="N3" t="n">
        <v>4.91</v>
      </c>
      <c r="O3" t="n">
        <v>0</v>
      </c>
      <c r="P3" t="n">
        <v>0</v>
      </c>
      <c r="Q3" t="n">
        <v>40.23</v>
      </c>
      <c r="R3" t="n">
        <v>3.48</v>
      </c>
    </row>
    <row r="4">
      <c r="A4" t="n">
        <v>2</v>
      </c>
      <c r="B4" t="n">
        <v>4</v>
      </c>
      <c r="C4" t="n">
        <v>8</v>
      </c>
      <c r="D4" t="n">
        <v>0.1588</v>
      </c>
      <c r="E4" t="n">
        <v>0</v>
      </c>
      <c r="F4" t="n">
        <v>0.0965</v>
      </c>
      <c r="G4" t="n">
        <v>0.171</v>
      </c>
      <c r="H4" t="n">
        <v>0</v>
      </c>
      <c r="I4" t="n">
        <v>0</v>
      </c>
      <c r="J4" t="n">
        <v>0</v>
      </c>
      <c r="K4" t="n">
        <v>36.93</v>
      </c>
      <c r="L4" t="n">
        <v>0</v>
      </c>
      <c r="M4" t="n">
        <v>22.44</v>
      </c>
      <c r="N4" t="n">
        <v>39.77</v>
      </c>
      <c r="O4" t="n">
        <v>0</v>
      </c>
      <c r="P4" t="n">
        <v>0</v>
      </c>
      <c r="Q4" t="n">
        <v>0</v>
      </c>
      <c r="R4" t="n">
        <v>0.43</v>
      </c>
    </row>
    <row r="5">
      <c r="A5" t="n">
        <v>3</v>
      </c>
      <c r="B5" t="n">
        <v>6</v>
      </c>
      <c r="C5" t="n">
        <v>10</v>
      </c>
      <c r="D5" t="n">
        <v>0.1588</v>
      </c>
      <c r="E5" t="n">
        <v>0</v>
      </c>
      <c r="F5" t="n">
        <v>0.0965</v>
      </c>
      <c r="G5" t="n">
        <v>0.171</v>
      </c>
      <c r="H5" t="n">
        <v>0</v>
      </c>
      <c r="I5" t="n">
        <v>0</v>
      </c>
      <c r="J5" t="n">
        <v>0</v>
      </c>
      <c r="K5" t="n">
        <v>36.93</v>
      </c>
      <c r="L5" t="n">
        <v>0</v>
      </c>
      <c r="M5" t="n">
        <v>22.44</v>
      </c>
      <c r="N5" t="n">
        <v>39.77</v>
      </c>
      <c r="O5" t="n">
        <v>0</v>
      </c>
      <c r="P5" t="n">
        <v>0</v>
      </c>
      <c r="Q5" t="n">
        <v>0</v>
      </c>
      <c r="R5" t="n">
        <v>0.43</v>
      </c>
    </row>
    <row r="6">
      <c r="A6" t="n">
        <v>4</v>
      </c>
      <c r="B6" t="n">
        <v>8</v>
      </c>
      <c r="C6" t="n">
        <v>12</v>
      </c>
      <c r="D6" t="n">
        <v>0.1588</v>
      </c>
      <c r="E6" t="n">
        <v>0</v>
      </c>
      <c r="F6" t="n">
        <v>0.0965</v>
      </c>
      <c r="G6" t="n">
        <v>0.171</v>
      </c>
      <c r="H6" t="n">
        <v>0</v>
      </c>
      <c r="I6" t="n">
        <v>0</v>
      </c>
      <c r="J6" t="n">
        <v>0</v>
      </c>
      <c r="K6" t="n">
        <v>36.93</v>
      </c>
      <c r="L6" t="n">
        <v>0</v>
      </c>
      <c r="M6" t="n">
        <v>22.44</v>
      </c>
      <c r="N6" t="n">
        <v>39.77</v>
      </c>
      <c r="O6" t="n">
        <v>0</v>
      </c>
      <c r="P6" t="n">
        <v>0</v>
      </c>
      <c r="Q6" t="n">
        <v>0</v>
      </c>
      <c r="R6" t="n">
        <v>0.43</v>
      </c>
    </row>
    <row r="7">
      <c r="A7" t="n">
        <v>5</v>
      </c>
      <c r="B7" t="n">
        <v>10</v>
      </c>
      <c r="C7" t="n">
        <v>14</v>
      </c>
      <c r="D7" t="n">
        <v>0.1588</v>
      </c>
      <c r="E7" t="n">
        <v>0</v>
      </c>
      <c r="F7" t="n">
        <v>0.0965</v>
      </c>
      <c r="G7" t="n">
        <v>0.171</v>
      </c>
      <c r="H7" t="n">
        <v>0</v>
      </c>
      <c r="I7" t="n">
        <v>0</v>
      </c>
      <c r="J7" t="n">
        <v>0</v>
      </c>
      <c r="K7" t="n">
        <v>36.93</v>
      </c>
      <c r="L7" t="n">
        <v>0</v>
      </c>
      <c r="M7" t="n">
        <v>22.44</v>
      </c>
      <c r="N7" t="n">
        <v>39.77</v>
      </c>
      <c r="O7" t="n">
        <v>0</v>
      </c>
      <c r="P7" t="n">
        <v>0</v>
      </c>
      <c r="Q7" t="n">
        <v>0</v>
      </c>
      <c r="R7" t="n">
        <v>0.43</v>
      </c>
    </row>
    <row r="8">
      <c r="A8" t="n">
        <v>6</v>
      </c>
      <c r="B8" t="n">
        <v>12</v>
      </c>
      <c r="C8" t="n">
        <v>16</v>
      </c>
      <c r="D8" t="n">
        <v>0.1588</v>
      </c>
      <c r="E8" t="n">
        <v>0</v>
      </c>
      <c r="F8" t="n">
        <v>0.0965</v>
      </c>
      <c r="G8" t="n">
        <v>3.1616</v>
      </c>
      <c r="H8" t="n">
        <v>1.1</v>
      </c>
      <c r="I8" t="n">
        <v>0</v>
      </c>
      <c r="J8" t="n">
        <v>0</v>
      </c>
      <c r="K8" t="n">
        <v>3.51</v>
      </c>
      <c r="L8" t="n">
        <v>0</v>
      </c>
      <c r="M8" t="n">
        <v>2.13</v>
      </c>
      <c r="N8" t="n">
        <v>69.95</v>
      </c>
      <c r="O8" t="n">
        <v>24.34</v>
      </c>
      <c r="P8" t="n">
        <v>0</v>
      </c>
      <c r="Q8" t="n">
        <v>0</v>
      </c>
      <c r="R8" t="n">
        <v>4.52</v>
      </c>
    </row>
    <row r="9">
      <c r="A9" t="n">
        <v>7</v>
      </c>
      <c r="B9" t="n">
        <v>14</v>
      </c>
      <c r="C9" t="n">
        <v>18</v>
      </c>
      <c r="D9" t="n">
        <v>0.1588</v>
      </c>
      <c r="E9" t="n">
        <v>0</v>
      </c>
      <c r="F9" t="n">
        <v>0.0965</v>
      </c>
      <c r="G9" t="n">
        <v>3.1616</v>
      </c>
      <c r="H9" t="n">
        <v>1.1</v>
      </c>
      <c r="I9" t="n">
        <v>0</v>
      </c>
      <c r="J9" t="n">
        <v>1.4</v>
      </c>
      <c r="K9" t="n">
        <v>2.68</v>
      </c>
      <c r="L9" t="n">
        <v>0</v>
      </c>
      <c r="M9" t="n">
        <v>1.63</v>
      </c>
      <c r="N9" t="n">
        <v>53.41</v>
      </c>
      <c r="O9" t="n">
        <v>18.58</v>
      </c>
      <c r="P9" t="n">
        <v>0</v>
      </c>
      <c r="Q9" t="n">
        <v>23.65</v>
      </c>
      <c r="R9" t="n">
        <v>5.92</v>
      </c>
    </row>
    <row r="10">
      <c r="A10" t="n">
        <v>8</v>
      </c>
      <c r="B10" t="n">
        <v>16</v>
      </c>
      <c r="C10" t="n">
        <v>20</v>
      </c>
      <c r="D10" t="n">
        <v>0.1588</v>
      </c>
      <c r="E10" t="n">
        <v>1.65</v>
      </c>
      <c r="F10" t="n">
        <v>0.0965</v>
      </c>
      <c r="G10" t="n">
        <v>0.171</v>
      </c>
      <c r="H10" t="n">
        <v>0.275</v>
      </c>
      <c r="I10" t="n">
        <v>0</v>
      </c>
      <c r="J10" t="n">
        <v>1.4</v>
      </c>
      <c r="K10" t="n">
        <v>4.23</v>
      </c>
      <c r="L10" t="n">
        <v>44</v>
      </c>
      <c r="M10" t="n">
        <v>2.57</v>
      </c>
      <c r="N10" t="n">
        <v>4.56</v>
      </c>
      <c r="O10" t="n">
        <v>7.33</v>
      </c>
      <c r="P10" t="n">
        <v>0</v>
      </c>
      <c r="Q10" t="n">
        <v>37.33</v>
      </c>
      <c r="R10" t="n">
        <v>3.75</v>
      </c>
    </row>
    <row r="11">
      <c r="A11" t="n">
        <v>9</v>
      </c>
      <c r="B11" t="n">
        <v>18</v>
      </c>
      <c r="C11" t="n">
        <v>22</v>
      </c>
      <c r="D11" t="n">
        <v>0.1588</v>
      </c>
      <c r="E11" t="n">
        <v>1.65</v>
      </c>
      <c r="F11" t="n">
        <v>0.0965</v>
      </c>
      <c r="G11" t="n">
        <v>3.1616</v>
      </c>
      <c r="H11" t="n">
        <v>0.275</v>
      </c>
      <c r="I11" t="n">
        <v>0</v>
      </c>
      <c r="J11" t="n">
        <v>1.4</v>
      </c>
      <c r="K11" t="n">
        <v>2.36</v>
      </c>
      <c r="L11" t="n">
        <v>24.48</v>
      </c>
      <c r="M11" t="n">
        <v>1.43</v>
      </c>
      <c r="N11" t="n">
        <v>46.91</v>
      </c>
      <c r="O11" t="n">
        <v>4.08</v>
      </c>
      <c r="P11" t="n">
        <v>0</v>
      </c>
      <c r="Q11" t="n">
        <v>20.77</v>
      </c>
      <c r="R11" t="n">
        <v>6.74</v>
      </c>
    </row>
    <row r="12">
      <c r="A12" t="n">
        <v>10</v>
      </c>
      <c r="B12" t="n">
        <v>20</v>
      </c>
      <c r="C12" t="n">
        <v>24</v>
      </c>
      <c r="D12" t="n">
        <v>0.1588</v>
      </c>
      <c r="E12" t="n">
        <v>0</v>
      </c>
      <c r="F12" t="n">
        <v>0.0965</v>
      </c>
      <c r="G12" t="n">
        <v>0.171</v>
      </c>
      <c r="H12" t="n">
        <v>0.275</v>
      </c>
      <c r="I12" t="n">
        <v>0</v>
      </c>
      <c r="J12" t="n">
        <v>0</v>
      </c>
      <c r="K12" t="n">
        <v>22.69</v>
      </c>
      <c r="L12" t="n">
        <v>0</v>
      </c>
      <c r="M12" t="n">
        <v>13.79</v>
      </c>
      <c r="N12" t="n">
        <v>24.43</v>
      </c>
      <c r="O12" t="n">
        <v>39.29</v>
      </c>
      <c r="P12" t="n">
        <v>0</v>
      </c>
      <c r="Q12" t="n">
        <v>0</v>
      </c>
      <c r="R12" t="n">
        <v>0.7</v>
      </c>
    </row>
    <row r="13">
      <c r="A13" t="n">
        <v>11</v>
      </c>
      <c r="B13" t="n">
        <v>22</v>
      </c>
      <c r="C13" t="n">
        <v>26</v>
      </c>
      <c r="D13" t="n">
        <v>0.1588</v>
      </c>
      <c r="E13" t="n">
        <v>0</v>
      </c>
      <c r="F13" t="n">
        <v>0.0965</v>
      </c>
      <c r="G13" t="n">
        <v>3.1616</v>
      </c>
      <c r="H13" t="n">
        <v>1.1</v>
      </c>
      <c r="I13" t="n">
        <v>4.2733</v>
      </c>
      <c r="J13" t="n">
        <v>1.4</v>
      </c>
      <c r="K13" t="n">
        <v>1.56</v>
      </c>
      <c r="L13" t="n">
        <v>0</v>
      </c>
      <c r="M13" t="n">
        <v>0.95</v>
      </c>
      <c r="N13" t="n">
        <v>31.03</v>
      </c>
      <c r="O13" t="n">
        <v>10.79</v>
      </c>
      <c r="P13" t="n">
        <v>41.94</v>
      </c>
      <c r="Q13" t="n">
        <v>13.74</v>
      </c>
      <c r="R13" t="n">
        <v>10.19</v>
      </c>
    </row>
    <row r="14">
      <c r="A14" t="n">
        <v>12</v>
      </c>
      <c r="B14" t="n">
        <v>24</v>
      </c>
      <c r="C14" t="n">
        <v>28</v>
      </c>
      <c r="D14" t="n">
        <v>0.1588</v>
      </c>
      <c r="E14" t="n">
        <v>0</v>
      </c>
      <c r="F14" t="n">
        <v>0.0965</v>
      </c>
      <c r="G14" t="n">
        <v>3.1616</v>
      </c>
      <c r="H14" t="n">
        <v>1.1</v>
      </c>
      <c r="I14" t="n">
        <v>4.2733</v>
      </c>
      <c r="J14" t="n">
        <v>0</v>
      </c>
      <c r="K14" t="n">
        <v>1.81</v>
      </c>
      <c r="L14" t="n">
        <v>0</v>
      </c>
      <c r="M14" t="n">
        <v>1.1</v>
      </c>
      <c r="N14" t="n">
        <v>35.97</v>
      </c>
      <c r="O14" t="n">
        <v>12.51</v>
      </c>
      <c r="P14" t="n">
        <v>48.62</v>
      </c>
      <c r="Q14" t="n">
        <v>0</v>
      </c>
      <c r="R14" t="n">
        <v>8.789999999999999</v>
      </c>
    </row>
    <row r="15">
      <c r="A15" t="n">
        <v>13</v>
      </c>
      <c r="B15" t="n">
        <v>26</v>
      </c>
      <c r="C15" t="n">
        <v>30</v>
      </c>
      <c r="D15" t="n">
        <v>0.1588</v>
      </c>
      <c r="E15" t="n">
        <v>0</v>
      </c>
      <c r="F15" t="n">
        <v>0.0965</v>
      </c>
      <c r="G15" t="n">
        <v>24.5366</v>
      </c>
      <c r="H15" t="n">
        <v>1.1</v>
      </c>
      <c r="I15" t="n">
        <v>0</v>
      </c>
      <c r="J15" t="n">
        <v>1.4</v>
      </c>
      <c r="K15" t="n">
        <v>0.58</v>
      </c>
      <c r="L15" t="n">
        <v>0</v>
      </c>
      <c r="M15" t="n">
        <v>0.35</v>
      </c>
      <c r="N15" t="n">
        <v>89.91</v>
      </c>
      <c r="O15" t="n">
        <v>4.03</v>
      </c>
      <c r="P15" t="n">
        <v>0</v>
      </c>
      <c r="Q15" t="n">
        <v>5.13</v>
      </c>
      <c r="R15" t="n">
        <v>27.29</v>
      </c>
    </row>
    <row r="16">
      <c r="A16" t="n">
        <v>14</v>
      </c>
      <c r="B16" t="n">
        <v>28</v>
      </c>
      <c r="C16" t="n">
        <v>30.067</v>
      </c>
      <c r="D16" t="n">
        <v>0.1588</v>
      </c>
      <c r="E16" t="n">
        <v>0</v>
      </c>
      <c r="F16" t="n">
        <v>0.0965</v>
      </c>
      <c r="G16" t="n">
        <v>3.1616</v>
      </c>
      <c r="H16" t="n">
        <v>0.275</v>
      </c>
      <c r="I16" t="n">
        <v>0</v>
      </c>
      <c r="J16" t="n">
        <v>1.4</v>
      </c>
      <c r="K16" t="n">
        <v>3.12</v>
      </c>
      <c r="L16" t="n">
        <v>0</v>
      </c>
      <c r="M16" t="n">
        <v>1.9</v>
      </c>
      <c r="N16" t="n">
        <v>62.11</v>
      </c>
      <c r="O16" t="n">
        <v>5.4</v>
      </c>
      <c r="P16" t="n">
        <v>0</v>
      </c>
      <c r="Q16" t="n">
        <v>27.5</v>
      </c>
      <c r="R16" t="n">
        <v>5.09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2026-06-14T18:31:28Z</dcterms:created>
  <dcterms:modified xsi:type="dcterms:W3CDTF">2026-06-14T18:31:29Z</dcterms:modified>
</cp:coreProperties>
</file>