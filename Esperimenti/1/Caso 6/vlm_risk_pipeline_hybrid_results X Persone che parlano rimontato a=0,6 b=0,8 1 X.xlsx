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indow_results_hybrid" sheetId="1" state="visible" r:id="rId1"/>
    <sheet name="traffic_light_dashboard_vlm" sheetId="2" state="visible" r:id="rId2"/>
    <sheet name="traffic_light_dashboard_ahp" sheetId="3" state="visible" r:id="rId3"/>
    <sheet name="branch_comparison" sheetId="4" state="visible" r:id="rId4"/>
    <sheet name="risk_contribution_analysi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font>
    <font>
      <color rgb="00000000"/>
    </font>
    <font>
      <b val="1"/>
      <color rgb="00000000"/>
    </font>
  </fonts>
  <fills count="8">
    <fill>
      <patternFill/>
    </fill>
    <fill>
      <patternFill patternType="gray125"/>
    </fill>
    <fill>
      <patternFill patternType="solid">
        <fgColor rgb="002E4057"/>
        <bgColor rgb="002E4057"/>
      </patternFill>
    </fill>
    <fill>
      <patternFill patternType="solid">
        <fgColor rgb="0000C851"/>
        <bgColor rgb="0000C851"/>
      </patternFill>
    </fill>
    <fill>
      <patternFill patternType="solid">
        <fgColor rgb="00FFD700"/>
        <bgColor rgb="00FFD700"/>
      </patternFill>
    </fill>
    <fill>
      <patternFill patternType="solid">
        <fgColor rgb="00FF8800"/>
        <bgColor rgb="00FF8800"/>
      </patternFill>
    </fill>
    <fill>
      <patternFill patternType="solid">
        <fgColor rgb="00D5F5E3"/>
        <bgColor rgb="00D5F5E3"/>
      </patternFill>
    </fill>
    <fill>
      <patternFill patternType="solid">
        <fgColor rgb="00FADBD8"/>
        <bgColor rgb="00FADBD8"/>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10">
    <xf numFmtId="0" fontId="0" fillId="0" borderId="0" pivotButton="0" quotePrefix="0" xfId="0"/>
    <xf numFmtId="0" fontId="2" fillId="2" borderId="2" applyAlignment="1" pivotButton="0" quotePrefix="0" xfId="0">
      <alignment horizontal="center" vertical="center" wrapText="1"/>
    </xf>
    <xf numFmtId="0" fontId="3" fillId="3" borderId="2" applyAlignment="1" pivotButton="0" quotePrefix="0" xfId="0">
      <alignment horizontal="center" vertical="center"/>
    </xf>
    <xf numFmtId="0" fontId="4" fillId="3" borderId="2" applyAlignment="1" pivotButton="0" quotePrefix="0" xfId="0">
      <alignment horizontal="center" vertical="center"/>
    </xf>
    <xf numFmtId="0" fontId="3" fillId="4" borderId="2" applyAlignment="1" pivotButton="0" quotePrefix="0" xfId="0">
      <alignment horizontal="center" vertical="center"/>
    </xf>
    <xf numFmtId="0" fontId="4" fillId="4" borderId="2" applyAlignment="1" pivotButton="0" quotePrefix="0" xfId="0">
      <alignment horizontal="center" vertical="center"/>
    </xf>
    <xf numFmtId="0" fontId="3" fillId="5" borderId="2" applyAlignment="1" pivotButton="0" quotePrefix="0" xfId="0">
      <alignment horizontal="center" vertical="center"/>
    </xf>
    <xf numFmtId="0" fontId="4" fillId="5" borderId="2" applyAlignment="1" pivotButton="0" quotePrefix="0" xfId="0">
      <alignment horizontal="center" vertical="center"/>
    </xf>
    <xf numFmtId="0" fontId="0" fillId="6" borderId="2" pivotButton="0" quotePrefix="0" xfId="0"/>
    <xf numFmtId="0" fontId="0" fillId="7"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Evoluzione score dinamico VLM</a:t>
            </a:r>
          </a:p>
        </rich>
      </tx>
    </title>
    <plotArea>
      <lineChart>
        <grouping val="standard"/>
        <ser>
          <idx val="0"/>
          <order val="0"/>
          <tx>
            <strRef>
              <f>'traffic_light_dashboard_vlm'!E1</f>
            </strRef>
          </tx>
          <spPr>
            <a:ln>
              <a:prstDash val="solid"/>
            </a:ln>
          </spPr>
          <marker>
            <symbol val="none"/>
            <spPr>
              <a:ln>
                <a:prstDash val="solid"/>
              </a:ln>
            </spPr>
          </marker>
          <cat>
            <numRef>
              <f>'traffic_light_dashboard_vlm'!$A$2:$A$19</f>
            </numRef>
          </cat>
          <val>
            <numRef>
              <f>'traffic_light_dashboard_vlm'!$E$2:$E$19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Evoluzione score dinamico AHP</a:t>
            </a:r>
          </a:p>
        </rich>
      </tx>
    </title>
    <plotArea>
      <lineChart>
        <grouping val="standard"/>
        <ser>
          <idx val="0"/>
          <order val="0"/>
          <tx>
            <strRef>
              <f>'traffic_light_dashboard_ahp'!E1</f>
            </strRef>
          </tx>
          <spPr>
            <a:ln>
              <a:prstDash val="solid"/>
            </a:ln>
          </spPr>
          <marker>
            <symbol val="none"/>
            <spPr>
              <a:ln>
                <a:prstDash val="solid"/>
              </a:ln>
            </spPr>
          </marker>
          <cat>
            <numRef>
              <f>'traffic_light_dashboard_ahp'!$A$2:$A$19</f>
            </numRef>
          </cat>
          <val>
            <numRef>
              <f>'traffic_light_dashboard_ahp'!$E$2:$E$19</f>
            </numRef>
          </val>
        </ser>
        <axId val="10"/>
        <axId val="100"/>
      </lineChart>
      <catAx>
        <axId val="10"/>
        <scaling>
          <orientation val="minMax"/>
        </scaling>
        <axPos val="l"/>
        <title>
          <tx>
            <rich>
              <a:bodyPr/>
              <a:p>
                <a:pPr>
                  <a:defRPr/>
                </a:pPr>
                <a:r>
                  <a:t>window_id</a:t>
                </a:r>
              </a:p>
            </rich>
          </tx>
        </title>
        <majorTickMark val="none"/>
        <minorTickMark val="none"/>
        <crossAx val="100"/>
        <lblOffset val="100"/>
      </catAx>
      <valAx>
        <axId val="100"/>
        <scaling>
          <orientation val="minMax"/>
          <max val="100"/>
          <min val="0"/>
        </scaling>
        <axPos val="l"/>
        <majorGridlines/>
        <title>
          <tx>
            <rich>
              <a:bodyPr/>
              <a:p>
                <a:pPr>
                  <a:defRPr/>
                </a:pPr>
                <a:r>
                  <a:t>Score dinamico</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72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AX19"/>
  <sheetViews>
    <sheetView workbookViewId="0">
      <selection activeCell="A1" sqref="A1"/>
    </sheetView>
  </sheetViews>
  <sheetFormatPr baseColWidth="8" defaultRowHeight="15"/>
  <cols>
    <col width="12" customWidth="1" min="1" max="1"/>
    <col width="14" customWidth="1" min="2" max="2"/>
    <col width="12" customWidth="1" min="3" max="3"/>
    <col width="35" customWidth="1" min="4" max="4"/>
    <col width="35" customWidth="1" min="5" max="5"/>
    <col width="35" customWidth="1" min="6" max="6"/>
    <col width="30" customWidth="1" min="7" max="7"/>
    <col width="35" customWidth="1" min="8" max="8"/>
    <col width="24" customWidth="1" min="9" max="9"/>
    <col width="25" customWidth="1" min="10" max="10"/>
    <col width="30" customWidth="1" min="11" max="11"/>
    <col width="24" customWidth="1" min="12" max="12"/>
    <col width="25" customWidth="1" min="13" max="13"/>
    <col width="16" customWidth="1" min="14" max="14"/>
    <col width="35" customWidth="1" min="15" max="15"/>
    <col width="12" customWidth="1" min="16" max="16"/>
    <col width="16" customWidth="1" min="17" max="17"/>
    <col width="12" customWidth="1" min="18" max="18"/>
    <col width="17" customWidth="1" min="19" max="19"/>
    <col width="21" customWidth="1" min="20" max="20"/>
    <col width="12" customWidth="1" min="21" max="21"/>
    <col width="16" customWidth="1" min="22" max="22"/>
    <col width="12" customWidth="1" min="23" max="23"/>
    <col width="17" customWidth="1" min="24" max="24"/>
    <col width="21" customWidth="1" min="25" max="25"/>
    <col width="12" customWidth="1" min="26" max="26"/>
    <col width="16" customWidth="1" min="27" max="27"/>
    <col width="12" customWidth="1" min="28" max="28"/>
    <col width="17" customWidth="1" min="29" max="29"/>
    <col width="21" customWidth="1" min="30" max="30"/>
    <col width="12" customWidth="1" min="31" max="31"/>
    <col width="16" customWidth="1" min="32" max="32"/>
    <col width="12" customWidth="1" min="33" max="33"/>
    <col width="17" customWidth="1" min="34" max="34"/>
    <col width="21" customWidth="1" min="35" max="35"/>
    <col width="12" customWidth="1" min="36" max="36"/>
    <col width="16" customWidth="1" min="37" max="37"/>
    <col width="12" customWidth="1" min="38" max="38"/>
    <col width="17" customWidth="1" min="39" max="39"/>
    <col width="21" customWidth="1" min="40" max="40"/>
    <col width="12" customWidth="1" min="41" max="41"/>
    <col width="16" customWidth="1" min="42" max="42"/>
    <col width="12" customWidth="1" min="43" max="43"/>
    <col width="17" customWidth="1" min="44" max="44"/>
    <col width="21" customWidth="1" min="45" max="45"/>
    <col width="12" customWidth="1" min="46" max="46"/>
    <col width="16" customWidth="1" min="47" max="47"/>
    <col width="12" customWidth="1" min="48" max="48"/>
    <col width="17" customWidth="1" min="49" max="49"/>
    <col width="21" customWidth="1" min="50" max="50"/>
  </cols>
  <sheetData>
    <row r="1">
      <c r="A1" s="1" t="inlineStr">
        <is>
          <t>window_id</t>
        </is>
      </c>
      <c r="B1" s="1" t="inlineStr">
        <is>
          <t>start_time_s</t>
        </is>
      </c>
      <c r="C1" s="1" t="inlineStr">
        <is>
          <t>end_time_s</t>
        </is>
      </c>
      <c r="D1" s="1" t="inlineStr">
        <is>
          <t>descriptive_prompt_output_json</t>
        </is>
      </c>
      <c r="E1" s="1" t="inlineStr">
        <is>
          <t>question_set_prompt_output_json</t>
        </is>
      </c>
      <c r="F1" s="1" t="inlineStr">
        <is>
          <t>causal_prompt_output_json</t>
        </is>
      </c>
      <c r="G1" s="1" t="inlineStr">
        <is>
          <t>instantaneous_risk_score_vlm</t>
        </is>
      </c>
      <c r="H1" s="1" t="inlineStr">
        <is>
          <t>score_rationale_vlm</t>
        </is>
      </c>
      <c r="I1" s="1" t="inlineStr">
        <is>
          <t>dynamic_risk_score_vlm</t>
        </is>
      </c>
      <c r="J1" s="1" t="inlineStr">
        <is>
          <t>traffic_light_color_vlm</t>
        </is>
      </c>
      <c r="K1" s="1" t="inlineStr">
        <is>
          <t>instantaneous_risk_score_ahp</t>
        </is>
      </c>
      <c r="L1" s="1" t="inlineStr">
        <is>
          <t>dynamic_risk_score_ahp</t>
        </is>
      </c>
      <c r="M1" s="1" t="inlineStr">
        <is>
          <t>traffic_light_color_ahp</t>
        </is>
      </c>
      <c r="N1" s="1" t="inlineStr">
        <is>
          <t>cue_confidence</t>
        </is>
      </c>
      <c r="O1" s="1" t="inlineStr">
        <is>
          <t>diagnostic_notes</t>
        </is>
      </c>
      <c r="P1" s="1" t="inlineStr">
        <is>
          <t>R1_raw</t>
        </is>
      </c>
      <c r="Q1" s="1" t="inlineStr">
        <is>
          <t>R1_transformed</t>
        </is>
      </c>
      <c r="R1" s="1" t="inlineStr">
        <is>
          <t>R1_weight</t>
        </is>
      </c>
      <c r="S1" s="1" t="inlineStr">
        <is>
          <t>R1_contribution</t>
        </is>
      </c>
      <c r="T1" s="1" t="inlineStr">
        <is>
          <t>R1_contribution_pct</t>
        </is>
      </c>
      <c r="U1" s="1" t="inlineStr">
        <is>
          <t>R2_raw</t>
        </is>
      </c>
      <c r="V1" s="1" t="inlineStr">
        <is>
          <t>R2_transformed</t>
        </is>
      </c>
      <c r="W1" s="1" t="inlineStr">
        <is>
          <t>R2_weight</t>
        </is>
      </c>
      <c r="X1" s="1" t="inlineStr">
        <is>
          <t>R2_contribution</t>
        </is>
      </c>
      <c r="Y1" s="1" t="inlineStr">
        <is>
          <t>R2_contribution_pct</t>
        </is>
      </c>
      <c r="Z1" s="1" t="inlineStr">
        <is>
          <t>R3_raw</t>
        </is>
      </c>
      <c r="AA1" s="1" t="inlineStr">
        <is>
          <t>R3_transformed</t>
        </is>
      </c>
      <c r="AB1" s="1" t="inlineStr">
        <is>
          <t>R3_weight</t>
        </is>
      </c>
      <c r="AC1" s="1" t="inlineStr">
        <is>
          <t>R3_contribution</t>
        </is>
      </c>
      <c r="AD1" s="1" t="inlineStr">
        <is>
          <t>R3_contribution_pct</t>
        </is>
      </c>
      <c r="AE1" s="1" t="inlineStr">
        <is>
          <t>R4_raw</t>
        </is>
      </c>
      <c r="AF1" s="1" t="inlineStr">
        <is>
          <t>R4_transformed</t>
        </is>
      </c>
      <c r="AG1" s="1" t="inlineStr">
        <is>
          <t>R4_weight</t>
        </is>
      </c>
      <c r="AH1" s="1" t="inlineStr">
        <is>
          <t>R4_contribution</t>
        </is>
      </c>
      <c r="AI1" s="1" t="inlineStr">
        <is>
          <t>R4_contribution_pct</t>
        </is>
      </c>
      <c r="AJ1" s="1" t="inlineStr">
        <is>
          <t>R5_raw</t>
        </is>
      </c>
      <c r="AK1" s="1" t="inlineStr">
        <is>
          <t>R5_transformed</t>
        </is>
      </c>
      <c r="AL1" s="1" t="inlineStr">
        <is>
          <t>R5_weight</t>
        </is>
      </c>
      <c r="AM1" s="1" t="inlineStr">
        <is>
          <t>R5_contribution</t>
        </is>
      </c>
      <c r="AN1" s="1" t="inlineStr">
        <is>
          <t>R5_contribution_pct</t>
        </is>
      </c>
      <c r="AO1" s="1" t="inlineStr">
        <is>
          <t>R6_raw</t>
        </is>
      </c>
      <c r="AP1" s="1" t="inlineStr">
        <is>
          <t>R6_transformed</t>
        </is>
      </c>
      <c r="AQ1" s="1" t="inlineStr">
        <is>
          <t>R6_weight</t>
        </is>
      </c>
      <c r="AR1" s="1" t="inlineStr">
        <is>
          <t>R6_contribution</t>
        </is>
      </c>
      <c r="AS1" s="1" t="inlineStr">
        <is>
          <t>R6_contribution_pct</t>
        </is>
      </c>
      <c r="AT1" s="1" t="inlineStr">
        <is>
          <t>R7_raw</t>
        </is>
      </c>
      <c r="AU1" s="1" t="inlineStr">
        <is>
          <t>R7_transformed</t>
        </is>
      </c>
      <c r="AV1" s="1" t="inlineStr">
        <is>
          <t>R7_weight</t>
        </is>
      </c>
      <c r="AW1" s="1" t="inlineStr">
        <is>
          <t>R7_contribution</t>
        </is>
      </c>
      <c r="AX1" s="1" t="inlineStr">
        <is>
          <t>R7_contribution_pct</t>
        </is>
      </c>
    </row>
    <row r="2">
      <c r="A2" t="n">
        <v>0</v>
      </c>
      <c r="B2" t="n">
        <v>0</v>
      </c>
      <c r="C2" t="n">
        <v>4</v>
      </c>
      <c r="D2" t="inlineStr">
        <is>
          <t>{"scene_state": "Ambiente di fabbrica o officina industriale", "environmental_conditions": ["Illuminazione interna uniforme", "Pavimento pulito con segnaletica orizzontale (linee verdi e gialle)"], "actors": ["Una persona cammina da destra verso sinistra nel corridoio centrale", "Almeno quattro persone sono ferme o si muovono lentamente nell'area di fondo, vicino a una parete"], "objects": ["Bobine di metallo sul pavimento", "Pallet o supporti con materiali", "Cavi e apparecchiature a terra vicino ai macchinari in primo piano", "Cartello con scritta \"WARIS ZORO\" su una parete"], "machines": ["Diverse presse industriali di grandi dimensioni (una blu e bianca, una con pannelli blu e gialli in primo piano)", "Attrezzatura arancione posizionata tra due macchinari principali"], "observable_actions": ["Una persona cammina lungo un percorso designato", "Altre persone sono stazionarie o in movimento limitato in un'area più distante", "I macchinari appaiono in stato di riposo o non operativi"], "notes_visibility_limitations": "La distanza e l'angolazione della telecamera limitano la chiarezza dei dettagli dei volti e delle azioni specifiche delle persone in fondo alla scena."}</t>
        </is>
      </c>
      <c r="E2" t="inlineStr">
        <is>
          <t>{"unsafe_behaviors": [], "vulnerable_elements": ["Persone in ambiente industriale senza DPI essenziali chiaramente visibili"],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0.6, "diagnostic_notes": "La visibilità dei DPI è limitata, in particolare per le persone in fondo alla scena. Non si osservano mezzi mobili o macchinari in funzione, riducendo i rischi legati a interferenze o esposizione a parti pericolose. Le persone si muovono in aree che sembrano designate. L'assenza di elmetti visibili in un ambiente industriale con macchinari pesanti rappresenta una debole evidenza di potenziale non conformità per R7."}</t>
        </is>
      </c>
      <c r="F2" t="inlineStr">
        <is>
          <t>{"causal_chain_plausible": true, "causal_chain_text": "La potenziale assenza di DPI essenziali (es. elmetti) per le persone in un ambiente con macchinari pesanti e materiali stoccati aumenta il rischio. Un oggetto potrebbe cadere accidentalmente o una persona urtare una sporgenza, causando un impatto alla testa.", "near_miss_or_incident_scenario": "Una persona, priva di elmetto, subisce un impatto alla testa a causa della caduta accidentale di un piccolo oggetto da un'area di stoccaggio o di un urto contro una parte fissa di un macchinario.", "contributing_factors": ["Mancanza di DPI essenziali (elmetti) chiaramente visibili per le persone in un ambiente industriale", "Presenza di macchinari pesanti e materiali stoccati (bobine, pallet) che presentano rischi intrinseci di caduta oggetti o urto"]}</t>
        </is>
      </c>
      <c r="G2" t="n">
        <v>15</v>
      </c>
      <c r="H2" t="inlineStr">
        <is>
          <t>Il punteggio riflette una debole evidenza di potenziale non conformità ai DPI essenziali (es. elmetti) in un ambiente industriale. L'assenza di macchinari operativi e movimenti pericolosi mantiene il rischio complessivo basso.</t>
        </is>
      </c>
      <c r="I2" t="n">
        <v>15</v>
      </c>
      <c r="J2" t="inlineStr">
        <is>
          <t>verde</t>
        </is>
      </c>
      <c r="K2" t="n">
        <v>0.43</v>
      </c>
      <c r="L2" t="n">
        <v>0.43</v>
      </c>
      <c r="M2" t="inlineStr">
        <is>
          <t>verde</t>
        </is>
      </c>
      <c r="N2" t="n">
        <v>0.6</v>
      </c>
      <c r="O2" t="inlineStr">
        <is>
          <t>La visibilità dei DPI è limitata, in particolare per le persone in fondo alla scena. Non si osservano mezzi mobili o macchinari in funzione, riducendo i rischi legati a interferenze o esposizione a parti pericolose. Le persone si muovono in aree che sembrano designate. L'assenza di elmetti visibili in un ambiente industriale con macchinari pesanti rappresenta una debole evidenza di potenziale non conformità per R7.</t>
        </is>
      </c>
      <c r="P2" t="n">
        <v>0</v>
      </c>
      <c r="Q2" t="n">
        <v>0.0067</v>
      </c>
      <c r="R2" t="n">
        <v>0.237</v>
      </c>
      <c r="S2" t="n">
        <v>0.1588</v>
      </c>
      <c r="T2" t="n">
        <v>36.93</v>
      </c>
      <c r="U2" t="n">
        <v>0</v>
      </c>
      <c r="V2" t="n">
        <v>0</v>
      </c>
      <c r="W2" t="n">
        <v>0.066</v>
      </c>
      <c r="X2" t="n">
        <v>0</v>
      </c>
      <c r="Y2" t="n">
        <v>0</v>
      </c>
      <c r="Z2" t="n">
        <v>0</v>
      </c>
      <c r="AA2" t="n">
        <v>0.0067</v>
      </c>
      <c r="AB2" t="n">
        <v>0.144</v>
      </c>
      <c r="AC2" t="n">
        <v>0.0965</v>
      </c>
      <c r="AD2" t="n">
        <v>22.44</v>
      </c>
      <c r="AE2" t="n">
        <v>0</v>
      </c>
      <c r="AF2" t="n">
        <v>0.0045</v>
      </c>
      <c r="AG2" t="n">
        <v>0.38</v>
      </c>
      <c r="AH2" t="n">
        <v>0.171</v>
      </c>
      <c r="AI2" t="n">
        <v>39.77</v>
      </c>
      <c r="AJ2" t="n">
        <v>0</v>
      </c>
      <c r="AK2" t="n">
        <v>0</v>
      </c>
      <c r="AL2" t="n">
        <v>0.044</v>
      </c>
      <c r="AM2" t="n">
        <v>0</v>
      </c>
      <c r="AN2" t="n">
        <v>0</v>
      </c>
      <c r="AO2" t="n">
        <v>0</v>
      </c>
      <c r="AP2" t="n">
        <v>0</v>
      </c>
      <c r="AQ2" t="n">
        <v>0.101</v>
      </c>
      <c r="AR2" t="n">
        <v>0</v>
      </c>
      <c r="AS2" t="n">
        <v>0</v>
      </c>
      <c r="AT2" t="n">
        <v>0.25</v>
      </c>
      <c r="AU2" t="n">
        <v>0</v>
      </c>
      <c r="AV2" t="n">
        <v>0.028</v>
      </c>
      <c r="AW2" t="n">
        <v>0</v>
      </c>
      <c r="AX2" t="n">
        <v>0</v>
      </c>
    </row>
    <row r="3">
      <c r="A3" t="n">
        <v>1</v>
      </c>
      <c r="B3" t="n">
        <v>2</v>
      </c>
      <c r="C3" t="n">
        <v>6</v>
      </c>
      <c r="D3" t="inlineStr">
        <is>
          <t>{"scene_state": "Interno di un capannone industriale, probabilmente un'officina, con macchinari pesanti e personale.", "environmental_conditions": ["Ambiente interno ben illuminato", "Pavimento pulito con percorsi pedonali segnalati", "Pareti in lamiera"], "actors": [{"id": "persona_1", "description": "Una persona (donna) cammina da destra a sinistra sul percorso pedonale in primo piano."}, {"id": "gruppo_persone_1", "description": "Un gruppo di almeno tre persone in piedi e in conversazione nello sfondo a destra."}], "objects": [{"id": "bobina_metallo_1", "description": "Una grande bobina metallica a terra nella zona centrale-destra."}, {"id": "attrezzature_varie_1", "description": "Cavi e piccole attrezzature sul pavimento vicino ai macchinari."}, {"id": "piattaforma_arancione_1", "description": "Una piccola piattaforma arancione nella zona centrale."}, {"id": "pallet_1", "description": "Diversi pallet con oggetti visibili nello sfondo a destra."}], "machines": [{"id": "pressa_1", "description": "Una grande pressa industriale blu e bianco/grigio, in primo piano a sinistra."}, {"id": "pressa_2", "description": "Una seconda grande pressa industriale blu e bianco/grigio, al centro."}, {"id": "presse_sfondo", "description": "Altre presse o macchinari simili nello sfondo a sinistra."}], "observable_actions": ["Una persona cammina.", "Un gruppo di persone è fermo e conversa."], "notes_visibility_limitations": "Alcune aree sono ostruite dai macchinari. Dettagli degli oggetti sui pallet e attività specifiche del gruppo di persone non sono chiaramente visibili."}</t>
        </is>
      </c>
      <c r="E3"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"Nessun mezzo mobile è visibile in movimento o in prossimità dei pedoni. I pedoni si muovono o stazionano in aree che sembrano essere percorsi o zone sicure designate. Non sono osservate attività operative con macchinari o movimentazione di carichi che possano esporre a rischi immediati. La visibilità dei DPI essenziali (es. scarpe antinfortunistiche, occhiali) non è sufficiente per una valutazione definitiva, ma non ci sono chiare evidenze di non conformità."}</t>
        </is>
      </c>
      <c r="F3" t="inlineStr">
        <is>
          <t>{"causal_chain_plausible": false, "causal_chain_text": "", "near_miss_or_incident_scenario": "", "contributing_factors": []}</t>
        </is>
      </c>
      <c r="G3" t="n">
        <v>5</v>
      </c>
      <c r="H3" t="inlineStr">
        <is>
          <t>La scena mostra un ambiente ben organizzato con percorsi pedonali segnalati, dove i pedoni si muovono o stazionano in aree sicure. Non sono presenti rischi immediati o violazioni evidenti delle norme di sicurezza, come indicato dai cue di rischio tutti a zero.</t>
        </is>
      </c>
      <c r="I3" t="n">
        <v>11</v>
      </c>
      <c r="J3" t="inlineStr">
        <is>
          <t>verde</t>
        </is>
      </c>
      <c r="K3" t="n">
        <v>0.43</v>
      </c>
      <c r="L3" t="n">
        <v>0.43</v>
      </c>
      <c r="M3" t="inlineStr">
        <is>
          <t>verde</t>
        </is>
      </c>
      <c r="N3" t="n">
        <v>0.8</v>
      </c>
      <c r="O3" t="inlineStr">
        <is>
          <t>Nessun mezzo mobile è visibile in movimento o in prossimità dei pedoni. I pedoni si muovono o stazionano in aree che sembrano essere percorsi o zone sicure designate. Non sono osservate attività operative con macchinari o movimentazione di carichi che possano esporre a rischi immediati. La visibilità dei DPI essenziali (es. scarpe antinfortunistiche, occhiali) non è sufficiente per una valutazione definitiva, ma non ci sono chiare evidenze di non conformità.</t>
        </is>
      </c>
      <c r="P3" t="n">
        <v>0</v>
      </c>
      <c r="Q3" t="n">
        <v>0.0067</v>
      </c>
      <c r="R3" t="n">
        <v>0.237</v>
      </c>
      <c r="S3" t="n">
        <v>0.1588</v>
      </c>
      <c r="T3" t="n">
        <v>36.93</v>
      </c>
      <c r="U3" t="n">
        <v>0</v>
      </c>
      <c r="V3" t="n">
        <v>0</v>
      </c>
      <c r="W3" t="n">
        <v>0.066</v>
      </c>
      <c r="X3" t="n">
        <v>0</v>
      </c>
      <c r="Y3" t="n">
        <v>0</v>
      </c>
      <c r="Z3" t="n">
        <v>0</v>
      </c>
      <c r="AA3" t="n">
        <v>0.0067</v>
      </c>
      <c r="AB3" t="n">
        <v>0.144</v>
      </c>
      <c r="AC3" t="n">
        <v>0.0965</v>
      </c>
      <c r="AD3" t="n">
        <v>22.44</v>
      </c>
      <c r="AE3" t="n">
        <v>0</v>
      </c>
      <c r="AF3" t="n">
        <v>0.0045</v>
      </c>
      <c r="AG3" t="n">
        <v>0.38</v>
      </c>
      <c r="AH3" t="n">
        <v>0.171</v>
      </c>
      <c r="AI3" t="n">
        <v>39.77</v>
      </c>
      <c r="AJ3" t="n">
        <v>0</v>
      </c>
      <c r="AK3" t="n">
        <v>0</v>
      </c>
      <c r="AL3" t="n">
        <v>0.044</v>
      </c>
      <c r="AM3" t="n">
        <v>0</v>
      </c>
      <c r="AN3" t="n">
        <v>0</v>
      </c>
      <c r="AO3" t="n">
        <v>0</v>
      </c>
      <c r="AP3" t="n">
        <v>0</v>
      </c>
      <c r="AQ3" t="n">
        <v>0.101</v>
      </c>
      <c r="AR3" t="n">
        <v>0</v>
      </c>
      <c r="AS3" t="n">
        <v>0</v>
      </c>
      <c r="AT3" t="n">
        <v>0</v>
      </c>
      <c r="AU3" t="n">
        <v>0</v>
      </c>
      <c r="AV3" t="n">
        <v>0.028</v>
      </c>
      <c r="AW3" t="n">
        <v>0</v>
      </c>
      <c r="AX3" t="n">
        <v>0</v>
      </c>
    </row>
    <row r="4">
      <c r="A4" t="n">
        <v>2</v>
      </c>
      <c r="B4" t="n">
        <v>4</v>
      </c>
      <c r="C4" t="n">
        <v>8</v>
      </c>
      <c r="D4" t="inlineStr">
        <is>
          <t>{"scene_state": "Ambiente di produzione industriale con macchinari pesanti e personale presente.", "environmental_conditions": ["Illuminazione interna adeguata", "Pavimento in cemento con segnaletica orizzontale (linee verdi)", "Pareti in lamiera ondulata"], "actors": ["Una persona cammina da destra a sinistra in primo piano", "Diverse persone (almeno 3-4) sono visibili in piedi sullo sfondo a destra"], "objects": ["Bobine di metallo a terra", "Pallet o strutture metalliche a destra", "Cavi e piccole attrezzature a terra", "Cartelli segnaletici su macchinari e pareti"], "machines": ["Diverse presse industriali di grandi dimensioni (blu e bianco/grigio)", "Sistema di alimentazione o nastro trasportatore (struttura arancione)"], "observable_actions": ["Una persona attraversa l'area in primo piano camminando", "Le persone sullo sfondo sono ferme, apparentemente in osservazione o conversazione", "I macchinari sembrano essere in stato di riposo o standby, senza movimenti operativi evidenti"], "notes_visibility_limitations": "Inquadratura dall'alto, alcuni dettagli potrebbero essere oscurati dalla distanza o dai macchinari."}</t>
        </is>
      </c>
      <c r="E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0.7, "diagnostic_notes": "La visibilità dei DPI essenziali (es. elmetti, occhiali) è limitata dalla distanza e dall'angolazione della telecamera, rendendo difficile una valutazione precisa della conformità per R7. Non sono stati rilevati altri rischi significativi."}</t>
        </is>
      </c>
      <c r="F4" t="inlineStr">
        <is>
          <t>{"causal_chain_plausible": false, "causal_chain_text": "", "near_miss_or_incident_scenario": "", "contributing_factors": []}</t>
        </is>
      </c>
      <c r="G4" t="n">
        <v>18</v>
      </c>
      <c r="H4" t="inlineStr">
        <is>
          <t>Il punteggio è basso a causa della limitata visibilità che impedisce una valutazione certa della conformità ai DPI (R7), l'unico rischio rilevato. Non sono stati identificati altri rischi significativi.</t>
        </is>
      </c>
      <c r="I4" t="n">
        <v>24.2</v>
      </c>
      <c r="J4" t="inlineStr">
        <is>
          <t>giallo</t>
        </is>
      </c>
      <c r="K4" t="n">
        <v>0.43</v>
      </c>
      <c r="L4" t="n">
        <v>0.43</v>
      </c>
      <c r="M4" t="inlineStr">
        <is>
          <t>verde</t>
        </is>
      </c>
      <c r="N4" t="n">
        <v>0.7</v>
      </c>
      <c r="O4" t="inlineStr">
        <is>
          <t>La visibilità dei DPI essenziali (es. elmetti, occhiali) è limitata dalla distanza e dall'angolazione della telecamera, rendendo difficile una valutazione precisa della conformità per R7. Non sono stati rilevati altri rischi significativi.</t>
        </is>
      </c>
      <c r="P4" t="n">
        <v>0</v>
      </c>
      <c r="Q4" t="n">
        <v>0.0067</v>
      </c>
      <c r="R4" t="n">
        <v>0.237</v>
      </c>
      <c r="S4" t="n">
        <v>0.1588</v>
      </c>
      <c r="T4" t="n">
        <v>36.93</v>
      </c>
      <c r="U4" t="n">
        <v>0</v>
      </c>
      <c r="V4" t="n">
        <v>0</v>
      </c>
      <c r="W4" t="n">
        <v>0.066</v>
      </c>
      <c r="X4" t="n">
        <v>0</v>
      </c>
      <c r="Y4" t="n">
        <v>0</v>
      </c>
      <c r="Z4" t="n">
        <v>0</v>
      </c>
      <c r="AA4" t="n">
        <v>0.0067</v>
      </c>
      <c r="AB4" t="n">
        <v>0.144</v>
      </c>
      <c r="AC4" t="n">
        <v>0.0965</v>
      </c>
      <c r="AD4" t="n">
        <v>22.44</v>
      </c>
      <c r="AE4" t="n">
        <v>0</v>
      </c>
      <c r="AF4" t="n">
        <v>0.0045</v>
      </c>
      <c r="AG4" t="n">
        <v>0.38</v>
      </c>
      <c r="AH4" t="n">
        <v>0.171</v>
      </c>
      <c r="AI4" t="n">
        <v>39.77</v>
      </c>
      <c r="AJ4" t="n">
        <v>0</v>
      </c>
      <c r="AK4" t="n">
        <v>0</v>
      </c>
      <c r="AL4" t="n">
        <v>0.044</v>
      </c>
      <c r="AM4" t="n">
        <v>0</v>
      </c>
      <c r="AN4" t="n">
        <v>0</v>
      </c>
      <c r="AO4" t="n">
        <v>0</v>
      </c>
      <c r="AP4" t="n">
        <v>0</v>
      </c>
      <c r="AQ4" t="n">
        <v>0.101</v>
      </c>
      <c r="AR4" t="n">
        <v>0</v>
      </c>
      <c r="AS4" t="n">
        <v>0</v>
      </c>
      <c r="AT4" t="n">
        <v>0.25</v>
      </c>
      <c r="AU4" t="n">
        <v>0</v>
      </c>
      <c r="AV4" t="n">
        <v>0.028</v>
      </c>
      <c r="AW4" t="n">
        <v>0</v>
      </c>
      <c r="AX4" t="n">
        <v>0</v>
      </c>
    </row>
    <row r="5">
      <c r="A5" t="n">
        <v>3</v>
      </c>
      <c r="B5" t="n">
        <v>6</v>
      </c>
      <c r="C5" t="n">
        <v>10</v>
      </c>
      <c r="D5" t="inlineStr">
        <is>
          <t>{"scene_state": "La scena mostra un ambiente di fabbrica o officina industriale con macchinari pesanti e aree di passaggio.", "environmental_conditions": ["Illuminazione interna uniforme", "Pavimento pulito con segnaletica orizzontale (verde e gialla)"], "actors": ["Una persona cammina da destra a sinistra nel primo piano, indossando un gilet scuro", "Diversi individui sono visibili in piedi e interagiscono nel fondo, vicino a un'apertura"], "objects": ["Un rotolo di metallo su un pallet al centro", "Diversi pallet con materiali non identificati nel fondo", "Cavi e piccole attrezzature sul pavimento"], "machines": ["Diverse grandi presse industriali (blu e grigie) sul lato sinistro e al centro", "Un macchinario più piccolo di colore arancione al centro", "Altre attrezzature industriali meno definite sullo sfondo"], "observable_actions": ["Una persona cammina a passo moderato", "Le persone nel fondo sono ferme e interagiscono", "I macchinari principali appaiono inattivi o in standby"], "notes_visibility_limitations": "La vista dall'alto offre una buona panoramica, ma alcuni dettagli a terra o dietro i macchinari più grandi potrebbero essere parzialmente oscurati. I volti delle persone sullo sfondo non sono chiaramente distinguibili."}</t>
        </is>
      </c>
      <c r="E5"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0.8, "diagnostic_notes": "La visibilità dei dettagli dei DPI, in particolare per i piedi e la testa, è limitata, rendendo difficile una valutazione precisa della conformità per R7 in un ambiente industriale. Non sono stati osservati comportamenti o condizioni di rischio evidenti per le altre categorie."}</t>
        </is>
      </c>
      <c r="F5" t="inlineStr">
        <is>
          <t>{"causal_chain_plausible": true, "causal_chain_text": "La presenza di cavi e piccole attrezzature sul pavimento in un'area di passaggio, combinata con il movimento della persona, crea un potenziale rischio di inciampo. La persona che cammina potrebbe non notare gli ostacoli, perdere l'equilibrio e cadere.", "near_miss_or_incident_scenario": "La persona che cammina nel primo piano inciampa sui cavi o sulle piccole attrezzature presenti sul pavimento, perdendo l'equilibrio e cadendo a terra. Questo potrebbe risultare in un near miss (senza lesioni) o in un incidente con lesioni (es. contusioni, distorsioni).", "contributing_factors": ["Presenza di cavi e piccole attrezzature sul pavimento in un'area di passaggio.", "Potenziale non conformità dei DPI essenziali (R7=0.25), che potrebbe aggravare le conseguenze di una caduta (es. mancanza di calzature antinfortunistiche adeguate)."]}</t>
        </is>
      </c>
      <c r="G5" t="n">
        <v>55</v>
      </c>
      <c r="H5" t="inlineStr">
        <is>
          <t>Il rischio principale è legato alla presenza di cavi e piccole attrezzature sul pavimento in un'area di passaggio, creando un potenziale pericolo di inciampo per la persona. Una caduta in un ambiente industriale può causare lesioni, rendendo il rischio significativo.</t>
        </is>
      </c>
      <c r="I5" t="n">
        <v>66.12</v>
      </c>
      <c r="J5" t="inlineStr">
        <is>
          <t>arancione</t>
        </is>
      </c>
      <c r="K5" t="n">
        <v>0.43</v>
      </c>
      <c r="L5" t="n">
        <v>0.43</v>
      </c>
      <c r="M5" t="inlineStr">
        <is>
          <t>verde</t>
        </is>
      </c>
      <c r="N5" t="n">
        <v>0.8</v>
      </c>
      <c r="O5" t="inlineStr">
        <is>
          <t>La visibilità dei dettagli dei DPI, in particolare per i piedi e la testa, è limitata, rendendo difficile una valutazione precisa della conformità per R7 in un ambiente industriale. Non sono stati osservati comportamenti o condizioni di rischio evidenti per le altre categorie.</t>
        </is>
      </c>
      <c r="P5" t="n">
        <v>0</v>
      </c>
      <c r="Q5" t="n">
        <v>0.0067</v>
      </c>
      <c r="R5" t="n">
        <v>0.237</v>
      </c>
      <c r="S5" t="n">
        <v>0.1588</v>
      </c>
      <c r="T5" t="n">
        <v>36.93</v>
      </c>
      <c r="U5" t="n">
        <v>0</v>
      </c>
      <c r="V5" t="n">
        <v>0</v>
      </c>
      <c r="W5" t="n">
        <v>0.066</v>
      </c>
      <c r="X5" t="n">
        <v>0</v>
      </c>
      <c r="Y5" t="n">
        <v>0</v>
      </c>
      <c r="Z5" t="n">
        <v>0</v>
      </c>
      <c r="AA5" t="n">
        <v>0.0067</v>
      </c>
      <c r="AB5" t="n">
        <v>0.144</v>
      </c>
      <c r="AC5" t="n">
        <v>0.0965</v>
      </c>
      <c r="AD5" t="n">
        <v>22.44</v>
      </c>
      <c r="AE5" t="n">
        <v>0</v>
      </c>
      <c r="AF5" t="n">
        <v>0.0045</v>
      </c>
      <c r="AG5" t="n">
        <v>0.38</v>
      </c>
      <c r="AH5" t="n">
        <v>0.171</v>
      </c>
      <c r="AI5" t="n">
        <v>39.77</v>
      </c>
      <c r="AJ5" t="n">
        <v>0</v>
      </c>
      <c r="AK5" t="n">
        <v>0</v>
      </c>
      <c r="AL5" t="n">
        <v>0.044</v>
      </c>
      <c r="AM5" t="n">
        <v>0</v>
      </c>
      <c r="AN5" t="n">
        <v>0</v>
      </c>
      <c r="AO5" t="n">
        <v>0</v>
      </c>
      <c r="AP5" t="n">
        <v>0</v>
      </c>
      <c r="AQ5" t="n">
        <v>0.101</v>
      </c>
      <c r="AR5" t="n">
        <v>0</v>
      </c>
      <c r="AS5" t="n">
        <v>0</v>
      </c>
      <c r="AT5" t="n">
        <v>0.25</v>
      </c>
      <c r="AU5" t="n">
        <v>0</v>
      </c>
      <c r="AV5" t="n">
        <v>0.028</v>
      </c>
      <c r="AW5" t="n">
        <v>0</v>
      </c>
      <c r="AX5" t="n">
        <v>0</v>
      </c>
    </row>
    <row r="6">
      <c r="A6" t="n">
        <v>4</v>
      </c>
      <c r="B6" t="n">
        <v>8</v>
      </c>
      <c r="C6" t="n">
        <v>12</v>
      </c>
      <c r="D6" t="inlineStr">
        <is>
          <t>{"scene_state": "Un capannone industriale con macchinari pesanti e personale presente.", "environmental_conditions": ["Ambiente interno ben illuminato", "Pavimento con segnaletica orizzontale verde"], "actors": ["Una persona cammina dalla parte inferiore destra verso il centro-sinistra e poi verso il fondo", "Due o tre persone sono ferme nella parte destra dello sfondo"], "objects": ["Un grande rotolo di materiale metallico sul pavimento al centro", "Attrezzature e cavi sul pavimento in primo piano", "Una piccola piattaforma arancione vicino al rotolo", "Pallet o strutture metalliche sul pavimento a destra nello sfondo"], "machines": ["Diverse grandi presse industriali (blu e bianco/grigio) visibili in tutto il capannone", "Pannelli di controllo e macchinari ausiliari collegati alle presse"], "observable_actions": ["Una persona cammina attraverso il primo piano e poi verso lo sfondo", "Le persone nello sfondo sono ferme", "Nessun movimento visibile dei macchinari pesanti"], "notes_visibility_limitations": "La ripresa dall'alto offre una buona panoramica. Il numero esatto di persone nello sfondo è leggermente ambiguo (due o tre)."}</t>
        </is>
      </c>
      <c r="E6" t="inlineStr">
        <is>
          <t>{"unsafe_behaviors": ["Attraversamento di aree non dedicate ai pedoni"], "vulnerable_elements": ["Pedoni in un ambiente industriale con macchinari pesanti"], "risk_cues": {"R1_pedestrian_vehicle_interference": 0.0, "R2_pedestrian_segregation_violation": 0.5, "R3_load_storage_instability": 0.0, "R4_crush_points_dangerous_parts_exposure": 0.0, "R5_unsafe_operational_proximity": 0.0, "R6_unsafe_behavior_posture_manoeuvre": 0.0, "R7_essential_ppe_non_compliance": 0.5}, "cue_confidence": 0.7, "diagnostic_notes": "La persona cammina in un'area di circolazione generale che non sembra essere un percorso pedonale segregato, attraversando segnaletica orizzontale. La visibilità dei DPI essenziali (es. casco, scarpe antinfortunistiche) è limitata dalla distanza e dalla risoluzione, rendendo difficile una valutazione definitiva, ma non sono chiaramente visibili."}</t>
        </is>
      </c>
      <c r="F6" t="inlineStr">
        <is>
          <t>{"causal_chain_plausible": true, "causal_chain_text": "Un pedone attraversa un'area industriale non segregata per il transito pedonale (R2). La potenziale assenza di DPI essenziali (R7) aumenta la vulnerabilità. Questo aumenta il rischio di inciampo su attrezzature/cavi a terra o di interazione con macchinari pesanti, anche se attualmente fermi.", "near_miss_or_incident_scenario": "Il pedone, camminando in un'area non designata e potenzialmente senza DPI adeguati, inciampa su attrezzature o cavi a terra, cadendo. Oppure, si avvicina troppo a un macchinario pesante che potrebbe avviarsi inaspettatamente, creando una situazione di quasi-incidente.", "contributing_factors": ["Violazione della segregazione pedonale (R2)", "Potenziale non conformità con l'uso di DPI (R7)", "Presenza di attrezzature e cavi sul pavimento", "Ambiente industriale con macchinari pesanti"]}</t>
        </is>
      </c>
      <c r="G6" t="n">
        <v>60</v>
      </c>
      <c r="H6" t="inlineStr">
        <is>
          <t>Il pedone attraversa un'area industriale non segregata, aumentando il rischio di inciampo su attrezzature a terra. La potenziale assenza di DPI essenziali aggrava ulteriormente la vulnerabilità in un ambiente con macchinari pesanti.</t>
        </is>
      </c>
      <c r="I6" t="n">
        <v>67.67</v>
      </c>
      <c r="J6" t="inlineStr">
        <is>
          <t>arancione</t>
        </is>
      </c>
      <c r="K6" t="n">
        <v>5.13</v>
      </c>
      <c r="L6" t="n">
        <v>6.07</v>
      </c>
      <c r="M6" t="inlineStr">
        <is>
          <t>verde</t>
        </is>
      </c>
      <c r="N6" t="n">
        <v>0.7</v>
      </c>
      <c r="O6" t="inlineStr">
        <is>
          <t>La persona cammina in un'area di circolazione generale che non sembra essere un percorso pedonale segregato, attraversando segnaletica orizzontale. La visibilità dei DPI essenziali (es. casco, scarpe antinfortunistiche) è limitata dalla distanza e dalla risoluzione, rendendo difficile una valutazione definitiva, ma non sono chiaramente visibili.</t>
        </is>
      </c>
      <c r="P6" t="n">
        <v>0</v>
      </c>
      <c r="Q6" t="n">
        <v>0.0067</v>
      </c>
      <c r="R6" t="n">
        <v>0.237</v>
      </c>
      <c r="S6" t="n">
        <v>0.1588</v>
      </c>
      <c r="T6" t="n">
        <v>3.1</v>
      </c>
      <c r="U6" t="n">
        <v>0.5</v>
      </c>
      <c r="V6" t="n">
        <v>0.5</v>
      </c>
      <c r="W6" t="n">
        <v>0.066</v>
      </c>
      <c r="X6" t="n">
        <v>3.3</v>
      </c>
      <c r="Y6" t="n">
        <v>64.33</v>
      </c>
      <c r="Z6" t="n">
        <v>0</v>
      </c>
      <c r="AA6" t="n">
        <v>0.0067</v>
      </c>
      <c r="AB6" t="n">
        <v>0.144</v>
      </c>
      <c r="AC6" t="n">
        <v>0.0965</v>
      </c>
      <c r="AD6" t="n">
        <v>1.88</v>
      </c>
      <c r="AE6" t="n">
        <v>0</v>
      </c>
      <c r="AF6" t="n">
        <v>0.0045</v>
      </c>
      <c r="AG6" t="n">
        <v>0.38</v>
      </c>
      <c r="AH6" t="n">
        <v>0.171</v>
      </c>
      <c r="AI6" t="n">
        <v>3.33</v>
      </c>
      <c r="AJ6" t="n">
        <v>0</v>
      </c>
      <c r="AK6" t="n">
        <v>0</v>
      </c>
      <c r="AL6" t="n">
        <v>0.044</v>
      </c>
      <c r="AM6" t="n">
        <v>0</v>
      </c>
      <c r="AN6" t="n">
        <v>0</v>
      </c>
      <c r="AO6" t="n">
        <v>0</v>
      </c>
      <c r="AP6" t="n">
        <v>0</v>
      </c>
      <c r="AQ6" t="n">
        <v>0.101</v>
      </c>
      <c r="AR6" t="n">
        <v>0</v>
      </c>
      <c r="AS6" t="n">
        <v>0</v>
      </c>
      <c r="AT6" t="n">
        <v>0.5</v>
      </c>
      <c r="AU6" t="n">
        <v>0.5</v>
      </c>
      <c r="AV6" t="n">
        <v>0.028</v>
      </c>
      <c r="AW6" t="n">
        <v>1.4</v>
      </c>
      <c r="AX6" t="n">
        <v>27.29</v>
      </c>
    </row>
    <row r="7">
      <c r="A7" t="n">
        <v>5</v>
      </c>
      <c r="B7" t="n">
        <v>10</v>
      </c>
      <c r="C7" t="n">
        <v>14</v>
      </c>
      <c r="D7" t="inlineStr">
        <is>
          <t>{"scene_state": "La scena mostra un'ampia area di un capannone industriale, con macchinari pesanti e personale presente.", "environmental_conditions": ["Ambiente interno ben illuminato", "Pavimento pulito in alcune aree, con segnaletica orizzontale verde", "Presenza di cavi e attrezzature minori sul pavimento vicino ai macchinari."], "actors": ["Una persona cammina in primo piano da destra verso sinistra", "Almeno due persone sono ferme e conversano in lontananza, vicino a una parete."], "objects": ["Un grande rotolo di materiale metallico sul pavimento", "Pallet o strutture metalliche impilate", "Piccola piattaforma arancione", "Cavi e apparecchiature di controllo a terra."], "machines": ["Diverse presse industriali di grandi dimensioni (almeno tre visibili)", "Meccanismi di alimentazione o nastri trasportatori associati alle presse", "Pannelli di controllo sulle macchine."], "observable_actions": ["Una persona cammina nel primo piano", "Due persone conversano in piedi in lontananza."], "notes_visibility_limitations": "La vista è dall'alto. Dettagli specifici delle persone in lontananza non sono chiari. Alcune aree sono parzialmente ostruite dai macchinari."}</t>
        </is>
      </c>
      <c r="E7" t="inlineStr">
        <is>
          <t>{"unsafe_behaviors": ["Potenziale transito pedonale fuori da percorsi designati."], "vulnerable_elements": ["Pedoni in area di lavoro con macchinari pesanti.", "Segregazione pedonale non chiaramente definita in alcune aree."], "risk_cues": {"R1_pedestrian_vehicle_interference": 0.0, "R2_pedestrian_segregation_violation": 0.5, "R3_load_storage_instability": 0.0, "R4_crush_points_dangerous_parts_exposure": 0.0, "R5_unsafe_operational_proximity": 0.0, "R6_unsafe_behavior_posture_manoeuvre": 0.0, "R7_essential_ppe_non_compliance": 0.25}, "cue_confidence": 0.7, "diagnostic_notes": "La visibilità dall'alto e la distanza limitano la verifica dettagliata dei DPI. La persona in primo piano transita in un'area che non appare chiaramente segregata per i pedoni, sebbene non ci siano mezzi mobili in movimento."}</t>
        </is>
      </c>
      <c r="F7" t="inlineStr">
        <is>
          <t>{"causal_chain_plausible": true, "causal_chain_text": "Un pedone transita in un'area di lavoro con macchinari pesanti e cavi a terra, non chiaramente segregata per il transito pedonale. Questa condizione aumenta il rischio di inciampo o di contatto involontario con i macchinari, specialmente se questi si attivano o se il pedone perde l'equilibrio.", "near_miss_or_incident_scenario": "Un pedone inciampa su cavi o attrezzature a terra mentre transita in un'area non segregata, cadendo o avvicinandosi pericolosamente a un macchinario inattivo o in movimento. Oppure, un macchinario si attiva mentre il pedone è in prossimità, causando un near miss per mancato contatto.", "contributing_factors": ["Transito pedonale fuori da percorsi designati.", "Segregazione pedonale non chiaramente definita in alcune aree.", "Presenza di cavi e attrezzature minori sul pavimento.", "Prossimità a macchinari pesanti in un'area di lavoro attiva.", "Potenziale non conformità DPI (non verificabile, ma indicato come cue)."]}</t>
        </is>
      </c>
      <c r="G7" t="n">
        <v>60</v>
      </c>
      <c r="H7" t="inlineStr">
        <is>
          <t>Il punteggio riflette il rischio significativo dovuto al transito pedonale in un'area non segregata con macchinari pesanti e cavi a terra, aumentando il pericolo di inciampo o contatto involontario. La segregazione pedonale è insufficiente.</t>
        </is>
      </c>
      <c r="I7" t="n">
        <v>64.59999999999999</v>
      </c>
      <c r="J7" t="inlineStr">
        <is>
          <t>arancione</t>
        </is>
      </c>
      <c r="K7" t="n">
        <v>3.73</v>
      </c>
      <c r="L7" t="n">
        <v>5.13</v>
      </c>
      <c r="M7" t="inlineStr">
        <is>
          <t>verde</t>
        </is>
      </c>
      <c r="N7" t="n">
        <v>0.7</v>
      </c>
      <c r="O7" t="inlineStr">
        <is>
          <t>La visibilità dall'alto e la distanza limitano la verifica dettagliata dei DPI. La persona in primo piano transita in un'area che non appare chiaramente segregata per i pedoni, sebbene non ci siano mezzi mobili in movimento.</t>
        </is>
      </c>
      <c r="P7" t="n">
        <v>0</v>
      </c>
      <c r="Q7" t="n">
        <v>0.0067</v>
      </c>
      <c r="R7" t="n">
        <v>0.237</v>
      </c>
      <c r="S7" t="n">
        <v>0.1588</v>
      </c>
      <c r="T7" t="n">
        <v>4.26</v>
      </c>
      <c r="U7" t="n">
        <v>0.5</v>
      </c>
      <c r="V7" t="n">
        <v>0.5</v>
      </c>
      <c r="W7" t="n">
        <v>0.066</v>
      </c>
      <c r="X7" t="n">
        <v>3.3</v>
      </c>
      <c r="Y7" t="n">
        <v>88.47</v>
      </c>
      <c r="Z7" t="n">
        <v>0</v>
      </c>
      <c r="AA7" t="n">
        <v>0.0067</v>
      </c>
      <c r="AB7" t="n">
        <v>0.144</v>
      </c>
      <c r="AC7" t="n">
        <v>0.0965</v>
      </c>
      <c r="AD7" t="n">
        <v>2.59</v>
      </c>
      <c r="AE7" t="n">
        <v>0</v>
      </c>
      <c r="AF7" t="n">
        <v>0.0045</v>
      </c>
      <c r="AG7" t="n">
        <v>0.38</v>
      </c>
      <c r="AH7" t="n">
        <v>0.171</v>
      </c>
      <c r="AI7" t="n">
        <v>4.58</v>
      </c>
      <c r="AJ7" t="n">
        <v>0</v>
      </c>
      <c r="AK7" t="n">
        <v>0</v>
      </c>
      <c r="AL7" t="n">
        <v>0.044</v>
      </c>
      <c r="AM7" t="n">
        <v>0</v>
      </c>
      <c r="AN7" t="n">
        <v>0</v>
      </c>
      <c r="AO7" t="n">
        <v>0</v>
      </c>
      <c r="AP7" t="n">
        <v>0</v>
      </c>
      <c r="AQ7" t="n">
        <v>0.101</v>
      </c>
      <c r="AR7" t="n">
        <v>0</v>
      </c>
      <c r="AS7" t="n">
        <v>0</v>
      </c>
      <c r="AT7" t="n">
        <v>0.25</v>
      </c>
      <c r="AU7" t="n">
        <v>0</v>
      </c>
      <c r="AV7" t="n">
        <v>0.028</v>
      </c>
      <c r="AW7" t="n">
        <v>0</v>
      </c>
      <c r="AX7" t="n">
        <v>0</v>
      </c>
    </row>
    <row r="8">
      <c r="A8" t="n">
        <v>6</v>
      </c>
      <c r="B8" t="n">
        <v>12</v>
      </c>
      <c r="C8" t="n">
        <v>16</v>
      </c>
      <c r="D8" t="inlineStr">
        <is>
          <t>{"scene_state": "Interno di un capannone industriale o fabbrica, con macchinari pesanti e aree di lavoro definite.", "environmental_conditions": ["Illuminazione diffusa e uniforme.", "Pavimento pulito con segnaletica orizzontale verde che delimita un percorso pedonale."], "actors": ["Una persona che cammina da destra verso l'alto a destra lungo il percorso segnalato.", "Almeno tre persone ferme nell'angolo in alto a destra, vicino a una parete.", "Una persona seduta parzialmente visibile nell'angolo in basso a sinistra."], "objects": ["Un rotolo di materiale metallico sul pavimento al centro-destra.", "Diverse strutture metalliche o pallet sul pavimento in alto a destra.", "Cavi e piccole attrezzature sul pavimento vicino ai macchinari."], "machines": ["Diverse presse industriali di grandi dimensioni (colori blu, bianco e grigio) posizionate a sinistra e al centro.", "Un macchinario ausiliario di colore arancione vicino alla pressa centrale."], "observable_actions": ["Una persona che cammina.", "Gruppo di persone ferme in piedi."], "notes_visibility_limitations": "I volti delle persone non sono chiaramente visibili. L'attività esatta del gruppo di persone ferme non è specificata. Alcuni dettagli dei macchinari sono parzialmente oscurati."}</t>
        </is>
      </c>
      <c r="E8" t="inlineStr">
        <is>
          <t>{"unsafe_behaviors": [], "vulnerable_elements": ["personnel in industrial environment", "person sitting near machinery"], "risk_cues": {"R1_pedestrian_vehicle_interference": 0.0, "R2_pedestrian_segregation_violation": 0.0, "R3_load_storage_instability": 0.0, "R4_crush_points_dangerous_parts_exposure": 0.25, "R5_unsafe_operational_proximity": 0.25, "R6_unsafe_behavior_posture_manoeuvre": 0.0, "R7_essential_ppe_non_compliance": 0.25}, "cue_confidence": 0.7, "diagnostic_notes": "Nessun mezzo mobile è presente nella scena, eliminando il rischio R1. I pedoni rispettano i percorsi segnalati. Non sono osservate manovre o carichi instabili. La presenza di macchinari pesanti e una persona seduta nelle vicinanze suggerisce una debole evidenza di potenziale esposizione a punti di schiacciamento e prossimità operativa, sebbene non siano visibili operazioni attive. La visibilità dei DPI essenziali è limitata, rendendo difficile una valutazione definitiva della conformità, ma non si osservano violazioni evidenti per le azioni svolte."}</t>
        </is>
      </c>
      <c r="F8" t="inlineStr">
        <is>
          <t>{"causal_chain_plausible": true, "causal_chain_text": "La prossimità di personale (persona seduta) a macchinari pesanti con punti di schiacciamento/parti pericolose, anche se inattivi, crea un rischio potenziale. Un avvio inatteso o un movimento improvviso di una parte del macchinario potrebbe esporre la persona a impatto o schiacciamento. La limitata visibilità dei DPI rende incerta la protezione, potendo aggravare le conseguenze.", "near_miss_or_incident_scenario": "Un macchinario, apparentemente inattivo, si attiva improvvisamente o una sua parte si muove inaspettatamente, colpendo o schiacciando la persona seduta nelle vicinanze. Le conseguenze potrebbero essere aggravate dalla mancanza o inadeguatezza dei DPI.", "contributing_factors": ["Prossimità di personale a macchinari pesanti.", "Potenziale esposizione a punti di schiacciamento/parti pericolose.", "Incertezza sulla conformità dei DPI.", "Posizione della persona seduta vicino ai macchinari."]}</t>
        </is>
      </c>
      <c r="G8" t="n">
        <v>35</v>
      </c>
      <c r="H8" t="inlineStr">
        <is>
          <t>Il punteggio riflette un rischio moderato dovuto alla prossimità di una persona seduta a macchinari pesanti, creando un potenziale punto di schiacciamento o impatto in caso di attivazione inattesa. L'incertezza sulla conformità dei DPI aggrava ulteriormente questo rischio potenziale.</t>
        </is>
      </c>
      <c r="I8" t="n">
        <v>52.76</v>
      </c>
      <c r="J8" t="inlineStr">
        <is>
          <t>arancione</t>
        </is>
      </c>
      <c r="K8" t="n">
        <v>3.69</v>
      </c>
      <c r="L8" t="n">
        <v>4.55</v>
      </c>
      <c r="M8" t="inlineStr">
        <is>
          <t>verde</t>
        </is>
      </c>
      <c r="N8" t="n">
        <v>0.7</v>
      </c>
      <c r="O8" t="inlineStr">
        <is>
          <t>Nessun mezzo mobile è presente nella scena, eliminando il rischio R1. I pedoni rispettano i percorsi segnalati. Non sono osservate manovre o carichi instabili. La presenza di macchinari pesanti e una persona seduta nelle vicinanze suggerisce una debole evidenza di potenziale esposizione a punti di schiacciamento e prossimità operativa, sebbene non siano visibili operazioni attive. La visibilità dei DPI essenziali è limitata, rendendo difficile una valutazione definitiva della conformità, ma non si osservano violazioni evidenti per le azioni svolte.</t>
        </is>
      </c>
      <c r="P8" t="n">
        <v>0</v>
      </c>
      <c r="Q8" t="n">
        <v>0.0067</v>
      </c>
      <c r="R8" t="n">
        <v>0.237</v>
      </c>
      <c r="S8" t="n">
        <v>0.1588</v>
      </c>
      <c r="T8" t="n">
        <v>4.3</v>
      </c>
      <c r="U8" t="n">
        <v>0</v>
      </c>
      <c r="V8" t="n">
        <v>0</v>
      </c>
      <c r="W8" t="n">
        <v>0.066</v>
      </c>
      <c r="X8" t="n">
        <v>0</v>
      </c>
      <c r="Y8" t="n">
        <v>0</v>
      </c>
      <c r="Z8" t="n">
        <v>0</v>
      </c>
      <c r="AA8" t="n">
        <v>0.0067</v>
      </c>
      <c r="AB8" t="n">
        <v>0.144</v>
      </c>
      <c r="AC8" t="n">
        <v>0.0965</v>
      </c>
      <c r="AD8" t="n">
        <v>2.62</v>
      </c>
      <c r="AE8" t="n">
        <v>0.25</v>
      </c>
      <c r="AF8" t="n">
        <v>0.0832</v>
      </c>
      <c r="AG8" t="n">
        <v>0.38</v>
      </c>
      <c r="AH8" t="n">
        <v>3.1616</v>
      </c>
      <c r="AI8" t="n">
        <v>85.68000000000001</v>
      </c>
      <c r="AJ8" t="n">
        <v>0.25</v>
      </c>
      <c r="AK8" t="n">
        <v>0.0625</v>
      </c>
      <c r="AL8" t="n">
        <v>0.044</v>
      </c>
      <c r="AM8" t="n">
        <v>0.275</v>
      </c>
      <c r="AN8" t="n">
        <v>7.45</v>
      </c>
      <c r="AO8" t="n">
        <v>0</v>
      </c>
      <c r="AP8" t="n">
        <v>0</v>
      </c>
      <c r="AQ8" t="n">
        <v>0.101</v>
      </c>
      <c r="AR8" t="n">
        <v>0</v>
      </c>
      <c r="AS8" t="n">
        <v>0</v>
      </c>
      <c r="AT8" t="n">
        <v>0.25</v>
      </c>
      <c r="AU8" t="n">
        <v>0</v>
      </c>
      <c r="AV8" t="n">
        <v>0.028</v>
      </c>
      <c r="AW8" t="n">
        <v>0</v>
      </c>
      <c r="AX8" t="n">
        <v>0</v>
      </c>
    </row>
    <row r="9">
      <c r="A9" t="n">
        <v>7</v>
      </c>
      <c r="B9" t="n">
        <v>14</v>
      </c>
      <c r="C9" t="n">
        <v>18</v>
      </c>
      <c r="D9" t="inlineStr">
        <is>
          <t>{"scene_state": "Interno di un capannone industriale, con macchinari in funzione o pronti all'uso.", "environmental_conditions": ["Illuminazione artificiale diffusa", "Pavimento pulito e ben delimitato con segnaletica orizzontale", "Spazi ampi tra i macchinari"], "actors": ["Diversi individui in abbigliamento da lavoro, alcuni in piedi in un'area delimitata, uno che cammina lungo un percorso segnato"], "objects": ["Bobine di metallo a terra", "Pallet o strutture metalliche impilate", "Coni di segnalazione (parzialmente visibili)", "Cavi e attrezzature ausiliarie a terra"], "machines": ["Diverse presse industriali di grandi dimensioni (una blu e bianca, una grigia e blu)", "Macchinari ausiliari di dimensioni minori", "Un carrello elevatore o attrezzatura mobile arancione", "Un setup con luci e telecamera a terra"], "observable_actions": ["Un individuo cammina lungo un percorso verde", "Altri individui sono fermi in un'area più distante", "I macchinari sembrano essere in stato operativo o pronti all'uso"], "notes_visibility_limitations": "La ripresa è dall'alto, limitando la visibilità dei dettagli a livello del suolo e delle espressioni facciali. Alcuni oggetti e aree sono parzialmente ostruiti dai macchinari."}</t>
        </is>
      </c>
      <c r="E9" t="inlineStr">
        <is>
          <t>{"unsafe_behaviors": [], "vulnerable_elements": [], "risk_cues": {"R1_pedestrian_vehicle_interference": 0.0, "R2_pedestrian_segregation_violation": 0.0, "R3_load_storage_instability": 0.25, "R4_crush_points_dangerous_parts_exposure": 0.0, "R5_unsafe_operational_proximity": 0.0, "R6_unsafe_behavior_posture_manoeuvre": 0.0, "R7_essential_ppe_non_compliance": 0.25}, "cue_confidence": 0.6, "diagnostic_notes": "La visibilità dall'alto limita l'osservazione dettagliata dei DPI (es. caschi) e la piena valutazione della stabilità di alcuni stoccaggi. Nessun comportamento o condizione di rischio critico è evidente nella finestra temporale specificata."}</t>
        </is>
      </c>
      <c r="F9" t="inlineStr">
        <is>
          <t>{"causal_chain_plausible": true, "causal_chain_text": "L'instabilità potenziale di stoccaggi (pallet/strutture metalliche impilate o bobine di metallo a terra) può portare alla caduta di oggetti. Se un individuo si trova nelle vicinanze, potrebbe essere colpito. La possibile non conformità dei DPI essenziali (es. calzature di sicurezza, elmetto) potrebbe aggravare le conseguenze di tale impatto.", "near_miss_or_incident_scenario": "Un pallet o una struttura metallica impilata, o una bobina di metallo a terra, perde stabilità e cade. Un individuo che cammina o si trova nelle vicinanze viene sfiorato dall'oggetto in caduta (near miss) o colpito, subendo una lesione, potenzialmente aggravata dalla non conformità dei DPI.", "contributing_factors": ["Stoccaggio potenzialmente instabile di pallet/strutture metalliche o bobine (R3_load_storage_instability)", "Possibile non conformità o inadeguatezza dei DPI essenziali (R7_essential_ppe_non_compliance)", "Presenza di oggetti pesanti (bobine, strutture metalliche) che, se cadono, possono causare danni significativi."]}</t>
        </is>
      </c>
      <c r="G9" t="n">
        <v>30</v>
      </c>
      <c r="H9" t="inlineStr">
        <is>
          <t>Il punteggio riflette la presenza di potenziali instabilità negli stoccaggi e la possibile non conformità dei DPI, che potrebbero portare a incidenti. Tuttavia, non sono stati osservati comportamenti o condizioni di rischio critico immediato nella finestra temporale.</t>
        </is>
      </c>
      <c r="I9" t="n">
        <v>43.66</v>
      </c>
      <c r="J9" t="inlineStr">
        <is>
          <t>giallo</t>
        </is>
      </c>
      <c r="K9" t="n">
        <v>1.42</v>
      </c>
      <c r="L9" t="n">
        <v>3.3</v>
      </c>
      <c r="M9" t="inlineStr">
        <is>
          <t>verde</t>
        </is>
      </c>
      <c r="N9" t="n">
        <v>0.6</v>
      </c>
      <c r="O9" t="inlineStr">
        <is>
          <t>La visibilità dall'alto limita l'osservazione dettagliata dei DPI (es. caschi) e la piena valutazione della stabilità di alcuni stoccaggi. Nessun comportamento o condizione di rischio critico è evidente nella finestra temporale specificata.</t>
        </is>
      </c>
      <c r="P9" t="n">
        <v>0</v>
      </c>
      <c r="Q9" t="n">
        <v>0.0067</v>
      </c>
      <c r="R9" t="n">
        <v>0.237</v>
      </c>
      <c r="S9" t="n">
        <v>0.1588</v>
      </c>
      <c r="T9" t="n">
        <v>11.18</v>
      </c>
      <c r="U9" t="n">
        <v>0</v>
      </c>
      <c r="V9" t="n">
        <v>0</v>
      </c>
      <c r="W9" t="n">
        <v>0.066</v>
      </c>
      <c r="X9" t="n">
        <v>0</v>
      </c>
      <c r="Y9" t="n">
        <v>0</v>
      </c>
      <c r="Z9" t="n">
        <v>0.25</v>
      </c>
      <c r="AA9" t="n">
        <v>0.0759</v>
      </c>
      <c r="AB9" t="n">
        <v>0.144</v>
      </c>
      <c r="AC9" t="n">
        <v>1.093</v>
      </c>
      <c r="AD9" t="n">
        <v>76.97</v>
      </c>
      <c r="AE9" t="n">
        <v>0</v>
      </c>
      <c r="AF9" t="n">
        <v>0.0045</v>
      </c>
      <c r="AG9" t="n">
        <v>0.38</v>
      </c>
      <c r="AH9" t="n">
        <v>0.171</v>
      </c>
      <c r="AI9" t="n">
        <v>12.04</v>
      </c>
      <c r="AJ9" t="n">
        <v>0</v>
      </c>
      <c r="AK9" t="n">
        <v>0</v>
      </c>
      <c r="AL9" t="n">
        <v>0.044</v>
      </c>
      <c r="AM9" t="n">
        <v>0</v>
      </c>
      <c r="AN9" t="n">
        <v>0</v>
      </c>
      <c r="AO9" t="n">
        <v>0</v>
      </c>
      <c r="AP9" t="n">
        <v>0</v>
      </c>
      <c r="AQ9" t="n">
        <v>0.101</v>
      </c>
      <c r="AR9" t="n">
        <v>0</v>
      </c>
      <c r="AS9" t="n">
        <v>0</v>
      </c>
      <c r="AT9" t="n">
        <v>0.25</v>
      </c>
      <c r="AU9" t="n">
        <v>0</v>
      </c>
      <c r="AV9" t="n">
        <v>0.028</v>
      </c>
      <c r="AW9" t="n">
        <v>0</v>
      </c>
      <c r="AX9" t="n">
        <v>0</v>
      </c>
    </row>
    <row r="10">
      <c r="A10" t="n">
        <v>8</v>
      </c>
      <c r="B10" t="n">
        <v>16</v>
      </c>
      <c r="C10" t="n">
        <v>20</v>
      </c>
      <c r="D10" t="inlineStr">
        <is>
          <t>{"scene_state": "La scena mostra un ambiente di fabbrica o officina industriale, apparentemente operativo, con macchinari pesanti e personale presente.", "environmental_conditions": ["Ambiente interno ben illuminato.", "Nessun segno visibile di fumo, polvere eccessiva o liquidi sul pavimento."], "actors": ["Un individuo cammina lungo il corridoio a destra, dal fondo verso il primo piano.", "Diversi individui (almeno 3-4) sono fermi e interagiscono nel corridoio sullo sfondo a destra.", "Un individuo è seduto vicino a un macchinario sul lato sinistro."], "objects": ["Un grande rotolo di materiale (probabilmente metallo) è posizionato sul pavimento al centro-destra.", "Diverse strutture metalliche o pallet sono visibili lungo il corridoio a destra.", "Cavi e attrezzature ausiliarie sono presenti sul pavimento vicino ai macchinari in primo piano.", "Una piccola piattaforma/scala di colore arancione è visibile al centro."], "machines": ["Diverse grandi presse industriali o macchinari per la lavorazione dei metalli sono distribuiti nell'area.", "Un macchinario prominente di colore blu e bianco si trova al centro.", "Un altro grande macchinario con elementi blu è in primo piano a sinistra.", "Altri macchinari sono visibili sullo sfondo."], "observable_actions": ["Un individuo sta camminando lungo un percorso designato.", "Alcuni individui sono fermi e sembrano conversare.", "Un individuo è seduto, probabilmente impegnato in attività di monitoraggio o controllo di un macchinario.", "I macchinari sembrano essere in stato di riposo o standby; non si osservano movimenti attivi di lavorazione."], "notes_visibility_limitations": "La ripresa è dall'alto e ampia, limitando la visibilità dei dettagli fini e delle espressioni facciali. Alcune aree sono parzialmente ostruite dai macchinari. La funzione esatta di tutti i macchinari non è chiaramente identificabile."}</t>
        </is>
      </c>
      <c r="E10" t="inlineStr">
        <is>
          <t>{"unsafe_behaviors": [], "vulnerable_elements": ["Individui senza casco in ambiente industriale", "Individuo seduto in prossimità di macchinario pesante"], "risk_cues": {"R1_pedestrian_vehicle_interference": 0.0, "R2_pedestrian_segregation_violation": 0.0, "R3_load_storage_instability": 0.0, "R4_crush_points_dangerous_parts_exposure": 0.0, "R5_unsafe_operational_proximity": 0.25, "R6_unsafe_behavior_posture_manoeuvre": 0.0, "R7_essential_ppe_non_compliance": 0.5}, "cue_confidence": 0.7, "diagnostic_notes": "La visibilità dall'alto limita la verifica dettagliata dei DPI specifici (es. occhiali, protezioni udito). L'assenza di caschi su più individui in un ambiente industriale con macchinari pesanti solleva dubbi sulla conformità dei DPI essenziali. La prossimità dell'individuo seduto a un macchinario di grandi dimensioni, sebbene apparentemente inattivo, rappresenta una potenziale area di rischio in caso di attivazione imprevista o necessità di intervento."}</t>
        </is>
      </c>
      <c r="F10" t="inlineStr">
        <is>
          <t>{"causal_chain_plausible": true, "causal_chain_text": "La mancanza di DPI essenziali (caschi) in un ambiente con macchinari e materiali pesanti aumenta il rischio di lesioni alla testa. La prossimità di un individuo a macchinari pesanti, anche se inattivi, crea un rischio in caso di attivazione improvvisa o movimento di parti.", "near_miss_or_incident_scenario": "Un oggetto (es. attrezzo, parte di materiale) cade o si disallinea, colpendo la testa di un individuo sprovvisto di casco. Oppure, il macchinario vicino all'individuo seduto si attiva improvvisamente, creando un rischio di impatto o schiacciamento.", "contributing_factors": ["Non conformità ai DPI essenziali (caschi)", "Prossimità non sicura di personale a macchinari pesanti", "Potenziale caduta di oggetti in ambiente industriale", "Potenziale attivazione imprevista o movimento di macchinari"]}</t>
        </is>
      </c>
      <c r="G10" t="n">
        <v>53</v>
      </c>
      <c r="H10" t="inlineStr">
        <is>
          <t>Il punteggio riflette la non conformità ai DPI essenziali (caschi) per più individui e la prossimità non sicura di personale a macchinari pesanti. Questi fattori aumentano significativamente il rischio di lesioni in un ambiente industriale operativo.</t>
        </is>
      </c>
      <c r="I10" t="n">
        <v>65.8</v>
      </c>
      <c r="J10" t="inlineStr">
        <is>
          <t>arancione</t>
        </is>
      </c>
      <c r="K10" t="n">
        <v>2.1</v>
      </c>
      <c r="L10" t="n">
        <v>3.36</v>
      </c>
      <c r="M10" t="inlineStr">
        <is>
          <t>verde</t>
        </is>
      </c>
      <c r="N10" t="n">
        <v>0.7</v>
      </c>
      <c r="O10" t="inlineStr">
        <is>
          <t>La visibilità dall'alto limita la verifica dettagliata dei DPI specifici (es. occhiali, protezioni udito). L'assenza di caschi su più individui in un ambiente industriale con macchinari pesanti solleva dubbi sulla conformità dei DPI essenziali. La prossimità dell'individuo seduto a un macchinario di grandi dimensioni, sebbene apparentemente inattivo, rappresenta una potenziale area di rischio in caso di attivazione imprevista o necessità di intervento.</t>
        </is>
      </c>
      <c r="P10" t="n">
        <v>0</v>
      </c>
      <c r="Q10" t="n">
        <v>0.0067</v>
      </c>
      <c r="R10" t="n">
        <v>0.237</v>
      </c>
      <c r="S10" t="n">
        <v>0.1588</v>
      </c>
      <c r="T10" t="n">
        <v>7.56</v>
      </c>
      <c r="U10" t="n">
        <v>0</v>
      </c>
      <c r="V10" t="n">
        <v>0</v>
      </c>
      <c r="W10" t="n">
        <v>0.066</v>
      </c>
      <c r="X10" t="n">
        <v>0</v>
      </c>
      <c r="Y10" t="n">
        <v>0</v>
      </c>
      <c r="Z10" t="n">
        <v>0</v>
      </c>
      <c r="AA10" t="n">
        <v>0.0067</v>
      </c>
      <c r="AB10" t="n">
        <v>0.144</v>
      </c>
      <c r="AC10" t="n">
        <v>0.0965</v>
      </c>
      <c r="AD10" t="n">
        <v>4.6</v>
      </c>
      <c r="AE10" t="n">
        <v>0</v>
      </c>
      <c r="AF10" t="n">
        <v>0.0045</v>
      </c>
      <c r="AG10" t="n">
        <v>0.38</v>
      </c>
      <c r="AH10" t="n">
        <v>0.171</v>
      </c>
      <c r="AI10" t="n">
        <v>8.140000000000001</v>
      </c>
      <c r="AJ10" t="n">
        <v>0.25</v>
      </c>
      <c r="AK10" t="n">
        <v>0.0625</v>
      </c>
      <c r="AL10" t="n">
        <v>0.044</v>
      </c>
      <c r="AM10" t="n">
        <v>0.275</v>
      </c>
      <c r="AN10" t="n">
        <v>13.1</v>
      </c>
      <c r="AO10" t="n">
        <v>0</v>
      </c>
      <c r="AP10" t="n">
        <v>0</v>
      </c>
      <c r="AQ10" t="n">
        <v>0.101</v>
      </c>
      <c r="AR10" t="n">
        <v>0</v>
      </c>
      <c r="AS10" t="n">
        <v>0</v>
      </c>
      <c r="AT10" t="n">
        <v>0.5</v>
      </c>
      <c r="AU10" t="n">
        <v>0.5</v>
      </c>
      <c r="AV10" t="n">
        <v>0.028</v>
      </c>
      <c r="AW10" t="n">
        <v>1.4</v>
      </c>
      <c r="AX10" t="n">
        <v>66.67</v>
      </c>
    </row>
    <row r="11">
      <c r="A11" t="n">
        <v>9</v>
      </c>
      <c r="B11" t="n">
        <v>18</v>
      </c>
      <c r="C11" t="n">
        <v>22</v>
      </c>
      <c r="D11" t="inlineStr">
        <is>
          <t>{}</t>
        </is>
      </c>
      <c r="E11"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0.6, "diagnostic_notes": "La visibilità dei DPI per tutti gli individui, in particolare quelli in secondo piano, è limitata. Non sono state osservate violazioni evidenti della sicurezza o comportamenti non conformi durante la clip. La persona in primo piano sta camminando su un percorso pedonale segnalato."}</t>
        </is>
      </c>
      <c r="F11" t="inlineStr">
        <is>
          <t>{"causal_chain_plausible": true, "causal_chain_text": "La limitata visibilità dei DPI per alcuni individui, in particolare quelli in secondo piano, riduce la loro riconoscibilità nell'ambiente operativo, aumentando il rischio che non vengano notati tempestivamente da veicoli o macchinari in movimento.", "near_miss_or_incident_scenario": "Un operatore di veicolo o macchinario non rileva la presenza di un lavoratore con DPI poco visibili, causando un quasi-incidente (near miss) o una collisione a bassa velocità.", "contributing_factors": ["Visibilità limitata dei DPI essenziali per alcuni individui", "Potenziale interazione con veicoli o macchinari in un ambiente industriale"]}</t>
        </is>
      </c>
      <c r="G11" t="n">
        <v>45</v>
      </c>
      <c r="H11" t="inlineStr">
        <is>
          <t>La limitata visibilità dei DPI essenziali per alcuni individui, in particolare quelli in secondo piano, aumenta il rischio di non essere notati da veicoli o macchinari. Questo crea un potenziale scenario di quasi-incidente o collisione a bassa velocità in un ambiente operativo.</t>
        </is>
      </c>
      <c r="I11" t="n">
        <v>57.48</v>
      </c>
      <c r="J11" t="inlineStr">
        <is>
          <t>arancione</t>
        </is>
      </c>
      <c r="K11" t="n">
        <v>0.43</v>
      </c>
      <c r="L11" t="n">
        <v>2.19</v>
      </c>
      <c r="M11" t="inlineStr">
        <is>
          <t>verde</t>
        </is>
      </c>
      <c r="N11" t="n">
        <v>0.6</v>
      </c>
      <c r="O11" t="inlineStr">
        <is>
          <t>La visibilità dei DPI per tutti gli individui, in particolare quelli in secondo piano, è limitata. Non sono state osservate violazioni evidenti della sicurezza o comportamenti non conformi durante la clip. La persona in primo piano sta camminando su un percorso pedonale segnalato.</t>
        </is>
      </c>
      <c r="P11" t="n">
        <v>0</v>
      </c>
      <c r="Q11" t="n">
        <v>0.0067</v>
      </c>
      <c r="R11" t="n">
        <v>0.237</v>
      </c>
      <c r="S11" t="n">
        <v>0.1588</v>
      </c>
      <c r="T11" t="n">
        <v>36.93</v>
      </c>
      <c r="U11" t="n">
        <v>0</v>
      </c>
      <c r="V11" t="n">
        <v>0</v>
      </c>
      <c r="W11" t="n">
        <v>0.066</v>
      </c>
      <c r="X11" t="n">
        <v>0</v>
      </c>
      <c r="Y11" t="n">
        <v>0</v>
      </c>
      <c r="Z11" t="n">
        <v>0</v>
      </c>
      <c r="AA11" t="n">
        <v>0.0067</v>
      </c>
      <c r="AB11" t="n">
        <v>0.144</v>
      </c>
      <c r="AC11" t="n">
        <v>0.0965</v>
      </c>
      <c r="AD11" t="n">
        <v>22.44</v>
      </c>
      <c r="AE11" t="n">
        <v>0</v>
      </c>
      <c r="AF11" t="n">
        <v>0.0045</v>
      </c>
      <c r="AG11" t="n">
        <v>0.38</v>
      </c>
      <c r="AH11" t="n">
        <v>0.171</v>
      </c>
      <c r="AI11" t="n">
        <v>39.77</v>
      </c>
      <c r="AJ11" t="n">
        <v>0</v>
      </c>
      <c r="AK11" t="n">
        <v>0</v>
      </c>
      <c r="AL11" t="n">
        <v>0.044</v>
      </c>
      <c r="AM11" t="n">
        <v>0</v>
      </c>
      <c r="AN11" t="n">
        <v>0</v>
      </c>
      <c r="AO11" t="n">
        <v>0</v>
      </c>
      <c r="AP11" t="n">
        <v>0</v>
      </c>
      <c r="AQ11" t="n">
        <v>0.101</v>
      </c>
      <c r="AR11" t="n">
        <v>0</v>
      </c>
      <c r="AS11" t="n">
        <v>0</v>
      </c>
      <c r="AT11" t="n">
        <v>0.25</v>
      </c>
      <c r="AU11" t="n">
        <v>0</v>
      </c>
      <c r="AV11" t="n">
        <v>0.028</v>
      </c>
      <c r="AW11" t="n">
        <v>0</v>
      </c>
      <c r="AX11" t="n">
        <v>0</v>
      </c>
    </row>
    <row r="12">
      <c r="A12" t="n">
        <v>10</v>
      </c>
      <c r="B12" t="n">
        <v>20</v>
      </c>
      <c r="C12" t="n">
        <v>24</v>
      </c>
      <c r="D12" t="inlineStr">
        <is>
          <t>{"scene_state": "Ambiente di fabbrica o officina industriale attivo con macchinari pesanti.", "environmental_conditions": ["Interno", "Ben illuminato artificialmente", "Pavimento con segnaletica orizzontale", "Pareti in lamiera"], "actors": ["Diversi individui (5-6) in abiti da lavoro, prevalentemente a destra", "Un individuo a sinistra, vicino a un macchinario"], "objects": ["Bobine di metallo a terra", "Pallet o strutture metalliche", "Piattaforma mobile arancione", "Attrezzatura per riprese (treppiede, luci) in primo piano", "Vari strumenti e componenti"], "machines": ["Grandi presse industriali (blu, bianche, grigie)", "Sistemi di trasporto/alimentazione", "Apparecchiature ausiliarie"], "observable_actions": ["Individui camminano su percorso segnato", "Individui in piedi e che interagiscono", "Un individuo si muove dal fondo verso il primo piano a destra", "Macchinari in stato operativo o di attesa"], "notes_visibility_limitations": "Vista dall'alto. Dettagli fini di azioni e volti non chiari. Aree dietro i macchinari parzialmente oscurate. Fondo scena meno definito."}</t>
        </is>
      </c>
      <c r="E12" t="inlineStr">
        <is>
          <t>{"unsafe_behaviors": [], "vulnerable_elements": ["Individuo in prossimità di macchinario pesante (pressa) a sinistra", "Potenziale assenza di DPI essenziali (casco) in ambiente industriale"], "risk_cues": {"R1_pedestrian_vehicle_interference": 0.0, "R2_pedestrian_segregation_violation": 0.0, "R3_load_storage_instability": 0.0, "R4_crush_points_dangerous_parts_exposure": 0.25, "R5_unsafe_operational_proximity": 0.5, "R6_unsafe_behavior_posture_manoeuvre": 0.0, "R7_essential_ppe_non_compliance": 0.25}, "cue_confidence": 0.7, "diagnostic_notes": "La visibilità dall'alto e la distanza limitano la valutazione dettagliata dell'interazione uomo-macchina e la verifica completa dei DPI, in particolare per l'individuo a sinistra vicino alla pressa. Nessun mezzo mobile è visibile in transito. L'assenza di caschi visibili in un ambiente con macchinari pesanti è una debole evidenza di potenziale non conformità."}</t>
        </is>
      </c>
      <c r="F12" t="inlineStr">
        <is>
          <t>{"causal_chain_plausible": true, "causal_chain_text": "L'individuo a sinistra è in prossimità di una pressa industriale operativa/in attesa. Questa vicinanza (R5) e l'esposizione a parti pericolose (R4) aumentano il rischio. Un movimento inatteso della macchina o un'azione involontaria dell'individuo potrebbe causare contatto, portando a un infortunio da schiacciamento, aggravato dalla potenziale assenza di DPI (R7).", "near_miss_or_incident_scenario": "L'individuo a sinistra, trovandosi in prossimità di una pressa industriale, potrebbe inavvertitamente entrare in una zona di pericolo o essere colpito da un movimento inatteso della macchina, subendo un infortunio da schiacciamento o impatto.", "contributing_factors": ["Prossimità non sicura dell'individuo al macchinario pesante (pressa)", "Esposizione a punti di schiacciamento o parti pericolose del macchinario", "Potenziale non conformità con l'uso di DPI essenziali (es. casco)", "Macchinario in stato operativo o di attesa"]}</t>
        </is>
      </c>
      <c r="G12" t="n">
        <v>60</v>
      </c>
      <c r="H12" t="inlineStr">
        <is>
          <t>L'individuo si trova in prossimità non sicura di una pressa industriale operativa, esponendosi a punti di schiacciamento. La potenziale assenza di DPI essenziali aggrava il rischio di infortunio grave.</t>
        </is>
      </c>
      <c r="I12" t="n">
        <v>70.48999999999999</v>
      </c>
      <c r="J12" t="inlineStr">
        <is>
          <t>arancione</t>
        </is>
      </c>
      <c r="K12" t="n">
        <v>4.52</v>
      </c>
      <c r="L12" t="n">
        <v>6.39</v>
      </c>
      <c r="M12" t="inlineStr">
        <is>
          <t>verde</t>
        </is>
      </c>
      <c r="N12" t="n">
        <v>0.7</v>
      </c>
      <c r="O12" t="inlineStr">
        <is>
          <t>La visibilità dall'alto e la distanza limitano la valutazione dettagliata dell'interazione uomo-macchina e la verifica completa dei DPI, in particolare per l'individuo a sinistra vicino alla pressa. Nessun mezzo mobile è visibile in transito. L'assenza di caschi visibili in un ambiente con macchinari pesanti è una debole evidenza di potenziale non conformità.</t>
        </is>
      </c>
      <c r="P12" t="n">
        <v>0</v>
      </c>
      <c r="Q12" t="n">
        <v>0.0067</v>
      </c>
      <c r="R12" t="n">
        <v>0.237</v>
      </c>
      <c r="S12" t="n">
        <v>0.1588</v>
      </c>
      <c r="T12" t="n">
        <v>3.51</v>
      </c>
      <c r="U12" t="n">
        <v>0</v>
      </c>
      <c r="V12" t="n">
        <v>0</v>
      </c>
      <c r="W12" t="n">
        <v>0.066</v>
      </c>
      <c r="X12" t="n">
        <v>0</v>
      </c>
      <c r="Y12" t="n">
        <v>0</v>
      </c>
      <c r="Z12" t="n">
        <v>0</v>
      </c>
      <c r="AA12" t="n">
        <v>0.0067</v>
      </c>
      <c r="AB12" t="n">
        <v>0.144</v>
      </c>
      <c r="AC12" t="n">
        <v>0.0965</v>
      </c>
      <c r="AD12" t="n">
        <v>2.13</v>
      </c>
      <c r="AE12" t="n">
        <v>0.25</v>
      </c>
      <c r="AF12" t="n">
        <v>0.0832</v>
      </c>
      <c r="AG12" t="n">
        <v>0.38</v>
      </c>
      <c r="AH12" t="n">
        <v>3.1616</v>
      </c>
      <c r="AI12" t="n">
        <v>69.95</v>
      </c>
      <c r="AJ12" t="n">
        <v>0.5</v>
      </c>
      <c r="AK12" t="n">
        <v>0.25</v>
      </c>
      <c r="AL12" t="n">
        <v>0.044</v>
      </c>
      <c r="AM12" t="n">
        <v>1.1</v>
      </c>
      <c r="AN12" t="n">
        <v>24.34</v>
      </c>
      <c r="AO12" t="n">
        <v>0</v>
      </c>
      <c r="AP12" t="n">
        <v>0</v>
      </c>
      <c r="AQ12" t="n">
        <v>0.101</v>
      </c>
      <c r="AR12" t="n">
        <v>0</v>
      </c>
      <c r="AS12" t="n">
        <v>0</v>
      </c>
      <c r="AT12" t="n">
        <v>0.25</v>
      </c>
      <c r="AU12" t="n">
        <v>0</v>
      </c>
      <c r="AV12" t="n">
        <v>0.028</v>
      </c>
      <c r="AW12" t="n">
        <v>0</v>
      </c>
      <c r="AX12" t="n">
        <v>0</v>
      </c>
    </row>
    <row r="13">
      <c r="A13" t="n">
        <v>11</v>
      </c>
      <c r="B13" t="n">
        <v>22</v>
      </c>
      <c r="C13" t="n">
        <v>26</v>
      </c>
      <c r="D13" t="inlineStr">
        <is>
          <t>{"scene_state": "La scena mostra l'interno di un impianto industriale o di una fabbrica, con diverse macchine di grandi dimensioni e personale presente.", "environmental_conditions": ["Ambiente interno ben illuminato", "Pareti in pannelli metallici chiari", "Pavimento con segnaletica orizzontale gialla e verde"], "actors": ["Un individuo cammina da destra a sinistra nel piano intermedio, indossando abiti scuri.", "Diversi individui (almeno 4-5) sono visibili sullo sfondo, in piedi o in movimento vicino a un'apertura.", "Un individuo è parzialmente visibile all'estrema sinistra, vicino a una macchina."], "objects": ["Bobine di metallo sul pavimento (una grande, una più piccola)", "Pallet o strutture metalliche sul pavimento sullo sfondo", "Cavi e fili sul pavimento", "Una piccola piattaforma/carrello mobile di colore arancione vicino al centro", "Una telecamera su treppiede in primo piano", "Unità di condizionamento dell'aria sulla parete", "Cartello con la scritta \"MANUEL ZERO\" sulla parete"], "machines": ["Diverse presse industriali di grandi dimensioni (almeno 3-4 visibili, blu e bianco/grigio)", "Meccanismi di alimentazione o nastri trasportatori associati alle presse", "Pannelli di controllo sulle macchine"], "observable_actions": ["Una persona cammina nel piano intermedio.", "Altre persone sono in piedi o camminano sullo sfondo.", "Le macchine appaiono in stato di riposo o standby; nessuna operazione attiva è chiaramente visibile."], "notes_visibility_limitations": "Alcune aree sono parzialmente oscurate dai macchinari. I dettagli degli individui sullo sfondo non sono nitidi a causa della distanza e della risoluzione."}</t>
        </is>
      </c>
      <c r="E13" t="inlineStr">
        <is>
          <t>{"unsafe_behaviors": [], "vulnerable_elements": ["Personale in un ambiente industriale senza DPI essenziali chiaramente visibili (es. casco)"], "risk_cues": {"R1_pedestrian_vehicle_interference": 0.0, "R2_pedestrian_segregation_violation": 0.25, "R3_load_storage_instability": 0.0, "R4_crush_points_dangerous_parts_exposure": 0.0, "R5_unsafe_operational_proximity": 0.0, "R6_unsafe_behavior_posture_manoeuvre": 0.0, "R7_essential_ppe_non_compliance": 0.5}, "cue_confidence": 0.75, "diagnostic_notes": "Le macchine sono in stato di riposo e non sono presenti mezzi mobili. L'individuo principale cammina su un percorso pedonale segnalato. La valutazione dei DPI essenziali è limitata dalla visibilità; un casco non è visibile sull'operatore principale in un ambiente industriale."}</t>
        </is>
      </c>
      <c r="F13" t="inlineStr">
        <is>
          <t>{"causal_chain_plausible": true, "causal_chain_text": "La mancanza di DPI essenziali (casco) per il personale in un ambiente industriale espone a rischi di lesioni alla testa in caso di impatto con strutture fisse o caduta di oggetti, anche con macchinari a riposo.", "near_miss_or_incident_scenario": "Un individuo urta accidentalmente la testa contro una struttura fissa o un oggetto cade, causando una lesione alla testa per assenza di protezione adeguata.", "contributing_factors": ["Mancanza di DPI essenziali (casco) visibili sul personale in un ambiente industriale.", "Presenza di macchinari e strutture industriali fisse che possono rappresentare punti di impatto.", "Cavi e fili sul pavimento che possono costituire un rischio di inciampo."]}</t>
        </is>
      </c>
      <c r="G13" t="n">
        <v>55</v>
      </c>
      <c r="H13" t="inlineStr">
        <is>
          <t>Il punteggio riflette la non conformità con i DPI essenziali (casco) in un ambiente industriale, esponendo il personale a rischi di lesioni alla testa. Sebbene le macchine siano a riposo, la presenza di strutture fisse e cavi a terra aumenta il rischio di impatti o cadute.</t>
        </is>
      </c>
      <c r="I13" t="n">
        <v>64.29000000000001</v>
      </c>
      <c r="J13" t="inlineStr">
        <is>
          <t>arancione</t>
        </is>
      </c>
      <c r="K13" t="n">
        <v>3.48</v>
      </c>
      <c r="L13" t="n">
        <v>5.23</v>
      </c>
      <c r="M13" t="inlineStr">
        <is>
          <t>verde</t>
        </is>
      </c>
      <c r="N13" t="n">
        <v>0.75</v>
      </c>
      <c r="O13" t="inlineStr">
        <is>
          <t>Le macchine sono in stato di riposo e non sono presenti mezzi mobili. L'individuo principale cammina su un percorso pedonale segnalato. La valutazione dei DPI essenziali è limitata dalla visibilità; un casco non è visibile sull'operatore principale in un ambiente industriale.</t>
        </is>
      </c>
      <c r="P13" t="n">
        <v>0</v>
      </c>
      <c r="Q13" t="n">
        <v>0.0067</v>
      </c>
      <c r="R13" t="n">
        <v>0.237</v>
      </c>
      <c r="S13" t="n">
        <v>0.1588</v>
      </c>
      <c r="T13" t="n">
        <v>4.56</v>
      </c>
      <c r="U13" t="n">
        <v>0.25</v>
      </c>
      <c r="V13" t="n">
        <v>0.25</v>
      </c>
      <c r="W13" t="n">
        <v>0.066</v>
      </c>
      <c r="X13" t="n">
        <v>1.65</v>
      </c>
      <c r="Y13" t="n">
        <v>47.41</v>
      </c>
      <c r="Z13" t="n">
        <v>0</v>
      </c>
      <c r="AA13" t="n">
        <v>0.0067</v>
      </c>
      <c r="AB13" t="n">
        <v>0.144</v>
      </c>
      <c r="AC13" t="n">
        <v>0.0965</v>
      </c>
      <c r="AD13" t="n">
        <v>2.77</v>
      </c>
      <c r="AE13" t="n">
        <v>0</v>
      </c>
      <c r="AF13" t="n">
        <v>0.0045</v>
      </c>
      <c r="AG13" t="n">
        <v>0.38</v>
      </c>
      <c r="AH13" t="n">
        <v>0.171</v>
      </c>
      <c r="AI13" t="n">
        <v>4.91</v>
      </c>
      <c r="AJ13" t="n">
        <v>0</v>
      </c>
      <c r="AK13" t="n">
        <v>0</v>
      </c>
      <c r="AL13" t="n">
        <v>0.044</v>
      </c>
      <c r="AM13" t="n">
        <v>0</v>
      </c>
      <c r="AN13" t="n">
        <v>0</v>
      </c>
      <c r="AO13" t="n">
        <v>0</v>
      </c>
      <c r="AP13" t="n">
        <v>0</v>
      </c>
      <c r="AQ13" t="n">
        <v>0.101</v>
      </c>
      <c r="AR13" t="n">
        <v>0</v>
      </c>
      <c r="AS13" t="n">
        <v>0</v>
      </c>
      <c r="AT13" t="n">
        <v>0.5</v>
      </c>
      <c r="AU13" t="n">
        <v>0.5</v>
      </c>
      <c r="AV13" t="n">
        <v>0.028</v>
      </c>
      <c r="AW13" t="n">
        <v>1.4</v>
      </c>
      <c r="AX13" t="n">
        <v>40.23</v>
      </c>
    </row>
    <row r="14">
      <c r="A14" t="n">
        <v>12</v>
      </c>
      <c r="B14" t="n">
        <v>24</v>
      </c>
      <c r="C14" t="n">
        <v>28</v>
      </c>
      <c r="D14" t="inlineStr">
        <is>
          <t>{"scene_state": "Ambiente industriale interno.", "environmental_conditions": ["Ben illuminato", "Interno"], "actors": ["Diversi operai in movimento sullo sfondo"], "objects": ["Segnaletica orizzontale gialla sul pavimento", "Bobine di metallo", "Pallet", "Cavi e attrezzature varie", "Piattaforma mobile arancione"], "machines": ["Grandi presse industriali (una blu e bianca, una in primo piano con elementi blu)", "Altri macchinari industriali sullo sfondo"], "observable_actions": ["Operai che camminano sullo sfondo", "La piattaforma mobile arancione appare stazionaria o in lento movimento"], "notes_visibility_limitations": "Vista dall'alto. Dettagli a terra o dietro i macchinari e operazioni specifiche non sono chiaramente visibili a causa della distanza e dell'angolazione."}</t>
        </is>
      </c>
      <c r="E14"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0.75, "diagnostic_notes": "La clip mostra un ambiente industriale con operai che camminano sullo sfondo lungo percorsi segnalati. Non sono visibili mezzi mobili in movimento o interazioni pericolose tra pedoni e macchinari. La distanza e l'angolazione della telecamera limitano la visibilità dei dettagli operativi e dei DPI individuali, ma non si rilevano comportamenti o condizioni di rischio evidenti nel segmento analizzato."}</t>
        </is>
      </c>
      <c r="F14" t="inlineStr">
        <is>
          <t>{"causal_chain_plausible": false, "causal_chain_text": "", "near_miss_or_incident_scenario": "", "contributing_factors": []}</t>
        </is>
      </c>
      <c r="G14" t="n">
        <v>10</v>
      </c>
      <c r="H14" t="inlineStr">
        <is>
          <t>Non sono stati rilevati rischi immediati o comportamenti non sicuri. Gli operai si muovono lungo percorsi segnalati e non ci sono interazioni pericolose visibili con macchinari o mezzi mobili.</t>
        </is>
      </c>
      <c r="I14" t="n">
        <v>42.57</v>
      </c>
      <c r="J14" t="inlineStr">
        <is>
          <t>giallo</t>
        </is>
      </c>
      <c r="K14" t="n">
        <v>0.43</v>
      </c>
      <c r="L14" t="n">
        <v>3.31</v>
      </c>
      <c r="M14" t="inlineStr">
        <is>
          <t>verde</t>
        </is>
      </c>
      <c r="N14" t="n">
        <v>0.75</v>
      </c>
      <c r="O14" t="inlineStr">
        <is>
          <t>La clip mostra un ambiente industriale con operai che camminano sullo sfondo lungo percorsi segnalati. Non sono visibili mezzi mobili in movimento o interazioni pericolose tra pedoni e macchinari. La distanza e l'angolazione della telecamera limitano la visibilità dei dettagli operativi e dei DPI individuali, ma non si rilevano comportamenti o condizioni di rischio evidenti nel segmento analizzato.</t>
        </is>
      </c>
      <c r="P14" t="n">
        <v>0</v>
      </c>
      <c r="Q14" t="n">
        <v>0.0067</v>
      </c>
      <c r="R14" t="n">
        <v>0.237</v>
      </c>
      <c r="S14" t="n">
        <v>0.1588</v>
      </c>
      <c r="T14" t="n">
        <v>36.93</v>
      </c>
      <c r="U14" t="n">
        <v>0</v>
      </c>
      <c r="V14" t="n">
        <v>0</v>
      </c>
      <c r="W14" t="n">
        <v>0.066</v>
      </c>
      <c r="X14" t="n">
        <v>0</v>
      </c>
      <c r="Y14" t="n">
        <v>0</v>
      </c>
      <c r="Z14" t="n">
        <v>0</v>
      </c>
      <c r="AA14" t="n">
        <v>0.0067</v>
      </c>
      <c r="AB14" t="n">
        <v>0.144</v>
      </c>
      <c r="AC14" t="n">
        <v>0.0965</v>
      </c>
      <c r="AD14" t="n">
        <v>22.44</v>
      </c>
      <c r="AE14" t="n">
        <v>0</v>
      </c>
      <c r="AF14" t="n">
        <v>0.0045</v>
      </c>
      <c r="AG14" t="n">
        <v>0.38</v>
      </c>
      <c r="AH14" t="n">
        <v>0.171</v>
      </c>
      <c r="AI14" t="n">
        <v>39.77</v>
      </c>
      <c r="AJ14" t="n">
        <v>0</v>
      </c>
      <c r="AK14" t="n">
        <v>0</v>
      </c>
      <c r="AL14" t="n">
        <v>0.044</v>
      </c>
      <c r="AM14" t="n">
        <v>0</v>
      </c>
      <c r="AN14" t="n">
        <v>0</v>
      </c>
      <c r="AO14" t="n">
        <v>0</v>
      </c>
      <c r="AP14" t="n">
        <v>0</v>
      </c>
      <c r="AQ14" t="n">
        <v>0.101</v>
      </c>
      <c r="AR14" t="n">
        <v>0</v>
      </c>
      <c r="AS14" t="n">
        <v>0</v>
      </c>
      <c r="AT14" t="n">
        <v>0</v>
      </c>
      <c r="AU14" t="n">
        <v>0</v>
      </c>
      <c r="AV14" t="n">
        <v>0.028</v>
      </c>
      <c r="AW14" t="n">
        <v>0</v>
      </c>
      <c r="AX14" t="n">
        <v>0</v>
      </c>
    </row>
    <row r="15">
      <c r="A15" t="n">
        <v>13</v>
      </c>
      <c r="B15" t="n">
        <v>26</v>
      </c>
      <c r="C15" t="n">
        <v>30</v>
      </c>
      <c r="D15" t="inlineStr">
        <is>
          <t>{"scene_state": "La scena mostra un ambiente industriale interno, probabilmente un'officina o una fabbrica, con diverse macchine di grandi dimensioni e personale presente.", "environmental_conditions": ["L'ambiente è ben illuminato.", "Il pavimento è pulito e presenta segnaletica orizzontale (linee gialle e verdi).", "Non si osservano fumi o polveri evidenti."], "actors": ["Diversi individui (almeno 4-5) sono visibili nella parte destra della scena, alcuni camminano e altri sono fermi.", "Un individuo è parzialmente visibile nell'angolo in basso a sinistra."], "objects": ["Rotoli di materiale (probabilmente metallo) sono posizionati sul pavimento al centro-destra.", "Pallet o piattaforme metalliche sono presenti vicino alle macchine e lungo le pareti.", "Cavi e tubi sono visibili sul pavimento in diverse aree.", "Un cartello con la scritta \"MANUT. ZERO\" è appeso sulla parete di fondo a destra."], "machines": ["Una grande pressa industriale di colore blu e bianco è in primo piano a sinistra.", "Una pressa più grande, di colore bianco e grigio, si trova al centro della scena.", "Altre macchine industriali sono visibili sullo sfondo a destra.", "Un piccolo macchinario arancione è posizionato tra le due presse principali.", "Quadri elettrici e unità di controllo sono attaccati alle macchine."], "observable_actions": ["Alcuni individui camminano da destra verso il centro-destra della scena.", "Un individuo si muove brevemente vicino alla pressa blu a sinistra.", "Le macchine sembrano essere in uno stato operativo o di attesa, ma non si osservano movimenti specifici di lavorazione del materiale in questo intervallo."], "notes_visibility_limitations": "La vista dall'alto limita la percezione dei dettagli a livello del suolo e dietro le macchine. Alcuni individui sono parzialmente occlusi dalle attrezzature o dalla distanza. I dettagli specifici delle operazioni delle macchine non sono chiaramente visibili."}</t>
        </is>
      </c>
      <c r="E15" t="inlineStr">
        <is>
          <t>{"unsafe_behaviors": [], "vulnerable_elements": ["Individui che transitano in un'area industriale con macchinari di grandi dimensioni."], "risk_cues": {"R1_pedestrian_vehicle_interference": 0.0, "R2_pedestrian_segregation_violation": 0.0, "R3_load_storage_instability": 0.0, "R4_crush_points_dangerous_parts_exposure": 0.25, "R5_unsafe_operational_proximity": 0.25, "R6_unsafe_behavior_posture_manoeuvre": 0.0, "R7_essential_ppe_non_compliance": 0.25}, "cue_confidence": 0.6, "diagnostic_notes": "La visibilità dall'alto e la distanza limitano la capacità di valutare in dettaglio l'uso dei DPI e le interazioni specifiche con le macchine. Le macchine sembrano inattive. Non si osservano comportamenti o condizioni di rischio critico immediato."}</t>
        </is>
      </c>
      <c r="F15" t="inlineStr">
        <is>
          <t>{"causal_chain_plausible": true, "causal_chain_text": "Personale transita in prossimità di grandi presse industriali con punti di schiacciamento e parti pericolose. La presenza di ostacoli a terra (cavi, tubi, rotoli) aumenta il rischio di inciampo. Un'attivazione inattesa della macchina o una caduta del personale potrebbe portare a un contatto con le parti pericolose.", "near_miss_or_incident_scenario": "Un individuo in transito inciampa su un ostacolo a terra (cavo o rotolo), perdendo l'equilibrio e finendo pericolosamente vicino a una pressa industriale. In alternativa, una pressa in stato di attesa effettua un movimento improvviso mentre un operatore si trova in prossimità, richiedendo una reazione immediata per evitare il contatto.", "contributing_factors": ["Prossimità del personale a macchinari industriali con punti di schiacciamento e parti pericolose.", "Presenza di ostacoli (cavi, tubi, rotoli di materiale) sul pavimento nelle aree di transito.", "Potenziale di attivazione inattesa dei macchinari, anche se attualmente in stato di attesa.", "Incertezza sull'adeguatezza o l'uso dei Dispositivi di Protezione Individuale (DPI) da parte del personale."]}</t>
        </is>
      </c>
      <c r="G15" t="n">
        <v>45</v>
      </c>
      <c r="H15" t="inlineStr">
        <is>
          <t>La presenza di personale in prossimità di grandi macchinari industriali e ostacoli a terra, unita all'incertezza sull'uso dei DPI, genera un rischio moderato. Sebbene non si osservino pericoli critici immediati, il potenziale di inciampo o di contatto con parti pericolose è presente.</t>
        </is>
      </c>
      <c r="I15" t="n">
        <v>71.54000000000001</v>
      </c>
      <c r="J15" t="inlineStr">
        <is>
          <t>arancione</t>
        </is>
      </c>
      <c r="K15" t="n">
        <v>3.69</v>
      </c>
      <c r="L15" t="n">
        <v>6.07</v>
      </c>
      <c r="M15" t="inlineStr">
        <is>
          <t>verde</t>
        </is>
      </c>
      <c r="N15" t="n">
        <v>0.6</v>
      </c>
      <c r="O15" t="inlineStr">
        <is>
          <t>La visibilità dall'alto e la distanza limitano la capacità di valutare in dettaglio l'uso dei DPI e le interazioni specifiche con le macchine. Le macchine sembrano inattive. Non si osservano comportamenti o condizioni di rischio critico immediato.</t>
        </is>
      </c>
      <c r="P15" t="n">
        <v>0</v>
      </c>
      <c r="Q15" t="n">
        <v>0.0067</v>
      </c>
      <c r="R15" t="n">
        <v>0.237</v>
      </c>
      <c r="S15" t="n">
        <v>0.1588</v>
      </c>
      <c r="T15" t="n">
        <v>4.3</v>
      </c>
      <c r="U15" t="n">
        <v>0</v>
      </c>
      <c r="V15" t="n">
        <v>0</v>
      </c>
      <c r="W15" t="n">
        <v>0.066</v>
      </c>
      <c r="X15" t="n">
        <v>0</v>
      </c>
      <c r="Y15" t="n">
        <v>0</v>
      </c>
      <c r="Z15" t="n">
        <v>0</v>
      </c>
      <c r="AA15" t="n">
        <v>0.0067</v>
      </c>
      <c r="AB15" t="n">
        <v>0.144</v>
      </c>
      <c r="AC15" t="n">
        <v>0.0965</v>
      </c>
      <c r="AD15" t="n">
        <v>2.62</v>
      </c>
      <c r="AE15" t="n">
        <v>0.25</v>
      </c>
      <c r="AF15" t="n">
        <v>0.0832</v>
      </c>
      <c r="AG15" t="n">
        <v>0.38</v>
      </c>
      <c r="AH15" t="n">
        <v>3.1616</v>
      </c>
      <c r="AI15" t="n">
        <v>85.68000000000001</v>
      </c>
      <c r="AJ15" t="n">
        <v>0.25</v>
      </c>
      <c r="AK15" t="n">
        <v>0.0625</v>
      </c>
      <c r="AL15" t="n">
        <v>0.044</v>
      </c>
      <c r="AM15" t="n">
        <v>0.275</v>
      </c>
      <c r="AN15" t="n">
        <v>7.45</v>
      </c>
      <c r="AO15" t="n">
        <v>0</v>
      </c>
      <c r="AP15" t="n">
        <v>0</v>
      </c>
      <c r="AQ15" t="n">
        <v>0.101</v>
      </c>
      <c r="AR15" t="n">
        <v>0</v>
      </c>
      <c r="AS15" t="n">
        <v>0</v>
      </c>
      <c r="AT15" t="n">
        <v>0.25</v>
      </c>
      <c r="AU15" t="n">
        <v>0</v>
      </c>
      <c r="AV15" t="n">
        <v>0.028</v>
      </c>
      <c r="AW15" t="n">
        <v>0</v>
      </c>
      <c r="AX15" t="n">
        <v>0</v>
      </c>
    </row>
    <row r="16">
      <c r="A16" t="n">
        <v>14</v>
      </c>
      <c r="B16" t="n">
        <v>28</v>
      </c>
      <c r="C16" t="n">
        <v>32</v>
      </c>
      <c r="D16" t="inlineStr">
        <is>
          <t>{"scene_state": "La scena mostra un'area di produzione industriale, con macchinari pesanti e percorsi segnalati. L'ambiente appare organizzato e ben illuminato.", "environmental_conditions": ["Illuminazione artificiale diffusa e adeguata.", "Pavimento pulito con segnaletica orizzontale (strisce gialle) per i percorsi."], "actors": ["Tre individui adulti che camminano e poi si fermano per conversare in un'area di passaggio sul lato destro della scena.", "Un individuo parzialmente oscurato seduto o in piedi vicino a un macchinario sul lato sinistro della scena."], "objects": ["Un grande rotolo di materiale metallico (coil) a terra al centro della scena.", "Diverse pedane o strutture metalliche impilate vicino al percorso di passaggio.", "Un piccolo sistema di telecamera su treppiede in primo piano a destra.", "Una struttura a piattaforma/scala di colore arancione al centro.", "Contenitori e attrezzature varie lungo le pareti."], "machines": ["Diverse presse industriali o macchinari per stampaggio di grandi dimensioni, di colore blu e bianco, posizionate in diverse aree della fabbrica.", "Un macchinario prominente con dettagli blu e gialli in primo piano a sinistra."], "observable_actions": ["Tre individui che camminano lungo un percorso segnalato.", "I tre individui si fermano e interagiscono verbalmente (conversano).", "Un individuo è presente vicino a un macchinario sul lato sinistro, senza azioni chiare visibili."], "notes_visibility_limitations": "Alcune aree sono parzialmente oscurate dai macchinari. I dettagli dei volti degli attori e le specifiche operazioni dei macchinari non sono chiaramente visibili a causa della distanza e della risoluzione."}</t>
        </is>
      </c>
      <c r="E16"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0.25}, "cue_confidence": 0.6, "diagnostic_notes": "La visibilità dei dettagli dei DPI è limitata a causa della distanza e della risoluzione. Nessun comportamento o condizione di rischio evidente è osservabile nella finestra temporale specificata. Il punteggio per R7 riflette una debole evidenza di potenziale non conformità data l'impossibilità di verificare i DPI in un ambiente industriale."}</t>
        </is>
      </c>
      <c r="F16" t="inlineStr">
        <is>
          <t>{"causal_chain_plausible": false, "causal_chain_text": "", "near_miss_or_incident_scenario": "", "contributing_factors": []}</t>
        </is>
      </c>
      <c r="G16" t="n">
        <v>5</v>
      </c>
      <c r="H16" t="inlineStr">
        <is>
          <t>L'ambiente è organizzato e non sono stati osservati comportamenti o condizioni di rischio evidenti. Il punteggio riflette una minima incertezza sulla conformità dei DPI a causa delle limitazioni di visibilità.</t>
        </is>
      </c>
      <c r="I16" t="n">
        <v>44.92</v>
      </c>
      <c r="J16" t="inlineStr">
        <is>
          <t>giallo</t>
        </is>
      </c>
      <c r="K16" t="n">
        <v>0.43</v>
      </c>
      <c r="L16" t="n">
        <v>3.81</v>
      </c>
      <c r="M16" t="inlineStr">
        <is>
          <t>verde</t>
        </is>
      </c>
      <c r="N16" t="n">
        <v>0.6</v>
      </c>
      <c r="O16" t="inlineStr">
        <is>
          <t>La visibilità dei dettagli dei DPI è limitata a causa della distanza e della risoluzione. Nessun comportamento o condizione di rischio evidente è osservabile nella finestra temporale specificata. Il punteggio per R7 riflette una debole evidenza di potenziale non conformità data l'impossibilità di verificare i DPI in un ambiente industriale.</t>
        </is>
      </c>
      <c r="P16" t="n">
        <v>0</v>
      </c>
      <c r="Q16" t="n">
        <v>0.0067</v>
      </c>
      <c r="R16" t="n">
        <v>0.237</v>
      </c>
      <c r="S16" t="n">
        <v>0.1588</v>
      </c>
      <c r="T16" t="n">
        <v>36.93</v>
      </c>
      <c r="U16" t="n">
        <v>0</v>
      </c>
      <c r="V16" t="n">
        <v>0</v>
      </c>
      <c r="W16" t="n">
        <v>0.066</v>
      </c>
      <c r="X16" t="n">
        <v>0</v>
      </c>
      <c r="Y16" t="n">
        <v>0</v>
      </c>
      <c r="Z16" t="n">
        <v>0</v>
      </c>
      <c r="AA16" t="n">
        <v>0.0067</v>
      </c>
      <c r="AB16" t="n">
        <v>0.144</v>
      </c>
      <c r="AC16" t="n">
        <v>0.0965</v>
      </c>
      <c r="AD16" t="n">
        <v>22.44</v>
      </c>
      <c r="AE16" t="n">
        <v>0</v>
      </c>
      <c r="AF16" t="n">
        <v>0.0045</v>
      </c>
      <c r="AG16" t="n">
        <v>0.38</v>
      </c>
      <c r="AH16" t="n">
        <v>0.171</v>
      </c>
      <c r="AI16" t="n">
        <v>39.77</v>
      </c>
      <c r="AJ16" t="n">
        <v>0</v>
      </c>
      <c r="AK16" t="n">
        <v>0</v>
      </c>
      <c r="AL16" t="n">
        <v>0.044</v>
      </c>
      <c r="AM16" t="n">
        <v>0</v>
      </c>
      <c r="AN16" t="n">
        <v>0</v>
      </c>
      <c r="AO16" t="n">
        <v>0</v>
      </c>
      <c r="AP16" t="n">
        <v>0</v>
      </c>
      <c r="AQ16" t="n">
        <v>0.101</v>
      </c>
      <c r="AR16" t="n">
        <v>0</v>
      </c>
      <c r="AS16" t="n">
        <v>0</v>
      </c>
      <c r="AT16" t="n">
        <v>0.25</v>
      </c>
      <c r="AU16" t="n">
        <v>0</v>
      </c>
      <c r="AV16" t="n">
        <v>0.028</v>
      </c>
      <c r="AW16" t="n">
        <v>0</v>
      </c>
      <c r="AX16" t="n">
        <v>0</v>
      </c>
    </row>
    <row r="17">
      <c r="A17" t="n">
        <v>15</v>
      </c>
      <c r="B17" t="n">
        <v>30</v>
      </c>
      <c r="C17" t="n">
        <v>34</v>
      </c>
      <c r="D17" t="inlineStr">
        <is>
          <t>{"scene_state": "La scena mostra l'interno di un capannone industriale, presumibilmente un'officina o una fabbrica, con macchinari pesanti e personale presente. L'ambiente è ben illuminato e sembra operativo.", "environmental_conditions": ["Ambiente interno", "Illuminazione generale adeguata", "Pareti in pannelli metallici chiari", "Pavimento con segnaletica orizzontale verde per percorsi"], "actors": ["Un gruppo di 3-4 persone in piedi sul lato destro, vicino a una parete", "Almeno una persona visibile sul lato sinistro, vicino a un macchinario blu"], "objects": ["Bobine di metallo sul pavimento", "Pallet o strutture metalliche sul lato destro", "Cavi e fili a terra e collegati ai macchinari", "Segnaletica di avvertimento gialla sui macchinari", "Un piccolo setup con telecamera/treppiede in primo piano"], "machines": ["Grandi presse industriali (blu e bianche) al centro e a sinistra", "Meccanismi di alimentazione o nastri trasportatori associati alle presse", "Attrezzature ausiliarie (pannelli di controllo, unità di raffreddamento)", "Una piattaforma mobile arancione vicino alla macchina centrale"], "observable_actions": ["Il gruppo di persone sulla destra è in piedi e conversa", "La persona sulla sinistra appare stazionaria o effettua piccole regolazioni", "I macchinari sono in uno stato di apparente inattività o preparazione, senza movimenti evidenti di lavorazione"], "notes_visibility_limitations": "La visuale è dall'alto e distante, limitando la chiarezza dei dettagli sui volti e sulle azioni specifiche. Alcune aree sono parzialmente oscurate dai macchinari."}</t>
        </is>
      </c>
      <c r="E17" t="inlineStr">
        <is>
          <t>{"unsafe_behaviors": [], "vulnerable_elements": ["Personale in prossimità di macchinari pesanti (anche se inattivi)"], "risk_cues": {"R1_pedestrian_vehicle_interference": 0.0, "R2_pedestrian_segregation_violation": 0.0, "R3_load_storage_instability": 0.0, "R4_crush_points_dangerous_parts_exposure": 0.0, "R5_unsafe_operational_proximity": 0.25, "R6_unsafe_behavior_posture_manoeuvre": 0.0, "R7_essential_ppe_non_compliance": 0.25}, "cue_confidence": 0.6, "diagnostic_notes": "La visuale dall'alto e la distanza limitano la chiara identificazione dell'uso di DPI essenziali (es. caschi, occhiali di protezione) per il personale presente. I macchinari pesanti appaiono inattivi, riducendo il rischio immediato da parti in movimento, ma la prossimità a tali attrezzature richiede attenzione."}</t>
        </is>
      </c>
      <c r="F17" t="inlineStr">
        <is>
          <t>{"causal_chain_plausible": true, "causal_chain_text": "La prossimità del personale ai macchinari pesanti (R5), combinata con la potenziale non conformità nell'uso dei DPI essenziali (R7), crea un rischio. Un'attivazione inattesa o un movimento improvviso di un macchinario potrebbe esporre il personale a pericoli meccanici, come punti di schiacciamento o parti in movimento, portando a un near miss o incidente.", "near_miss_or_incident_scenario": "Un operatore, trovandosi in prossimità di una pressa industriale e potenzialmente senza DPI adeguati, potrebbe essere esposto a un rischio di impatto o schiacciamento se la macchina si attivasse improvvisamente o effettuasse un movimento inatteso.", "contributing_factors": ["Prossimità del personale ai macchinari pesanti", "Incertezza sull'uso di DPI essenziali da parte del personale", "Potenziale avvio inatteso o movimento improvviso dei macchinari"]}</t>
        </is>
      </c>
      <c r="G17" t="n">
        <v>38</v>
      </c>
      <c r="H17" t="inlineStr">
        <is>
          <t>Il punteggio riflette la potenziale esposizione del personale a pericoli meccanici dovuti alla prossimità a macchinari pesanti, anche se inattivi, e all'incertezza sull'uso di DPI essenziali. Un avvio inatteso potrebbe generare un rischio significativo.</t>
        </is>
      </c>
      <c r="I17" t="n">
        <v>68.55</v>
      </c>
      <c r="J17" t="inlineStr">
        <is>
          <t>arancione</t>
        </is>
      </c>
      <c r="K17" t="n">
        <v>0.7</v>
      </c>
      <c r="L17" t="n">
        <v>2.78</v>
      </c>
      <c r="M17" t="inlineStr">
        <is>
          <t>verde</t>
        </is>
      </c>
      <c r="N17" t="n">
        <v>0.6</v>
      </c>
      <c r="O17" t="inlineStr">
        <is>
          <t>La visuale dall'alto e la distanza limitano la chiara identificazione dell'uso di DPI essenziali (es. caschi, occhiali di protezione) per il personale presente. I macchinari pesanti appaiono inattivi, riducendo il rischio immediato da parti in movimento, ma la prossimità a tali attrezzature richiede attenzione.</t>
        </is>
      </c>
      <c r="P17" t="n">
        <v>0</v>
      </c>
      <c r="Q17" t="n">
        <v>0.0067</v>
      </c>
      <c r="R17" t="n">
        <v>0.237</v>
      </c>
      <c r="S17" t="n">
        <v>0.1588</v>
      </c>
      <c r="T17" t="n">
        <v>22.69</v>
      </c>
      <c r="U17" t="n">
        <v>0</v>
      </c>
      <c r="V17" t="n">
        <v>0</v>
      </c>
      <c r="W17" t="n">
        <v>0.066</v>
      </c>
      <c r="X17" t="n">
        <v>0</v>
      </c>
      <c r="Y17" t="n">
        <v>0</v>
      </c>
      <c r="Z17" t="n">
        <v>0</v>
      </c>
      <c r="AA17" t="n">
        <v>0.0067</v>
      </c>
      <c r="AB17" t="n">
        <v>0.144</v>
      </c>
      <c r="AC17" t="n">
        <v>0.0965</v>
      </c>
      <c r="AD17" t="n">
        <v>13.79</v>
      </c>
      <c r="AE17" t="n">
        <v>0</v>
      </c>
      <c r="AF17" t="n">
        <v>0.0045</v>
      </c>
      <c r="AG17" t="n">
        <v>0.38</v>
      </c>
      <c r="AH17" t="n">
        <v>0.171</v>
      </c>
      <c r="AI17" t="n">
        <v>24.43</v>
      </c>
      <c r="AJ17" t="n">
        <v>0.25</v>
      </c>
      <c r="AK17" t="n">
        <v>0.0625</v>
      </c>
      <c r="AL17" t="n">
        <v>0.044</v>
      </c>
      <c r="AM17" t="n">
        <v>0.275</v>
      </c>
      <c r="AN17" t="n">
        <v>39.29</v>
      </c>
      <c r="AO17" t="n">
        <v>0</v>
      </c>
      <c r="AP17" t="n">
        <v>0</v>
      </c>
      <c r="AQ17" t="n">
        <v>0.101</v>
      </c>
      <c r="AR17" t="n">
        <v>0</v>
      </c>
      <c r="AS17" t="n">
        <v>0</v>
      </c>
      <c r="AT17" t="n">
        <v>0.25</v>
      </c>
      <c r="AU17" t="n">
        <v>0</v>
      </c>
      <c r="AV17" t="n">
        <v>0.028</v>
      </c>
      <c r="AW17" t="n">
        <v>0</v>
      </c>
      <c r="AX17" t="n">
        <v>0</v>
      </c>
    </row>
    <row r="18">
      <c r="A18" t="n">
        <v>16</v>
      </c>
      <c r="B18" t="n">
        <v>32</v>
      </c>
      <c r="C18" t="n">
        <v>35.9</v>
      </c>
      <c r="D18" t="inlineStr">
        <is>
          <t>{"scene_state": "Interno di un capannone industriale o fabbrica, con diverse macchine e personale presente.", "environmental_conditions": ["Illuminazione artificiale diffusa", "Pavimento pulito con segnaletica orizzontale (linee verdi e gialle)", "Ambiente interno asciutto"], "actors": [{"type": "persona", "count": "diverse", "location": "fondo a destra, vicino alle macchine e in altre aree"}, {"type": "persona", "count": "almeno 3", "location": "gruppo in piedi nella parte posteriore destra"}], "objects": [{"type": "bobine di metallo", "count": "almeno 1", "location": "a terra, nella parte centrale destra"}, {"type": "pallet/strutture metalliche", "count": "diverse", "location": "vicino alle macchine e a terra"}, {"type": "cavi e tubi", "count": "numerosi", "location": "collegati alle macchine e a terra"}, {"type": "attrezzatura per riprese (luci, treppiedi)", "count": "almeno 1 set", "location": "primo piano centrale"}], "machines": [{"type": "presse industriali/macchinari di grandi dimensioni", "count": "diverse", "location": "distribuite nell'area, con colori blu, bianco e arancione"}, {"type": "macchinario con pannello di controllo e avvisi", "count": "1", "location": "primo piano a sinistra, di colore blu e bianco"}, {"type": "strutture a nastro trasportatore o di alimentazione", "count": "diverse", "location": "integrate con le macchine"}], "observable_actions": ["Persone in piedi e in movimento nella parte posteriore destra dell'area", "Macchinari apparentemente in stato di riposo o non operativi al momento dell'osservazione"], "notes_visibility_limitations": "La distanza e l'angolazione limitano la chiarezza dei dettagli sulle azioni specifiche delle persone e sullo stato operativo esatto di tutti i macchinari. Alcune aree sono parzialmente occluse dalle macchine stesse."}</t>
        </is>
      </c>
      <c r="E18" t="inlineStr">
        <is>
          <t>{"unsafe_behaviors": [], "vulnerable_elements": ["Personale in area di lavoro non chiaramente segregata"], "risk_cues": {"R1_pedestrian_vehicle_interference": 0.0, "R2_pedestrian_segregation_violation": 0.25, "R3_load_storage_instability": 0.0, "R4_crush_points_dangerous_parts_exposure": 0.0, "R5_unsafe_operational_proximity": 0.0, "R6_unsafe_behavior_posture_manoeuvre": 0.0, "R7_essential_ppe_non_compliance": 0.25}, "cue_confidence": 0.6, "diagnostic_notes": "La distanza e l'angolazione limitano la visibilità dei dettagli sui DPI indossati dal personale e sulla precisa segregazione pedonale. I macchinari sono inattivi e non ci sono mezzi mobili in movimento, riducendo i rischi immediati. Il personale si trova in un'area di lavoro generale."}</t>
        </is>
      </c>
      <c r="F18" t="inlineStr">
        <is>
          <t>{"causal_chain_plausible": true, "causal_chain_text": "La presenza di personale in un'area di lavoro non chiaramente segregata da macchinari industriali, unita alla potenziale non conformità dei DPI, crea una condizione di rischio. Se un macchinario dovesse attivarsi inaspettatamente o se il personale dovesse interagire con esso senza le dovute protezioni e barriere, potrebbe verificarsi un contatto pericoloso.", "near_miss_or_incident_scenario": "Un operatore, trovandosi in un'area non segregata, potrebbe essere esposto a un punto di pericolo di un macchinario in caso di attivazione improvvisa o di movimento inatteso, oppure potrebbe inciampare su cavi e tubi a terra, subendo una caduta.", "contributing_factors": ["Mancanza di chiara segregazione tra aree pedonali e operative dei macchinari.", "Potenziale non conformità nell'uso dei Dispositivi di Protezione Individuale (DPI).", "Presenza di cavi e tubi a terra che costituiscono potenziale rischio di inciampo.", "Potenziale attivazione inattesa di macchinari di grandi dimensioni."]}</t>
        </is>
      </c>
      <c r="G18" t="n">
        <v>48</v>
      </c>
      <c r="H18" t="inlineStr">
        <is>
          <t>Il punteggio riflette la presenza di personale in aree non chiaramente segregate e la potenziale non conformità dei DPI, nonostante i macchinari siano inattivi. Permangono rischi di inciampo dovuti a cavi e tubi a terra.</t>
        </is>
      </c>
      <c r="I18" t="n">
        <v>68.33</v>
      </c>
      <c r="J18" t="inlineStr">
        <is>
          <t>arancione</t>
        </is>
      </c>
      <c r="K18" t="n">
        <v>2.08</v>
      </c>
      <c r="L18" t="n">
        <v>3.6</v>
      </c>
      <c r="M18" t="inlineStr">
        <is>
          <t>verde</t>
        </is>
      </c>
      <c r="N18" t="n">
        <v>0.6</v>
      </c>
      <c r="O18" t="inlineStr">
        <is>
          <t>La distanza e l'angolazione limitano la visibilità dei dettagli sui DPI indossati dal personale e sulla precisa segregazione pedonale. I macchinari sono inattivi e non ci sono mezzi mobili in movimento, riducendo i rischi immediati. Il personale si trova in un'area di lavoro generale.</t>
        </is>
      </c>
      <c r="P18" t="n">
        <v>0</v>
      </c>
      <c r="Q18" t="n">
        <v>0.0067</v>
      </c>
      <c r="R18" t="n">
        <v>0.237</v>
      </c>
      <c r="S18" t="n">
        <v>0.1588</v>
      </c>
      <c r="T18" t="n">
        <v>7.63</v>
      </c>
      <c r="U18" t="n">
        <v>0.25</v>
      </c>
      <c r="V18" t="n">
        <v>0.25</v>
      </c>
      <c r="W18" t="n">
        <v>0.066</v>
      </c>
      <c r="X18" t="n">
        <v>1.65</v>
      </c>
      <c r="Y18" t="n">
        <v>79.33</v>
      </c>
      <c r="Z18" t="n">
        <v>0</v>
      </c>
      <c r="AA18" t="n">
        <v>0.0067</v>
      </c>
      <c r="AB18" t="n">
        <v>0.144</v>
      </c>
      <c r="AC18" t="n">
        <v>0.0965</v>
      </c>
      <c r="AD18" t="n">
        <v>4.64</v>
      </c>
      <c r="AE18" t="n">
        <v>0</v>
      </c>
      <c r="AF18" t="n">
        <v>0.0045</v>
      </c>
      <c r="AG18" t="n">
        <v>0.38</v>
      </c>
      <c r="AH18" t="n">
        <v>0.171</v>
      </c>
      <c r="AI18" t="n">
        <v>8.220000000000001</v>
      </c>
      <c r="AJ18" t="n">
        <v>0</v>
      </c>
      <c r="AK18" t="n">
        <v>0</v>
      </c>
      <c r="AL18" t="n">
        <v>0.044</v>
      </c>
      <c r="AM18" t="n">
        <v>0</v>
      </c>
      <c r="AN18" t="n">
        <v>0</v>
      </c>
      <c r="AO18" t="n">
        <v>0</v>
      </c>
      <c r="AP18" t="n">
        <v>0</v>
      </c>
      <c r="AQ18" t="n">
        <v>0.101</v>
      </c>
      <c r="AR18" t="n">
        <v>0</v>
      </c>
      <c r="AS18" t="n">
        <v>0</v>
      </c>
      <c r="AT18" t="n">
        <v>0.25</v>
      </c>
      <c r="AU18" t="n">
        <v>0</v>
      </c>
      <c r="AV18" t="n">
        <v>0.028</v>
      </c>
      <c r="AW18" t="n">
        <v>0</v>
      </c>
      <c r="AX18" t="n">
        <v>0</v>
      </c>
    </row>
    <row r="19">
      <c r="A19" t="n">
        <v>17</v>
      </c>
      <c r="B19" t="n">
        <v>34</v>
      </c>
      <c r="C19" t="n">
        <v>35.9</v>
      </c>
      <c r="D19" t="inlineStr">
        <is>
          <t>{"scene_state": "La scena mostra un'ampia area di produzione o magazzino industriale, ben illuminata e apparentemente organizzata.", "environmental_conditions": ["Buona illuminazione generale", "Pavimento con linee di demarcazione gialle", "Ambiente interno"], "actors": [{"type": "individuo", "count": 2, "location": "area più lontana, vicino alla parete destra"}], "objects": [{"type": "rotolo di materiale metallico (coil)", "count": 1, "location": "sul pavimento, al centro-destra"}, {"type": "pallet o strutture metalliche impilate", "count": "diversi", "location": "area più lontana, a destra"}, {"type": "cavi e tubi", "count": "diversi", "location": "a terra, vicino ai macchinari"}, {"type": "segnaletica di avvertimento (es. 'DANGER', 'ATTENTION')", "count": "diversa", "location": "sui macchinari"}, {"type": "cartello appeso ('MAGAZZINO ZERO')", "count": 1, "location": "sulla parete di fondo"}, {"type": "carrello o struttura arancione", "count": 1, "location": "vicino al coil"}, {"type": "sistema di telecamere/illuminazione su treppiede", "count": 1, "location": "in primo piano, a terra"}], "machines": [{"type": "presse industriali o macchinari di lavorazione metalli", "count": "diverse", "location": "sparse nell'area, colori blu e bianco"}, {"type": "macchinario con tramoggia o sistema di alimentazione", "count": 1, "location": "a sinistra"}], "observable_actions": ["I due individui nell'area lontana sono in piedi e sembrano conversare o osservare l'ambiente."], "notes_visibility_limitations": "La vista dall'alto offre una panoramica generale ma limita la percezione dei dettagli fini degli attori e di alcuni oggetti. Alcune parti dei macchinari sono parzialmente occluse."}</t>
        </is>
      </c>
      <c r="E19" t="inlineStr">
        <is>
          <t>{"unsafe_behaviors": [], "vulnerable_elements": [], "risk_cues": {"R1_pedestrian_vehicle_interference": 0.0, "R2_pedestrian_segregation_violation": 0.0, "R3_load_storage_instability": 0.0, "R4_crush_points_dangerous_parts_exposure": 0.0, "R5_unsafe_operational_proximity": 0.0, "R6_unsafe_behavior_posture_manoeuvre": 0.0, "R7_essential_ppe_non_compliance": 0.0}, "cue_confidence": 0.8, "diagnostic_notes": "La scena non mostra attività operative o manovre durante la finestra temporale specificata. I due individui sono statici e distanti da macchinari o carichi. Non sono presenti mezzi mobili. La distanza e la risoluzione video limitano la visibilità dei dettagli relativi ai DPI degli individui, pertanto non è possibile valutare la conformità. Cavi a terra e un rotolo di materiale metallico (coil) sono presenti nell'area di lavoro, rappresentando potenziali ostacoli o pericoli di inciampo, sebbene non vi siano persone in prossimità immediata di essi durante la clip."}</t>
        </is>
      </c>
      <c r="F19" t="inlineStr">
        <is>
          <t>{"causal_chain_plausible": true, "causal_chain_text": "La presenza di cavi e tubi a terra, insieme al rotolo di materiale metallico (coil) sul pavimento, crea potenziali ostacoli in un'area di produzione. Un operatore che transita nell'area potrebbe inciampare su questi elementi, perdere l'equilibrio e cadere.", "near_miss_or_incident_scenario": "Un operatore che cammina nell'area di produzione inciampa sui cavi a terra o sul rotolo di materiale metallico, rischiando una caduta e possibili lesioni.", "contributing_factors": ["Cavi e tubi a terra nell'area di transito.", "Rotolo di materiale metallico (coil) posizionato sul pavimento in un'area potenzialmente di passaggio.", "Potenziale disattenzione o errore umano durante il transito."]}</t>
        </is>
      </c>
      <c r="G19" t="n">
        <v>15</v>
      </c>
      <c r="H19" t="inlineStr">
        <is>
          <t>Nonostante l'assenza di comportamenti rischiosi o interazioni con pericoli immediati nella finestra temporale, la presenza di cavi a terra e un rotolo di materiale metallico costituisce un rischio di inciampo latente. Il punteggio riflette un rischio ambientale basso ma presente.</t>
        </is>
      </c>
      <c r="I19" t="n">
        <v>47</v>
      </c>
      <c r="J19" t="inlineStr">
        <is>
          <t>giallo</t>
        </is>
      </c>
      <c r="K19" t="n">
        <v>0.43</v>
      </c>
      <c r="L19" t="n">
        <v>2.33</v>
      </c>
      <c r="M19" t="inlineStr">
        <is>
          <t>verde</t>
        </is>
      </c>
      <c r="N19" t="n">
        <v>0.8</v>
      </c>
      <c r="O19" t="inlineStr">
        <is>
          <t>La scena non mostra attività operative o manovre durante la finestra temporale specificata. I due individui sono statici e distanti da macchinari o carichi. Non sono presenti mezzi mobili. La distanza e la risoluzione video limitano la visibilità dei dettagli relativi ai DPI degli individui, pertanto non è possibile valutare la conformità. Cavi a terra e un rotolo di materiale metallico (coil) sono presenti nell'area di lavoro, rappresentando potenziali ostacoli o pericoli di inciampo, sebbene non vi siano persone in prossimità immediata di essi durante la clip.</t>
        </is>
      </c>
      <c r="P19" t="n">
        <v>0</v>
      </c>
      <c r="Q19" t="n">
        <v>0.0067</v>
      </c>
      <c r="R19" t="n">
        <v>0.237</v>
      </c>
      <c r="S19" t="n">
        <v>0.1588</v>
      </c>
      <c r="T19" t="n">
        <v>36.93</v>
      </c>
      <c r="U19" t="n">
        <v>0</v>
      </c>
      <c r="V19" t="n">
        <v>0</v>
      </c>
      <c r="W19" t="n">
        <v>0.066</v>
      </c>
      <c r="X19" t="n">
        <v>0</v>
      </c>
      <c r="Y19" t="n">
        <v>0</v>
      </c>
      <c r="Z19" t="n">
        <v>0</v>
      </c>
      <c r="AA19" t="n">
        <v>0.0067</v>
      </c>
      <c r="AB19" t="n">
        <v>0.144</v>
      </c>
      <c r="AC19" t="n">
        <v>0.0965</v>
      </c>
      <c r="AD19" t="n">
        <v>22.44</v>
      </c>
      <c r="AE19" t="n">
        <v>0</v>
      </c>
      <c r="AF19" t="n">
        <v>0.0045</v>
      </c>
      <c r="AG19" t="n">
        <v>0.38</v>
      </c>
      <c r="AH19" t="n">
        <v>0.171</v>
      </c>
      <c r="AI19" t="n">
        <v>39.77</v>
      </c>
      <c r="AJ19" t="n">
        <v>0</v>
      </c>
      <c r="AK19" t="n">
        <v>0</v>
      </c>
      <c r="AL19" t="n">
        <v>0.044</v>
      </c>
      <c r="AM19" t="n">
        <v>0</v>
      </c>
      <c r="AN19" t="n">
        <v>0</v>
      </c>
      <c r="AO19" t="n">
        <v>0</v>
      </c>
      <c r="AP19" t="n">
        <v>0</v>
      </c>
      <c r="AQ19" t="n">
        <v>0.101</v>
      </c>
      <c r="AR19" t="n">
        <v>0</v>
      </c>
      <c r="AS19" t="n">
        <v>0</v>
      </c>
      <c r="AT19" t="n">
        <v>0</v>
      </c>
      <c r="AU19" t="n">
        <v>0</v>
      </c>
      <c r="AV19" t="n">
        <v>0.028</v>
      </c>
      <c r="AW19" t="n">
        <v>0</v>
      </c>
      <c r="AX1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traffic_light_color_vlm</t>
        </is>
      </c>
      <c r="E1" s="1" t="inlineStr">
        <is>
          <t>dynamic_risk_score_vlm</t>
        </is>
      </c>
    </row>
    <row r="2">
      <c r="A2" s="2" t="n">
        <v>0</v>
      </c>
      <c r="B2" s="2" t="n">
        <v>0</v>
      </c>
      <c r="C2" s="2" t="n">
        <v>4</v>
      </c>
      <c r="D2" s="3" t="inlineStr">
        <is>
          <t>verde</t>
        </is>
      </c>
      <c r="E2" s="2" t="n">
        <v>15</v>
      </c>
    </row>
    <row r="3">
      <c r="A3" s="2" t="n">
        <v>1</v>
      </c>
      <c r="B3" s="2" t="n">
        <v>2</v>
      </c>
      <c r="C3" s="2" t="n">
        <v>6</v>
      </c>
      <c r="D3" s="3" t="inlineStr">
        <is>
          <t>verde</t>
        </is>
      </c>
      <c r="E3" s="2" t="n">
        <v>11</v>
      </c>
    </row>
    <row r="4">
      <c r="A4" s="4" t="n">
        <v>2</v>
      </c>
      <c r="B4" s="4" t="n">
        <v>4</v>
      </c>
      <c r="C4" s="4" t="n">
        <v>8</v>
      </c>
      <c r="D4" s="5" t="inlineStr">
        <is>
          <t>giallo</t>
        </is>
      </c>
      <c r="E4" s="4" t="n">
        <v>24.2</v>
      </c>
    </row>
    <row r="5">
      <c r="A5" s="6" t="n">
        <v>3</v>
      </c>
      <c r="B5" s="6" t="n">
        <v>6</v>
      </c>
      <c r="C5" s="6" t="n">
        <v>10</v>
      </c>
      <c r="D5" s="7" t="inlineStr">
        <is>
          <t>arancione</t>
        </is>
      </c>
      <c r="E5" s="6" t="n">
        <v>66.12</v>
      </c>
    </row>
    <row r="6">
      <c r="A6" s="6" t="n">
        <v>4</v>
      </c>
      <c r="B6" s="6" t="n">
        <v>8</v>
      </c>
      <c r="C6" s="6" t="n">
        <v>12</v>
      </c>
      <c r="D6" s="7" t="inlineStr">
        <is>
          <t>arancione</t>
        </is>
      </c>
      <c r="E6" s="6" t="n">
        <v>67.67</v>
      </c>
    </row>
    <row r="7">
      <c r="A7" s="6" t="n">
        <v>5</v>
      </c>
      <c r="B7" s="6" t="n">
        <v>10</v>
      </c>
      <c r="C7" s="6" t="n">
        <v>14</v>
      </c>
      <c r="D7" s="7" t="inlineStr">
        <is>
          <t>arancione</t>
        </is>
      </c>
      <c r="E7" s="6" t="n">
        <v>64.59999999999999</v>
      </c>
    </row>
    <row r="8">
      <c r="A8" s="6" t="n">
        <v>6</v>
      </c>
      <c r="B8" s="6" t="n">
        <v>12</v>
      </c>
      <c r="C8" s="6" t="n">
        <v>16</v>
      </c>
      <c r="D8" s="7" t="inlineStr">
        <is>
          <t>arancione</t>
        </is>
      </c>
      <c r="E8" s="6" t="n">
        <v>52.76</v>
      </c>
    </row>
    <row r="9">
      <c r="A9" s="4" t="n">
        <v>7</v>
      </c>
      <c r="B9" s="4" t="n">
        <v>14</v>
      </c>
      <c r="C9" s="4" t="n">
        <v>18</v>
      </c>
      <c r="D9" s="5" t="inlineStr">
        <is>
          <t>giallo</t>
        </is>
      </c>
      <c r="E9" s="4" t="n">
        <v>43.66</v>
      </c>
    </row>
    <row r="10">
      <c r="A10" s="6" t="n">
        <v>8</v>
      </c>
      <c r="B10" s="6" t="n">
        <v>16</v>
      </c>
      <c r="C10" s="6" t="n">
        <v>20</v>
      </c>
      <c r="D10" s="7" t="inlineStr">
        <is>
          <t>arancione</t>
        </is>
      </c>
      <c r="E10" s="6" t="n">
        <v>65.8</v>
      </c>
    </row>
    <row r="11">
      <c r="A11" s="6" t="n">
        <v>9</v>
      </c>
      <c r="B11" s="6" t="n">
        <v>18</v>
      </c>
      <c r="C11" s="6" t="n">
        <v>22</v>
      </c>
      <c r="D11" s="7" t="inlineStr">
        <is>
          <t>arancione</t>
        </is>
      </c>
      <c r="E11" s="6" t="n">
        <v>57.48</v>
      </c>
    </row>
    <row r="12">
      <c r="A12" s="6" t="n">
        <v>10</v>
      </c>
      <c r="B12" s="6" t="n">
        <v>20</v>
      </c>
      <c r="C12" s="6" t="n">
        <v>24</v>
      </c>
      <c r="D12" s="7" t="inlineStr">
        <is>
          <t>arancione</t>
        </is>
      </c>
      <c r="E12" s="6" t="n">
        <v>70.48999999999999</v>
      </c>
    </row>
    <row r="13">
      <c r="A13" s="6" t="n">
        <v>11</v>
      </c>
      <c r="B13" s="6" t="n">
        <v>22</v>
      </c>
      <c r="C13" s="6" t="n">
        <v>26</v>
      </c>
      <c r="D13" s="7" t="inlineStr">
        <is>
          <t>arancione</t>
        </is>
      </c>
      <c r="E13" s="6" t="n">
        <v>64.29000000000001</v>
      </c>
    </row>
    <row r="14">
      <c r="A14" s="4" t="n">
        <v>12</v>
      </c>
      <c r="B14" s="4" t="n">
        <v>24</v>
      </c>
      <c r="C14" s="4" t="n">
        <v>28</v>
      </c>
      <c r="D14" s="5" t="inlineStr">
        <is>
          <t>giallo</t>
        </is>
      </c>
      <c r="E14" s="4" t="n">
        <v>42.57</v>
      </c>
    </row>
    <row r="15">
      <c r="A15" s="6" t="n">
        <v>13</v>
      </c>
      <c r="B15" s="6" t="n">
        <v>26</v>
      </c>
      <c r="C15" s="6" t="n">
        <v>30</v>
      </c>
      <c r="D15" s="7" t="inlineStr">
        <is>
          <t>arancione</t>
        </is>
      </c>
      <c r="E15" s="6" t="n">
        <v>71.54000000000001</v>
      </c>
    </row>
    <row r="16">
      <c r="A16" s="4" t="n">
        <v>14</v>
      </c>
      <c r="B16" s="4" t="n">
        <v>28</v>
      </c>
      <c r="C16" s="4" t="n">
        <v>32</v>
      </c>
      <c r="D16" s="5" t="inlineStr">
        <is>
          <t>giallo</t>
        </is>
      </c>
      <c r="E16" s="4" t="n">
        <v>44.92</v>
      </c>
    </row>
    <row r="17">
      <c r="A17" s="6" t="n">
        <v>15</v>
      </c>
      <c r="B17" s="6" t="n">
        <v>30</v>
      </c>
      <c r="C17" s="6" t="n">
        <v>34</v>
      </c>
      <c r="D17" s="7" t="inlineStr">
        <is>
          <t>arancione</t>
        </is>
      </c>
      <c r="E17" s="6" t="n">
        <v>68.55</v>
      </c>
    </row>
    <row r="18">
      <c r="A18" s="6" t="n">
        <v>16</v>
      </c>
      <c r="B18" s="6" t="n">
        <v>32</v>
      </c>
      <c r="C18" s="6" t="n">
        <v>35.9</v>
      </c>
      <c r="D18" s="7" t="inlineStr">
        <is>
          <t>arancione</t>
        </is>
      </c>
      <c r="E18" s="6" t="n">
        <v>68.33</v>
      </c>
    </row>
    <row r="19">
      <c r="A19" s="4" t="n">
        <v>17</v>
      </c>
      <c r="B19" s="4" t="n">
        <v>34</v>
      </c>
      <c r="C19" s="4" t="n">
        <v>35.9</v>
      </c>
      <c r="D19" s="5" t="inlineStr">
        <is>
          <t>giallo</t>
        </is>
      </c>
      <c r="E19" s="4" t="n">
        <v>47</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12" customWidth="1" min="1" max="1"/>
    <col width="14" customWidth="1" min="2" max="2"/>
    <col width="12" customWidth="1" min="3" max="3"/>
    <col width="25" customWidth="1" min="4" max="4"/>
    <col width="24" customWidth="1" min="5" max="5"/>
  </cols>
  <sheetData>
    <row r="1">
      <c r="A1" s="1" t="inlineStr">
        <is>
          <t>window_id</t>
        </is>
      </c>
      <c r="B1" s="1" t="inlineStr">
        <is>
          <t>start_time_s</t>
        </is>
      </c>
      <c r="C1" s="1" t="inlineStr">
        <is>
          <t>end_time_s</t>
        </is>
      </c>
      <c r="D1" s="1" t="inlineStr">
        <is>
          <t>traffic_light_color_ahp</t>
        </is>
      </c>
      <c r="E1" s="1" t="inlineStr">
        <is>
          <t>dynamic_risk_score_ahp</t>
        </is>
      </c>
    </row>
    <row r="2">
      <c r="A2" s="2" t="n">
        <v>0</v>
      </c>
      <c r="B2" s="2" t="n">
        <v>0</v>
      </c>
      <c r="C2" s="2" t="n">
        <v>4</v>
      </c>
      <c r="D2" s="3" t="inlineStr">
        <is>
          <t>verde</t>
        </is>
      </c>
      <c r="E2" s="2" t="n">
        <v>0.43</v>
      </c>
    </row>
    <row r="3">
      <c r="A3" s="2" t="n">
        <v>1</v>
      </c>
      <c r="B3" s="2" t="n">
        <v>2</v>
      </c>
      <c r="C3" s="2" t="n">
        <v>6</v>
      </c>
      <c r="D3" s="3" t="inlineStr">
        <is>
          <t>verde</t>
        </is>
      </c>
      <c r="E3" s="2" t="n">
        <v>0.43</v>
      </c>
    </row>
    <row r="4">
      <c r="A4" s="2" t="n">
        <v>2</v>
      </c>
      <c r="B4" s="2" t="n">
        <v>4</v>
      </c>
      <c r="C4" s="2" t="n">
        <v>8</v>
      </c>
      <c r="D4" s="3" t="inlineStr">
        <is>
          <t>verde</t>
        </is>
      </c>
      <c r="E4" s="2" t="n">
        <v>0.43</v>
      </c>
    </row>
    <row r="5">
      <c r="A5" s="2" t="n">
        <v>3</v>
      </c>
      <c r="B5" s="2" t="n">
        <v>6</v>
      </c>
      <c r="C5" s="2" t="n">
        <v>10</v>
      </c>
      <c r="D5" s="3" t="inlineStr">
        <is>
          <t>verde</t>
        </is>
      </c>
      <c r="E5" s="2" t="n">
        <v>0.43</v>
      </c>
    </row>
    <row r="6">
      <c r="A6" s="2" t="n">
        <v>4</v>
      </c>
      <c r="B6" s="2" t="n">
        <v>8</v>
      </c>
      <c r="C6" s="2" t="n">
        <v>12</v>
      </c>
      <c r="D6" s="3" t="inlineStr">
        <is>
          <t>verde</t>
        </is>
      </c>
      <c r="E6" s="2" t="n">
        <v>6.07</v>
      </c>
    </row>
    <row r="7">
      <c r="A7" s="2" t="n">
        <v>5</v>
      </c>
      <c r="B7" s="2" t="n">
        <v>10</v>
      </c>
      <c r="C7" s="2" t="n">
        <v>14</v>
      </c>
      <c r="D7" s="3" t="inlineStr">
        <is>
          <t>verde</t>
        </is>
      </c>
      <c r="E7" s="2" t="n">
        <v>5.13</v>
      </c>
    </row>
    <row r="8">
      <c r="A8" s="2" t="n">
        <v>6</v>
      </c>
      <c r="B8" s="2" t="n">
        <v>12</v>
      </c>
      <c r="C8" s="2" t="n">
        <v>16</v>
      </c>
      <c r="D8" s="3" t="inlineStr">
        <is>
          <t>verde</t>
        </is>
      </c>
      <c r="E8" s="2" t="n">
        <v>4.55</v>
      </c>
    </row>
    <row r="9">
      <c r="A9" s="2" t="n">
        <v>7</v>
      </c>
      <c r="B9" s="2" t="n">
        <v>14</v>
      </c>
      <c r="C9" s="2" t="n">
        <v>18</v>
      </c>
      <c r="D9" s="3" t="inlineStr">
        <is>
          <t>verde</t>
        </is>
      </c>
      <c r="E9" s="2" t="n">
        <v>3.3</v>
      </c>
    </row>
    <row r="10">
      <c r="A10" s="2" t="n">
        <v>8</v>
      </c>
      <c r="B10" s="2" t="n">
        <v>16</v>
      </c>
      <c r="C10" s="2" t="n">
        <v>20</v>
      </c>
      <c r="D10" s="3" t="inlineStr">
        <is>
          <t>verde</t>
        </is>
      </c>
      <c r="E10" s="2" t="n">
        <v>3.36</v>
      </c>
    </row>
    <row r="11">
      <c r="A11" s="2" t="n">
        <v>9</v>
      </c>
      <c r="B11" s="2" t="n">
        <v>18</v>
      </c>
      <c r="C11" s="2" t="n">
        <v>22</v>
      </c>
      <c r="D11" s="3" t="inlineStr">
        <is>
          <t>verde</t>
        </is>
      </c>
      <c r="E11" s="2" t="n">
        <v>2.19</v>
      </c>
    </row>
    <row r="12">
      <c r="A12" s="2" t="n">
        <v>10</v>
      </c>
      <c r="B12" s="2" t="n">
        <v>20</v>
      </c>
      <c r="C12" s="2" t="n">
        <v>24</v>
      </c>
      <c r="D12" s="3" t="inlineStr">
        <is>
          <t>verde</t>
        </is>
      </c>
      <c r="E12" s="2" t="n">
        <v>6.39</v>
      </c>
    </row>
    <row r="13">
      <c r="A13" s="2" t="n">
        <v>11</v>
      </c>
      <c r="B13" s="2" t="n">
        <v>22</v>
      </c>
      <c r="C13" s="2" t="n">
        <v>26</v>
      </c>
      <c r="D13" s="3" t="inlineStr">
        <is>
          <t>verde</t>
        </is>
      </c>
      <c r="E13" s="2" t="n">
        <v>5.23</v>
      </c>
    </row>
    <row r="14">
      <c r="A14" s="2" t="n">
        <v>12</v>
      </c>
      <c r="B14" s="2" t="n">
        <v>24</v>
      </c>
      <c r="C14" s="2" t="n">
        <v>28</v>
      </c>
      <c r="D14" s="3" t="inlineStr">
        <is>
          <t>verde</t>
        </is>
      </c>
      <c r="E14" s="2" t="n">
        <v>3.31</v>
      </c>
    </row>
    <row r="15">
      <c r="A15" s="2" t="n">
        <v>13</v>
      </c>
      <c r="B15" s="2" t="n">
        <v>26</v>
      </c>
      <c r="C15" s="2" t="n">
        <v>30</v>
      </c>
      <c r="D15" s="3" t="inlineStr">
        <is>
          <t>verde</t>
        </is>
      </c>
      <c r="E15" s="2" t="n">
        <v>6.07</v>
      </c>
    </row>
    <row r="16">
      <c r="A16" s="2" t="n">
        <v>14</v>
      </c>
      <c r="B16" s="2" t="n">
        <v>28</v>
      </c>
      <c r="C16" s="2" t="n">
        <v>32</v>
      </c>
      <c r="D16" s="3" t="inlineStr">
        <is>
          <t>verde</t>
        </is>
      </c>
      <c r="E16" s="2" t="n">
        <v>3.81</v>
      </c>
    </row>
    <row r="17">
      <c r="A17" s="2" t="n">
        <v>15</v>
      </c>
      <c r="B17" s="2" t="n">
        <v>30</v>
      </c>
      <c r="C17" s="2" t="n">
        <v>34</v>
      </c>
      <c r="D17" s="3" t="inlineStr">
        <is>
          <t>verde</t>
        </is>
      </c>
      <c r="E17" s="2" t="n">
        <v>2.78</v>
      </c>
    </row>
    <row r="18">
      <c r="A18" s="2" t="n">
        <v>16</v>
      </c>
      <c r="B18" s="2" t="n">
        <v>32</v>
      </c>
      <c r="C18" s="2" t="n">
        <v>35.9</v>
      </c>
      <c r="D18" s="3" t="inlineStr">
        <is>
          <t>verde</t>
        </is>
      </c>
      <c r="E18" s="2" t="n">
        <v>3.6</v>
      </c>
    </row>
    <row r="19">
      <c r="A19" s="2" t="n">
        <v>17</v>
      </c>
      <c r="B19" s="2" t="n">
        <v>34</v>
      </c>
      <c r="C19" s="2" t="n">
        <v>35.9</v>
      </c>
      <c r="D19" s="3" t="inlineStr">
        <is>
          <t>verde</t>
        </is>
      </c>
      <c r="E19" s="2" t="n">
        <v>2.33</v>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cols>
    <col width="12" customWidth="1" min="1" max="1"/>
    <col width="14" customWidth="1" min="2" max="2"/>
    <col width="12" customWidth="1" min="3" max="3"/>
    <col width="30" customWidth="1" min="4" max="4"/>
    <col width="24" customWidth="1" min="5" max="5"/>
    <col width="25" customWidth="1" min="6" max="6"/>
    <col width="30" customWidth="1" min="7" max="7"/>
    <col width="24" customWidth="1" min="8" max="8"/>
    <col width="25" customWidth="1" min="9" max="9"/>
    <col width="30" customWidth="1" min="10" max="10"/>
    <col width="24" customWidth="1" min="11" max="11"/>
    <col width="25" customWidth="1" min="12" max="12"/>
  </cols>
  <sheetData>
    <row r="1">
      <c r="A1" s="1" t="inlineStr">
        <is>
          <t>window_id</t>
        </is>
      </c>
      <c r="B1" s="1" t="inlineStr">
        <is>
          <t>start_time_s</t>
        </is>
      </c>
      <c r="C1" s="1" t="inlineStr">
        <is>
          <t>end_time_s</t>
        </is>
      </c>
      <c r="D1" s="1" t="inlineStr">
        <is>
          <t>instantaneous_risk_score_vlm</t>
        </is>
      </c>
      <c r="E1" s="1" t="inlineStr">
        <is>
          <t>dynamic_risk_score_vlm</t>
        </is>
      </c>
      <c r="F1" s="1" t="inlineStr">
        <is>
          <t>traffic_light_color_vlm</t>
        </is>
      </c>
      <c r="G1" s="1" t="inlineStr">
        <is>
          <t>instantaneous_risk_score_ahp</t>
        </is>
      </c>
      <c r="H1" s="1" t="inlineStr">
        <is>
          <t>dynamic_risk_score_ahp</t>
        </is>
      </c>
      <c r="I1" s="1" t="inlineStr">
        <is>
          <t>traffic_light_color_ahp</t>
        </is>
      </c>
      <c r="J1" s="1" t="inlineStr">
        <is>
          <t>instantaneous_score_abs_diff</t>
        </is>
      </c>
      <c r="K1" s="1" t="inlineStr">
        <is>
          <t>dynamic_score_abs_diff</t>
        </is>
      </c>
      <c r="L1" s="1" t="inlineStr">
        <is>
          <t>traffic_light_agreement</t>
        </is>
      </c>
    </row>
    <row r="2">
      <c r="A2" s="8" t="n">
        <v>0</v>
      </c>
      <c r="B2" s="8" t="n">
        <v>0</v>
      </c>
      <c r="C2" s="8" t="n">
        <v>4</v>
      </c>
      <c r="D2" s="8" t="n">
        <v>15</v>
      </c>
      <c r="E2" s="8" t="n">
        <v>15</v>
      </c>
      <c r="F2" s="8" t="inlineStr">
        <is>
          <t>verde</t>
        </is>
      </c>
      <c r="G2" s="8" t="n">
        <v>0.43</v>
      </c>
      <c r="H2" s="8" t="n">
        <v>0.43</v>
      </c>
      <c r="I2" s="8" t="inlineStr">
        <is>
          <t>verde</t>
        </is>
      </c>
      <c r="J2" s="8" t="n">
        <v>14.57</v>
      </c>
      <c r="K2" s="8" t="n">
        <v>14.57</v>
      </c>
      <c r="L2" s="8" t="inlineStr">
        <is>
          <t>accordo</t>
        </is>
      </c>
    </row>
    <row r="3">
      <c r="A3" s="8" t="n">
        <v>1</v>
      </c>
      <c r="B3" s="8" t="n">
        <v>2</v>
      </c>
      <c r="C3" s="8" t="n">
        <v>6</v>
      </c>
      <c r="D3" s="8" t="n">
        <v>5</v>
      </c>
      <c r="E3" s="8" t="n">
        <v>11</v>
      </c>
      <c r="F3" s="8" t="inlineStr">
        <is>
          <t>verde</t>
        </is>
      </c>
      <c r="G3" s="8" t="n">
        <v>0.43</v>
      </c>
      <c r="H3" s="8" t="n">
        <v>0.43</v>
      </c>
      <c r="I3" s="8" t="inlineStr">
        <is>
          <t>verde</t>
        </is>
      </c>
      <c r="J3" s="8" t="n">
        <v>4.57</v>
      </c>
      <c r="K3" s="8" t="n">
        <v>10.57</v>
      </c>
      <c r="L3" s="8" t="inlineStr">
        <is>
          <t>accordo</t>
        </is>
      </c>
    </row>
    <row r="4">
      <c r="A4" s="9" t="n">
        <v>2</v>
      </c>
      <c r="B4" s="9" t="n">
        <v>4</v>
      </c>
      <c r="C4" s="9" t="n">
        <v>8</v>
      </c>
      <c r="D4" s="9" t="n">
        <v>18</v>
      </c>
      <c r="E4" s="9" t="n">
        <v>24.2</v>
      </c>
      <c r="F4" s="9" t="inlineStr">
        <is>
          <t>giallo</t>
        </is>
      </c>
      <c r="G4" s="9" t="n">
        <v>0.43</v>
      </c>
      <c r="H4" s="9" t="n">
        <v>0.43</v>
      </c>
      <c r="I4" s="9" t="inlineStr">
        <is>
          <t>verde</t>
        </is>
      </c>
      <c r="J4" s="9" t="n">
        <v>17.57</v>
      </c>
      <c r="K4" s="9" t="n">
        <v>23.77</v>
      </c>
      <c r="L4" s="9" t="inlineStr">
        <is>
          <t>disaccordo</t>
        </is>
      </c>
    </row>
    <row r="5">
      <c r="A5" s="9" t="n">
        <v>3</v>
      </c>
      <c r="B5" s="9" t="n">
        <v>6</v>
      </c>
      <c r="C5" s="9" t="n">
        <v>10</v>
      </c>
      <c r="D5" s="9" t="n">
        <v>55</v>
      </c>
      <c r="E5" s="9" t="n">
        <v>66.12</v>
      </c>
      <c r="F5" s="9" t="inlineStr">
        <is>
          <t>arancione</t>
        </is>
      </c>
      <c r="G5" s="9" t="n">
        <v>0.43</v>
      </c>
      <c r="H5" s="9" t="n">
        <v>0.43</v>
      </c>
      <c r="I5" s="9" t="inlineStr">
        <is>
          <t>verde</t>
        </is>
      </c>
      <c r="J5" s="9" t="n">
        <v>54.57</v>
      </c>
      <c r="K5" s="9" t="n">
        <v>65.69</v>
      </c>
      <c r="L5" s="9" t="inlineStr">
        <is>
          <t>disaccordo</t>
        </is>
      </c>
    </row>
    <row r="6">
      <c r="A6" s="9" t="n">
        <v>4</v>
      </c>
      <c r="B6" s="9" t="n">
        <v>8</v>
      </c>
      <c r="C6" s="9" t="n">
        <v>12</v>
      </c>
      <c r="D6" s="9" t="n">
        <v>60</v>
      </c>
      <c r="E6" s="9" t="n">
        <v>67.67</v>
      </c>
      <c r="F6" s="9" t="inlineStr">
        <is>
          <t>arancione</t>
        </is>
      </c>
      <c r="G6" s="9" t="n">
        <v>5.13</v>
      </c>
      <c r="H6" s="9" t="n">
        <v>6.07</v>
      </c>
      <c r="I6" s="9" t="inlineStr">
        <is>
          <t>verde</t>
        </is>
      </c>
      <c r="J6" s="9" t="n">
        <v>54.87</v>
      </c>
      <c r="K6" s="9" t="n">
        <v>61.6</v>
      </c>
      <c r="L6" s="9" t="inlineStr">
        <is>
          <t>disaccordo</t>
        </is>
      </c>
    </row>
    <row r="7">
      <c r="A7" s="9" t="n">
        <v>5</v>
      </c>
      <c r="B7" s="9" t="n">
        <v>10</v>
      </c>
      <c r="C7" s="9" t="n">
        <v>14</v>
      </c>
      <c r="D7" s="9" t="n">
        <v>60</v>
      </c>
      <c r="E7" s="9" t="n">
        <v>64.59999999999999</v>
      </c>
      <c r="F7" s="9" t="inlineStr">
        <is>
          <t>arancione</t>
        </is>
      </c>
      <c r="G7" s="9" t="n">
        <v>3.73</v>
      </c>
      <c r="H7" s="9" t="n">
        <v>5.13</v>
      </c>
      <c r="I7" s="9" t="inlineStr">
        <is>
          <t>verde</t>
        </is>
      </c>
      <c r="J7" s="9" t="n">
        <v>56.27</v>
      </c>
      <c r="K7" s="9" t="n">
        <v>59.46999999999999</v>
      </c>
      <c r="L7" s="9" t="inlineStr">
        <is>
          <t>disaccordo</t>
        </is>
      </c>
    </row>
    <row r="8">
      <c r="A8" s="9" t="n">
        <v>6</v>
      </c>
      <c r="B8" s="9" t="n">
        <v>12</v>
      </c>
      <c r="C8" s="9" t="n">
        <v>16</v>
      </c>
      <c r="D8" s="9" t="n">
        <v>35</v>
      </c>
      <c r="E8" s="9" t="n">
        <v>52.76</v>
      </c>
      <c r="F8" s="9" t="inlineStr">
        <is>
          <t>arancione</t>
        </is>
      </c>
      <c r="G8" s="9" t="n">
        <v>3.69</v>
      </c>
      <c r="H8" s="9" t="n">
        <v>4.55</v>
      </c>
      <c r="I8" s="9" t="inlineStr">
        <is>
          <t>verde</t>
        </is>
      </c>
      <c r="J8" s="9" t="n">
        <v>31.31</v>
      </c>
      <c r="K8" s="9" t="n">
        <v>48.21</v>
      </c>
      <c r="L8" s="9" t="inlineStr">
        <is>
          <t>disaccordo</t>
        </is>
      </c>
    </row>
    <row r="9">
      <c r="A9" s="9" t="n">
        <v>7</v>
      </c>
      <c r="B9" s="9" t="n">
        <v>14</v>
      </c>
      <c r="C9" s="9" t="n">
        <v>18</v>
      </c>
      <c r="D9" s="9" t="n">
        <v>30</v>
      </c>
      <c r="E9" s="9" t="n">
        <v>43.66</v>
      </c>
      <c r="F9" s="9" t="inlineStr">
        <is>
          <t>giallo</t>
        </is>
      </c>
      <c r="G9" s="9" t="n">
        <v>1.42</v>
      </c>
      <c r="H9" s="9" t="n">
        <v>3.3</v>
      </c>
      <c r="I9" s="9" t="inlineStr">
        <is>
          <t>verde</t>
        </is>
      </c>
      <c r="J9" s="9" t="n">
        <v>28.58</v>
      </c>
      <c r="K9" s="9" t="n">
        <v>40.36</v>
      </c>
      <c r="L9" s="9" t="inlineStr">
        <is>
          <t>disaccordo</t>
        </is>
      </c>
    </row>
    <row r="10">
      <c r="A10" s="9" t="n">
        <v>8</v>
      </c>
      <c r="B10" s="9" t="n">
        <v>16</v>
      </c>
      <c r="C10" s="9" t="n">
        <v>20</v>
      </c>
      <c r="D10" s="9" t="n">
        <v>53</v>
      </c>
      <c r="E10" s="9" t="n">
        <v>65.8</v>
      </c>
      <c r="F10" s="9" t="inlineStr">
        <is>
          <t>arancione</t>
        </is>
      </c>
      <c r="G10" s="9" t="n">
        <v>2.1</v>
      </c>
      <c r="H10" s="9" t="n">
        <v>3.36</v>
      </c>
      <c r="I10" s="9" t="inlineStr">
        <is>
          <t>verde</t>
        </is>
      </c>
      <c r="J10" s="9" t="n">
        <v>50.9</v>
      </c>
      <c r="K10" s="9" t="n">
        <v>62.44</v>
      </c>
      <c r="L10" s="9" t="inlineStr">
        <is>
          <t>disaccordo</t>
        </is>
      </c>
    </row>
    <row r="11">
      <c r="A11" s="9" t="n">
        <v>9</v>
      </c>
      <c r="B11" s="9" t="n">
        <v>18</v>
      </c>
      <c r="C11" s="9" t="n">
        <v>22</v>
      </c>
      <c r="D11" s="9" t="n">
        <v>45</v>
      </c>
      <c r="E11" s="9" t="n">
        <v>57.48</v>
      </c>
      <c r="F11" s="9" t="inlineStr">
        <is>
          <t>arancione</t>
        </is>
      </c>
      <c r="G11" s="9" t="n">
        <v>0.43</v>
      </c>
      <c r="H11" s="9" t="n">
        <v>2.19</v>
      </c>
      <c r="I11" s="9" t="inlineStr">
        <is>
          <t>verde</t>
        </is>
      </c>
      <c r="J11" s="9" t="n">
        <v>44.57</v>
      </c>
      <c r="K11" s="9" t="n">
        <v>55.29</v>
      </c>
      <c r="L11" s="9" t="inlineStr">
        <is>
          <t>disaccordo</t>
        </is>
      </c>
    </row>
    <row r="12">
      <c r="A12" s="9" t="n">
        <v>10</v>
      </c>
      <c r="B12" s="9" t="n">
        <v>20</v>
      </c>
      <c r="C12" s="9" t="n">
        <v>24</v>
      </c>
      <c r="D12" s="9" t="n">
        <v>60</v>
      </c>
      <c r="E12" s="9" t="n">
        <v>70.48999999999999</v>
      </c>
      <c r="F12" s="9" t="inlineStr">
        <is>
          <t>arancione</t>
        </is>
      </c>
      <c r="G12" s="9" t="n">
        <v>4.52</v>
      </c>
      <c r="H12" s="9" t="n">
        <v>6.39</v>
      </c>
      <c r="I12" s="9" t="inlineStr">
        <is>
          <t>verde</t>
        </is>
      </c>
      <c r="J12" s="9" t="n">
        <v>55.48</v>
      </c>
      <c r="K12" s="9" t="n">
        <v>64.09999999999999</v>
      </c>
      <c r="L12" s="9" t="inlineStr">
        <is>
          <t>disaccordo</t>
        </is>
      </c>
    </row>
    <row r="13">
      <c r="A13" s="9" t="n">
        <v>11</v>
      </c>
      <c r="B13" s="9" t="n">
        <v>22</v>
      </c>
      <c r="C13" s="9" t="n">
        <v>26</v>
      </c>
      <c r="D13" s="9" t="n">
        <v>55</v>
      </c>
      <c r="E13" s="9" t="n">
        <v>64.29000000000001</v>
      </c>
      <c r="F13" s="9" t="inlineStr">
        <is>
          <t>arancione</t>
        </is>
      </c>
      <c r="G13" s="9" t="n">
        <v>3.48</v>
      </c>
      <c r="H13" s="9" t="n">
        <v>5.23</v>
      </c>
      <c r="I13" s="9" t="inlineStr">
        <is>
          <t>verde</t>
        </is>
      </c>
      <c r="J13" s="9" t="n">
        <v>51.52</v>
      </c>
      <c r="K13" s="9" t="n">
        <v>59.06</v>
      </c>
      <c r="L13" s="9" t="inlineStr">
        <is>
          <t>disaccordo</t>
        </is>
      </c>
    </row>
    <row r="14">
      <c r="A14" s="9" t="n">
        <v>12</v>
      </c>
      <c r="B14" s="9" t="n">
        <v>24</v>
      </c>
      <c r="C14" s="9" t="n">
        <v>28</v>
      </c>
      <c r="D14" s="9" t="n">
        <v>10</v>
      </c>
      <c r="E14" s="9" t="n">
        <v>42.57</v>
      </c>
      <c r="F14" s="9" t="inlineStr">
        <is>
          <t>giallo</t>
        </is>
      </c>
      <c r="G14" s="9" t="n">
        <v>0.43</v>
      </c>
      <c r="H14" s="9" t="n">
        <v>3.31</v>
      </c>
      <c r="I14" s="9" t="inlineStr">
        <is>
          <t>verde</t>
        </is>
      </c>
      <c r="J14" s="9" t="n">
        <v>9.57</v>
      </c>
      <c r="K14" s="9" t="n">
        <v>39.26</v>
      </c>
      <c r="L14" s="9" t="inlineStr">
        <is>
          <t>disaccordo</t>
        </is>
      </c>
    </row>
    <row r="15">
      <c r="A15" s="9" t="n">
        <v>13</v>
      </c>
      <c r="B15" s="9" t="n">
        <v>26</v>
      </c>
      <c r="C15" s="9" t="n">
        <v>30</v>
      </c>
      <c r="D15" s="9" t="n">
        <v>45</v>
      </c>
      <c r="E15" s="9" t="n">
        <v>71.54000000000001</v>
      </c>
      <c r="F15" s="9" t="inlineStr">
        <is>
          <t>arancione</t>
        </is>
      </c>
      <c r="G15" s="9" t="n">
        <v>3.69</v>
      </c>
      <c r="H15" s="9" t="n">
        <v>6.07</v>
      </c>
      <c r="I15" s="9" t="inlineStr">
        <is>
          <t>verde</t>
        </is>
      </c>
      <c r="J15" s="9" t="n">
        <v>41.31</v>
      </c>
      <c r="K15" s="9" t="n">
        <v>65.47</v>
      </c>
      <c r="L15" s="9" t="inlineStr">
        <is>
          <t>disaccordo</t>
        </is>
      </c>
    </row>
    <row r="16">
      <c r="A16" s="9" t="n">
        <v>14</v>
      </c>
      <c r="B16" s="9" t="n">
        <v>28</v>
      </c>
      <c r="C16" s="9" t="n">
        <v>32</v>
      </c>
      <c r="D16" s="9" t="n">
        <v>5</v>
      </c>
      <c r="E16" s="9" t="n">
        <v>44.92</v>
      </c>
      <c r="F16" s="9" t="inlineStr">
        <is>
          <t>giallo</t>
        </is>
      </c>
      <c r="G16" s="9" t="n">
        <v>0.43</v>
      </c>
      <c r="H16" s="9" t="n">
        <v>3.81</v>
      </c>
      <c r="I16" s="9" t="inlineStr">
        <is>
          <t>verde</t>
        </is>
      </c>
      <c r="J16" s="9" t="n">
        <v>4.57</v>
      </c>
      <c r="K16" s="9" t="n">
        <v>41.11</v>
      </c>
      <c r="L16" s="9" t="inlineStr">
        <is>
          <t>disaccordo</t>
        </is>
      </c>
    </row>
    <row r="17">
      <c r="A17" s="9" t="n">
        <v>15</v>
      </c>
      <c r="B17" s="9" t="n">
        <v>30</v>
      </c>
      <c r="C17" s="9" t="n">
        <v>34</v>
      </c>
      <c r="D17" s="9" t="n">
        <v>38</v>
      </c>
      <c r="E17" s="9" t="n">
        <v>68.55</v>
      </c>
      <c r="F17" s="9" t="inlineStr">
        <is>
          <t>arancione</t>
        </is>
      </c>
      <c r="G17" s="9" t="n">
        <v>0.7</v>
      </c>
      <c r="H17" s="9" t="n">
        <v>2.78</v>
      </c>
      <c r="I17" s="9" t="inlineStr">
        <is>
          <t>verde</t>
        </is>
      </c>
      <c r="J17" s="9" t="n">
        <v>37.3</v>
      </c>
      <c r="K17" s="9" t="n">
        <v>65.77</v>
      </c>
      <c r="L17" s="9" t="inlineStr">
        <is>
          <t>disaccordo</t>
        </is>
      </c>
    </row>
    <row r="18">
      <c r="A18" s="9" t="n">
        <v>16</v>
      </c>
      <c r="B18" s="9" t="n">
        <v>32</v>
      </c>
      <c r="C18" s="9" t="n">
        <v>35.9</v>
      </c>
      <c r="D18" s="9" t="n">
        <v>48</v>
      </c>
      <c r="E18" s="9" t="n">
        <v>68.33</v>
      </c>
      <c r="F18" s="9" t="inlineStr">
        <is>
          <t>arancione</t>
        </is>
      </c>
      <c r="G18" s="9" t="n">
        <v>2.08</v>
      </c>
      <c r="H18" s="9" t="n">
        <v>3.6</v>
      </c>
      <c r="I18" s="9" t="inlineStr">
        <is>
          <t>verde</t>
        </is>
      </c>
      <c r="J18" s="9" t="n">
        <v>45.92</v>
      </c>
      <c r="K18" s="9" t="n">
        <v>64.73</v>
      </c>
      <c r="L18" s="9" t="inlineStr">
        <is>
          <t>disaccordo</t>
        </is>
      </c>
    </row>
    <row r="19">
      <c r="A19" s="9" t="n">
        <v>17</v>
      </c>
      <c r="B19" s="9" t="n">
        <v>34</v>
      </c>
      <c r="C19" s="9" t="n">
        <v>35.9</v>
      </c>
      <c r="D19" s="9" t="n">
        <v>15</v>
      </c>
      <c r="E19" s="9" t="n">
        <v>47</v>
      </c>
      <c r="F19" s="9" t="inlineStr">
        <is>
          <t>giallo</t>
        </is>
      </c>
      <c r="G19" s="9" t="n">
        <v>0.43</v>
      </c>
      <c r="H19" s="9" t="n">
        <v>2.33</v>
      </c>
      <c r="I19" s="9" t="inlineStr">
        <is>
          <t>verde</t>
        </is>
      </c>
      <c r="J19" s="9" t="n">
        <v>14.57</v>
      </c>
      <c r="K19" s="9" t="n">
        <v>44.67</v>
      </c>
      <c r="L19" s="9" t="inlineStr">
        <is>
          <t>disaccordo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19"/>
  <sheetViews>
    <sheetView workbookViewId="0">
      <selection activeCell="A1" sqref="A1"/>
    </sheetView>
  </sheetViews>
  <sheetFormatPr baseColWidth="8" defaultRowHeight="15"/>
  <cols>
    <col width="12" customWidth="1" min="1" max="1"/>
    <col width="14" customWidth="1" min="2" max="2"/>
    <col width="12"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21" customWidth="1" min="11" max="11"/>
    <col width="21" customWidth="1" min="12" max="12"/>
    <col width="21" customWidth="1" min="13" max="13"/>
    <col width="21" customWidth="1" min="14" max="14"/>
    <col width="21" customWidth="1" min="15" max="15"/>
    <col width="21" customWidth="1" min="16" max="16"/>
    <col width="21" customWidth="1" min="17" max="17"/>
    <col width="30" customWidth="1" min="18" max="18"/>
  </cols>
  <sheetData>
    <row r="1">
      <c r="A1" s="1" t="inlineStr">
        <is>
          <t>window_id</t>
        </is>
      </c>
      <c r="B1" s="1" t="inlineStr">
        <is>
          <t>start_time_s</t>
        </is>
      </c>
      <c r="C1" s="1" t="inlineStr">
        <is>
          <t>end_time_s</t>
        </is>
      </c>
      <c r="D1" s="1" t="inlineStr">
        <is>
          <t>R1_contribution</t>
        </is>
      </c>
      <c r="E1" s="1" t="inlineStr">
        <is>
          <t>R2_contribution</t>
        </is>
      </c>
      <c r="F1" s="1" t="inlineStr">
        <is>
          <t>R3_contribution</t>
        </is>
      </c>
      <c r="G1" s="1" t="inlineStr">
        <is>
          <t>R4_contribution</t>
        </is>
      </c>
      <c r="H1" s="1" t="inlineStr">
        <is>
          <t>R5_contribution</t>
        </is>
      </c>
      <c r="I1" s="1" t="inlineStr">
        <is>
          <t>R6_contribution</t>
        </is>
      </c>
      <c r="J1" s="1" t="inlineStr">
        <is>
          <t>R7_contribution</t>
        </is>
      </c>
      <c r="K1" s="1" t="inlineStr">
        <is>
          <t>R1_contribution_pct</t>
        </is>
      </c>
      <c r="L1" s="1" t="inlineStr">
        <is>
          <t>R2_contribution_pct</t>
        </is>
      </c>
      <c r="M1" s="1" t="inlineStr">
        <is>
          <t>R3_contribution_pct</t>
        </is>
      </c>
      <c r="N1" s="1" t="inlineStr">
        <is>
          <t>R4_contribution_pct</t>
        </is>
      </c>
      <c r="O1" s="1" t="inlineStr">
        <is>
          <t>R5_contribution_pct</t>
        </is>
      </c>
      <c r="P1" s="1" t="inlineStr">
        <is>
          <t>R6_contribution_pct</t>
        </is>
      </c>
      <c r="Q1" s="1" t="inlineStr">
        <is>
          <t>R7_contribution_pct</t>
        </is>
      </c>
      <c r="R1" s="1" t="inlineStr">
        <is>
          <t>instantaneous_risk_score_ahp</t>
        </is>
      </c>
    </row>
    <row r="2">
      <c r="A2" t="n">
        <v>0</v>
      </c>
      <c r="B2" t="n">
        <v>0</v>
      </c>
      <c r="C2" t="n">
        <v>4</v>
      </c>
      <c r="D2" t="n">
        <v>0.1588</v>
      </c>
      <c r="E2" t="n">
        <v>0</v>
      </c>
      <c r="F2" t="n">
        <v>0.0965</v>
      </c>
      <c r="G2" t="n">
        <v>0.171</v>
      </c>
      <c r="H2" t="n">
        <v>0</v>
      </c>
      <c r="I2" t="n">
        <v>0</v>
      </c>
      <c r="J2" t="n">
        <v>0</v>
      </c>
      <c r="K2" t="n">
        <v>36.93</v>
      </c>
      <c r="L2" t="n">
        <v>0</v>
      </c>
      <c r="M2" t="n">
        <v>22.44</v>
      </c>
      <c r="N2" t="n">
        <v>39.77</v>
      </c>
      <c r="O2" t="n">
        <v>0</v>
      </c>
      <c r="P2" t="n">
        <v>0</v>
      </c>
      <c r="Q2" t="n">
        <v>0</v>
      </c>
      <c r="R2" t="n">
        <v>0.43</v>
      </c>
    </row>
    <row r="3">
      <c r="A3" t="n">
        <v>1</v>
      </c>
      <c r="B3" t="n">
        <v>2</v>
      </c>
      <c r="C3" t="n">
        <v>6</v>
      </c>
      <c r="D3" t="n">
        <v>0.1588</v>
      </c>
      <c r="E3" t="n">
        <v>0</v>
      </c>
      <c r="F3" t="n">
        <v>0.0965</v>
      </c>
      <c r="G3" t="n">
        <v>0.171</v>
      </c>
      <c r="H3" t="n">
        <v>0</v>
      </c>
      <c r="I3" t="n">
        <v>0</v>
      </c>
      <c r="J3" t="n">
        <v>0</v>
      </c>
      <c r="K3" t="n">
        <v>36.93</v>
      </c>
      <c r="L3" t="n">
        <v>0</v>
      </c>
      <c r="M3" t="n">
        <v>22.44</v>
      </c>
      <c r="N3" t="n">
        <v>39.77</v>
      </c>
      <c r="O3" t="n">
        <v>0</v>
      </c>
      <c r="P3" t="n">
        <v>0</v>
      </c>
      <c r="Q3" t="n">
        <v>0</v>
      </c>
      <c r="R3" t="n">
        <v>0.43</v>
      </c>
    </row>
    <row r="4">
      <c r="A4" t="n">
        <v>2</v>
      </c>
      <c r="B4" t="n">
        <v>4</v>
      </c>
      <c r="C4" t="n">
        <v>8</v>
      </c>
      <c r="D4" t="n">
        <v>0.1588</v>
      </c>
      <c r="E4" t="n">
        <v>0</v>
      </c>
      <c r="F4" t="n">
        <v>0.0965</v>
      </c>
      <c r="G4" t="n">
        <v>0.171</v>
      </c>
      <c r="H4" t="n">
        <v>0</v>
      </c>
      <c r="I4" t="n">
        <v>0</v>
      </c>
      <c r="J4" t="n">
        <v>0</v>
      </c>
      <c r="K4" t="n">
        <v>36.93</v>
      </c>
      <c r="L4" t="n">
        <v>0</v>
      </c>
      <c r="M4" t="n">
        <v>22.44</v>
      </c>
      <c r="N4" t="n">
        <v>39.77</v>
      </c>
      <c r="O4" t="n">
        <v>0</v>
      </c>
      <c r="P4" t="n">
        <v>0</v>
      </c>
      <c r="Q4" t="n">
        <v>0</v>
      </c>
      <c r="R4" t="n">
        <v>0.43</v>
      </c>
    </row>
    <row r="5">
      <c r="A5" t="n">
        <v>3</v>
      </c>
      <c r="B5" t="n">
        <v>6</v>
      </c>
      <c r="C5" t="n">
        <v>10</v>
      </c>
      <c r="D5" t="n">
        <v>0.1588</v>
      </c>
      <c r="E5" t="n">
        <v>0</v>
      </c>
      <c r="F5" t="n">
        <v>0.0965</v>
      </c>
      <c r="G5" t="n">
        <v>0.171</v>
      </c>
      <c r="H5" t="n">
        <v>0</v>
      </c>
      <c r="I5" t="n">
        <v>0</v>
      </c>
      <c r="J5" t="n">
        <v>0</v>
      </c>
      <c r="K5" t="n">
        <v>36.93</v>
      </c>
      <c r="L5" t="n">
        <v>0</v>
      </c>
      <c r="M5" t="n">
        <v>22.44</v>
      </c>
      <c r="N5" t="n">
        <v>39.77</v>
      </c>
      <c r="O5" t="n">
        <v>0</v>
      </c>
      <c r="P5" t="n">
        <v>0</v>
      </c>
      <c r="Q5" t="n">
        <v>0</v>
      </c>
      <c r="R5" t="n">
        <v>0.43</v>
      </c>
    </row>
    <row r="6">
      <c r="A6" t="n">
        <v>4</v>
      </c>
      <c r="B6" t="n">
        <v>8</v>
      </c>
      <c r="C6" t="n">
        <v>12</v>
      </c>
      <c r="D6" t="n">
        <v>0.1588</v>
      </c>
      <c r="E6" t="n">
        <v>3.3</v>
      </c>
      <c r="F6" t="n">
        <v>0.0965</v>
      </c>
      <c r="G6" t="n">
        <v>0.171</v>
      </c>
      <c r="H6" t="n">
        <v>0</v>
      </c>
      <c r="I6" t="n">
        <v>0</v>
      </c>
      <c r="J6" t="n">
        <v>1.4</v>
      </c>
      <c r="K6" t="n">
        <v>3.1</v>
      </c>
      <c r="L6" t="n">
        <v>64.33</v>
      </c>
      <c r="M6" t="n">
        <v>1.88</v>
      </c>
      <c r="N6" t="n">
        <v>3.33</v>
      </c>
      <c r="O6" t="n">
        <v>0</v>
      </c>
      <c r="P6" t="n">
        <v>0</v>
      </c>
      <c r="Q6" t="n">
        <v>27.29</v>
      </c>
      <c r="R6" t="n">
        <v>5.13</v>
      </c>
    </row>
    <row r="7">
      <c r="A7" t="n">
        <v>5</v>
      </c>
      <c r="B7" t="n">
        <v>10</v>
      </c>
      <c r="C7" t="n">
        <v>14</v>
      </c>
      <c r="D7" t="n">
        <v>0.1588</v>
      </c>
      <c r="E7" t="n">
        <v>3.3</v>
      </c>
      <c r="F7" t="n">
        <v>0.0965</v>
      </c>
      <c r="G7" t="n">
        <v>0.171</v>
      </c>
      <c r="H7" t="n">
        <v>0</v>
      </c>
      <c r="I7" t="n">
        <v>0</v>
      </c>
      <c r="J7" t="n">
        <v>0</v>
      </c>
      <c r="K7" t="n">
        <v>4.26</v>
      </c>
      <c r="L7" t="n">
        <v>88.47</v>
      </c>
      <c r="M7" t="n">
        <v>2.59</v>
      </c>
      <c r="N7" t="n">
        <v>4.58</v>
      </c>
      <c r="O7" t="n">
        <v>0</v>
      </c>
      <c r="P7" t="n">
        <v>0</v>
      </c>
      <c r="Q7" t="n">
        <v>0</v>
      </c>
      <c r="R7" t="n">
        <v>3.73</v>
      </c>
    </row>
    <row r="8">
      <c r="A8" t="n">
        <v>6</v>
      </c>
      <c r="B8" t="n">
        <v>12</v>
      </c>
      <c r="C8" t="n">
        <v>16</v>
      </c>
      <c r="D8" t="n">
        <v>0.1588</v>
      </c>
      <c r="E8" t="n">
        <v>0</v>
      </c>
      <c r="F8" t="n">
        <v>0.0965</v>
      </c>
      <c r="G8" t="n">
        <v>3.1616</v>
      </c>
      <c r="H8" t="n">
        <v>0.275</v>
      </c>
      <c r="I8" t="n">
        <v>0</v>
      </c>
      <c r="J8" t="n">
        <v>0</v>
      </c>
      <c r="K8" t="n">
        <v>4.3</v>
      </c>
      <c r="L8" t="n">
        <v>0</v>
      </c>
      <c r="M8" t="n">
        <v>2.62</v>
      </c>
      <c r="N8" t="n">
        <v>85.68000000000001</v>
      </c>
      <c r="O8" t="n">
        <v>7.45</v>
      </c>
      <c r="P8" t="n">
        <v>0</v>
      </c>
      <c r="Q8" t="n">
        <v>0</v>
      </c>
      <c r="R8" t="n">
        <v>3.69</v>
      </c>
    </row>
    <row r="9">
      <c r="A9" t="n">
        <v>7</v>
      </c>
      <c r="B9" t="n">
        <v>14</v>
      </c>
      <c r="C9" t="n">
        <v>18</v>
      </c>
      <c r="D9" t="n">
        <v>0.1588</v>
      </c>
      <c r="E9" t="n">
        <v>0</v>
      </c>
      <c r="F9" t="n">
        <v>1.093</v>
      </c>
      <c r="G9" t="n">
        <v>0.171</v>
      </c>
      <c r="H9" t="n">
        <v>0</v>
      </c>
      <c r="I9" t="n">
        <v>0</v>
      </c>
      <c r="J9" t="n">
        <v>0</v>
      </c>
      <c r="K9" t="n">
        <v>11.18</v>
      </c>
      <c r="L9" t="n">
        <v>0</v>
      </c>
      <c r="M9" t="n">
        <v>76.97</v>
      </c>
      <c r="N9" t="n">
        <v>12.04</v>
      </c>
      <c r="O9" t="n">
        <v>0</v>
      </c>
      <c r="P9" t="n">
        <v>0</v>
      </c>
      <c r="Q9" t="n">
        <v>0</v>
      </c>
      <c r="R9" t="n">
        <v>1.42</v>
      </c>
    </row>
    <row r="10">
      <c r="A10" t="n">
        <v>8</v>
      </c>
      <c r="B10" t="n">
        <v>16</v>
      </c>
      <c r="C10" t="n">
        <v>20</v>
      </c>
      <c r="D10" t="n">
        <v>0.1588</v>
      </c>
      <c r="E10" t="n">
        <v>0</v>
      </c>
      <c r="F10" t="n">
        <v>0.0965</v>
      </c>
      <c r="G10" t="n">
        <v>0.171</v>
      </c>
      <c r="H10" t="n">
        <v>0.275</v>
      </c>
      <c r="I10" t="n">
        <v>0</v>
      </c>
      <c r="J10" t="n">
        <v>1.4</v>
      </c>
      <c r="K10" t="n">
        <v>7.56</v>
      </c>
      <c r="L10" t="n">
        <v>0</v>
      </c>
      <c r="M10" t="n">
        <v>4.6</v>
      </c>
      <c r="N10" t="n">
        <v>8.140000000000001</v>
      </c>
      <c r="O10" t="n">
        <v>13.1</v>
      </c>
      <c r="P10" t="n">
        <v>0</v>
      </c>
      <c r="Q10" t="n">
        <v>66.67</v>
      </c>
      <c r="R10" t="n">
        <v>2.1</v>
      </c>
    </row>
    <row r="11">
      <c r="A11" t="n">
        <v>9</v>
      </c>
      <c r="B11" t="n">
        <v>18</v>
      </c>
      <c r="C11" t="n">
        <v>22</v>
      </c>
      <c r="D11" t="n">
        <v>0.1588</v>
      </c>
      <c r="E11" t="n">
        <v>0</v>
      </c>
      <c r="F11" t="n">
        <v>0.0965</v>
      </c>
      <c r="G11" t="n">
        <v>0.171</v>
      </c>
      <c r="H11" t="n">
        <v>0</v>
      </c>
      <c r="I11" t="n">
        <v>0</v>
      </c>
      <c r="J11" t="n">
        <v>0</v>
      </c>
      <c r="K11" t="n">
        <v>36.93</v>
      </c>
      <c r="L11" t="n">
        <v>0</v>
      </c>
      <c r="M11" t="n">
        <v>22.44</v>
      </c>
      <c r="N11" t="n">
        <v>39.77</v>
      </c>
      <c r="O11" t="n">
        <v>0</v>
      </c>
      <c r="P11" t="n">
        <v>0</v>
      </c>
      <c r="Q11" t="n">
        <v>0</v>
      </c>
      <c r="R11" t="n">
        <v>0.43</v>
      </c>
    </row>
    <row r="12">
      <c r="A12" t="n">
        <v>10</v>
      </c>
      <c r="B12" t="n">
        <v>20</v>
      </c>
      <c r="C12" t="n">
        <v>24</v>
      </c>
      <c r="D12" t="n">
        <v>0.1588</v>
      </c>
      <c r="E12" t="n">
        <v>0</v>
      </c>
      <c r="F12" t="n">
        <v>0.0965</v>
      </c>
      <c r="G12" t="n">
        <v>3.1616</v>
      </c>
      <c r="H12" t="n">
        <v>1.1</v>
      </c>
      <c r="I12" t="n">
        <v>0</v>
      </c>
      <c r="J12" t="n">
        <v>0</v>
      </c>
      <c r="K12" t="n">
        <v>3.51</v>
      </c>
      <c r="L12" t="n">
        <v>0</v>
      </c>
      <c r="M12" t="n">
        <v>2.13</v>
      </c>
      <c r="N12" t="n">
        <v>69.95</v>
      </c>
      <c r="O12" t="n">
        <v>24.34</v>
      </c>
      <c r="P12" t="n">
        <v>0</v>
      </c>
      <c r="Q12" t="n">
        <v>0</v>
      </c>
      <c r="R12" t="n">
        <v>4.52</v>
      </c>
    </row>
    <row r="13">
      <c r="A13" t="n">
        <v>11</v>
      </c>
      <c r="B13" t="n">
        <v>22</v>
      </c>
      <c r="C13" t="n">
        <v>26</v>
      </c>
      <c r="D13" t="n">
        <v>0.1588</v>
      </c>
      <c r="E13" t="n">
        <v>1.65</v>
      </c>
      <c r="F13" t="n">
        <v>0.0965</v>
      </c>
      <c r="G13" t="n">
        <v>0.171</v>
      </c>
      <c r="H13" t="n">
        <v>0</v>
      </c>
      <c r="I13" t="n">
        <v>0</v>
      </c>
      <c r="J13" t="n">
        <v>1.4</v>
      </c>
      <c r="K13" t="n">
        <v>4.56</v>
      </c>
      <c r="L13" t="n">
        <v>47.41</v>
      </c>
      <c r="M13" t="n">
        <v>2.77</v>
      </c>
      <c r="N13" t="n">
        <v>4.91</v>
      </c>
      <c r="O13" t="n">
        <v>0</v>
      </c>
      <c r="P13" t="n">
        <v>0</v>
      </c>
      <c r="Q13" t="n">
        <v>40.23</v>
      </c>
      <c r="R13" t="n">
        <v>3.48</v>
      </c>
    </row>
    <row r="14">
      <c r="A14" t="n">
        <v>12</v>
      </c>
      <c r="B14" t="n">
        <v>24</v>
      </c>
      <c r="C14" t="n">
        <v>28</v>
      </c>
      <c r="D14" t="n">
        <v>0.1588</v>
      </c>
      <c r="E14" t="n">
        <v>0</v>
      </c>
      <c r="F14" t="n">
        <v>0.0965</v>
      </c>
      <c r="G14" t="n">
        <v>0.171</v>
      </c>
      <c r="H14" t="n">
        <v>0</v>
      </c>
      <c r="I14" t="n">
        <v>0</v>
      </c>
      <c r="J14" t="n">
        <v>0</v>
      </c>
      <c r="K14" t="n">
        <v>36.93</v>
      </c>
      <c r="L14" t="n">
        <v>0</v>
      </c>
      <c r="M14" t="n">
        <v>22.44</v>
      </c>
      <c r="N14" t="n">
        <v>39.77</v>
      </c>
      <c r="O14" t="n">
        <v>0</v>
      </c>
      <c r="P14" t="n">
        <v>0</v>
      </c>
      <c r="Q14" t="n">
        <v>0</v>
      </c>
      <c r="R14" t="n">
        <v>0.43</v>
      </c>
    </row>
    <row r="15">
      <c r="A15" t="n">
        <v>13</v>
      </c>
      <c r="B15" t="n">
        <v>26</v>
      </c>
      <c r="C15" t="n">
        <v>30</v>
      </c>
      <c r="D15" t="n">
        <v>0.1588</v>
      </c>
      <c r="E15" t="n">
        <v>0</v>
      </c>
      <c r="F15" t="n">
        <v>0.0965</v>
      </c>
      <c r="G15" t="n">
        <v>3.1616</v>
      </c>
      <c r="H15" t="n">
        <v>0.275</v>
      </c>
      <c r="I15" t="n">
        <v>0</v>
      </c>
      <c r="J15" t="n">
        <v>0</v>
      </c>
      <c r="K15" t="n">
        <v>4.3</v>
      </c>
      <c r="L15" t="n">
        <v>0</v>
      </c>
      <c r="M15" t="n">
        <v>2.62</v>
      </c>
      <c r="N15" t="n">
        <v>85.68000000000001</v>
      </c>
      <c r="O15" t="n">
        <v>7.45</v>
      </c>
      <c r="P15" t="n">
        <v>0</v>
      </c>
      <c r="Q15" t="n">
        <v>0</v>
      </c>
      <c r="R15" t="n">
        <v>3.69</v>
      </c>
    </row>
    <row r="16">
      <c r="A16" t="n">
        <v>14</v>
      </c>
      <c r="B16" t="n">
        <v>28</v>
      </c>
      <c r="C16" t="n">
        <v>32</v>
      </c>
      <c r="D16" t="n">
        <v>0.1588</v>
      </c>
      <c r="E16" t="n">
        <v>0</v>
      </c>
      <c r="F16" t="n">
        <v>0.0965</v>
      </c>
      <c r="G16" t="n">
        <v>0.171</v>
      </c>
      <c r="H16" t="n">
        <v>0</v>
      </c>
      <c r="I16" t="n">
        <v>0</v>
      </c>
      <c r="J16" t="n">
        <v>0</v>
      </c>
      <c r="K16" t="n">
        <v>36.93</v>
      </c>
      <c r="L16" t="n">
        <v>0</v>
      </c>
      <c r="M16" t="n">
        <v>22.44</v>
      </c>
      <c r="N16" t="n">
        <v>39.77</v>
      </c>
      <c r="O16" t="n">
        <v>0</v>
      </c>
      <c r="P16" t="n">
        <v>0</v>
      </c>
      <c r="Q16" t="n">
        <v>0</v>
      </c>
      <c r="R16" t="n">
        <v>0.43</v>
      </c>
    </row>
    <row r="17">
      <c r="A17" t="n">
        <v>15</v>
      </c>
      <c r="B17" t="n">
        <v>30</v>
      </c>
      <c r="C17" t="n">
        <v>34</v>
      </c>
      <c r="D17" t="n">
        <v>0.1588</v>
      </c>
      <c r="E17" t="n">
        <v>0</v>
      </c>
      <c r="F17" t="n">
        <v>0.0965</v>
      </c>
      <c r="G17" t="n">
        <v>0.171</v>
      </c>
      <c r="H17" t="n">
        <v>0.275</v>
      </c>
      <c r="I17" t="n">
        <v>0</v>
      </c>
      <c r="J17" t="n">
        <v>0</v>
      </c>
      <c r="K17" t="n">
        <v>22.69</v>
      </c>
      <c r="L17" t="n">
        <v>0</v>
      </c>
      <c r="M17" t="n">
        <v>13.79</v>
      </c>
      <c r="N17" t="n">
        <v>24.43</v>
      </c>
      <c r="O17" t="n">
        <v>39.29</v>
      </c>
      <c r="P17" t="n">
        <v>0</v>
      </c>
      <c r="Q17" t="n">
        <v>0</v>
      </c>
      <c r="R17" t="n">
        <v>0.7</v>
      </c>
    </row>
    <row r="18">
      <c r="A18" t="n">
        <v>16</v>
      </c>
      <c r="B18" t="n">
        <v>32</v>
      </c>
      <c r="C18" t="n">
        <v>35.9</v>
      </c>
      <c r="D18" t="n">
        <v>0.1588</v>
      </c>
      <c r="E18" t="n">
        <v>1.65</v>
      </c>
      <c r="F18" t="n">
        <v>0.0965</v>
      </c>
      <c r="G18" t="n">
        <v>0.171</v>
      </c>
      <c r="H18" t="n">
        <v>0</v>
      </c>
      <c r="I18" t="n">
        <v>0</v>
      </c>
      <c r="J18" t="n">
        <v>0</v>
      </c>
      <c r="K18" t="n">
        <v>7.63</v>
      </c>
      <c r="L18" t="n">
        <v>79.33</v>
      </c>
      <c r="M18" t="n">
        <v>4.64</v>
      </c>
      <c r="N18" t="n">
        <v>8.220000000000001</v>
      </c>
      <c r="O18" t="n">
        <v>0</v>
      </c>
      <c r="P18" t="n">
        <v>0</v>
      </c>
      <c r="Q18" t="n">
        <v>0</v>
      </c>
      <c r="R18" t="n">
        <v>2.08</v>
      </c>
    </row>
    <row r="19">
      <c r="A19" t="n">
        <v>17</v>
      </c>
      <c r="B19" t="n">
        <v>34</v>
      </c>
      <c r="C19" t="n">
        <v>35.9</v>
      </c>
      <c r="D19" t="n">
        <v>0.1588</v>
      </c>
      <c r="E19" t="n">
        <v>0</v>
      </c>
      <c r="F19" t="n">
        <v>0.0965</v>
      </c>
      <c r="G19" t="n">
        <v>0.171</v>
      </c>
      <c r="H19" t="n">
        <v>0</v>
      </c>
      <c r="I19" t="n">
        <v>0</v>
      </c>
      <c r="J19" t="n">
        <v>0</v>
      </c>
      <c r="K19" t="n">
        <v>36.93</v>
      </c>
      <c r="L19" t="n">
        <v>0</v>
      </c>
      <c r="M19" t="n">
        <v>22.44</v>
      </c>
      <c r="N19" t="n">
        <v>39.77</v>
      </c>
      <c r="O19" t="n">
        <v>0</v>
      </c>
      <c r="P19" t="n">
        <v>0</v>
      </c>
      <c r="Q19" t="n">
        <v>0</v>
      </c>
      <c r="R19" t="n">
        <v>0.43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2026-06-15T08:46:40Z</dcterms:created>
  <dcterms:modified xsi:type="dcterms:W3CDTF">2026-06-15T08:46:40Z</dcterms:modified>
</cp:coreProperties>
</file>