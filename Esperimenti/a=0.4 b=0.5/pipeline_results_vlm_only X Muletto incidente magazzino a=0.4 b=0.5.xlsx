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FCE4D6"/>
      </patternFill>
    </fill>
    <fill>
      <patternFill patternType="solid">
        <fgColor rgb="00F4CCCC"/>
      </patternFill>
    </fill>
    <fill>
      <patternFill patternType="solid">
        <fgColor rgb="00C6EFC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6" borderId="2" applyAlignment="1" pivotButton="0" quotePrefix="0" xfId="0">
      <alignment horizontal="left" vertical="top" wrapText="1"/>
    </xf>
    <xf numFmtId="0" fontId="3" fillId="11" borderId="2" applyAlignment="1" pivotButton="0" quotePrefix="0" xfId="0">
      <alignment horizontal="left" vertical="top" wrapText="1"/>
    </xf>
    <xf numFmtId="0" fontId="3" fillId="10" borderId="2" applyAlignment="1" pivotButton="0" quotePrefix="0" xfId="0">
      <alignment horizontal="left" vertical="top" wrapText="1"/>
    </xf>
    <xf numFmtId="0" fontId="3" fillId="9"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'vlm_only_results'!$A$2:$A$19</f>
            </numRef>
          </cat>
          <val>
            <numRef>
              <f>'vlm_only_results'!$G$2:$G$19</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'vlm_only_results'!$A$2:$A$19</f>
            </numRef>
          </cat>
          <val>
            <numRef>
              <f>'vlm_only_results'!$K$2:$K$19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30</v>
      </c>
      <c r="F2" s="8" t="inlineStr">
        <is>
          <t>Il punteggio di 30 indica un rischio medio-basso. Gli operatori indossano correttamente i DPI richiesti (elmetti e giubbotti ad alta visibilità), mitigando il rischio di infortuni gravi. Tuttavia, la presenza simultanea di attrezzature mobili (transpallet e carrello di servizio) nella corsia di transito ostruisce parzialmente il passaggio, generando un potenziale rischio di inciampo o di interferenza con altri mezzi di movimentazione.</t>
        </is>
      </c>
      <c r="G2" s="8" t="n">
        <v>30</v>
      </c>
      <c r="H2" s="9" t="inlineStr">
        <is>
          <t>giallo</t>
        </is>
      </c>
      <c r="I2" s="8" t="n">
        <v>18</v>
      </c>
      <c r="J2" s="8" t="inlineStr">
        <is>
          <t>La situazione presenta un rischio basso poiché gli operatori indossano i gilet ad alta visibilità e non vi sono mezzi motorizzati in movimento nell'area. Permane unicamente un rischio residuo legato alla movimentazione manuale dei carichi e allo stazionamento nel corridoio di transito.</t>
        </is>
      </c>
      <c r="K2" s="8" t="n">
        <v>18</v>
      </c>
      <c r="L2" s="10" t="inlineStr">
        <is>
          <t>verde</t>
        </is>
      </c>
      <c r="M2" s="8" t="n">
        <v>12</v>
      </c>
      <c r="N2" s="8" t="n">
        <v>12</v>
      </c>
      <c r="O2" s="11" t="inlineStr">
        <is>
          <t>disaccordo</t>
        </is>
      </c>
      <c r="P2" s="8" t="n">
        <v>0.25</v>
      </c>
      <c r="Q2" s="8" t="n">
        <v>0.25</v>
      </c>
      <c r="R2" s="8" t="n">
        <v>0</v>
      </c>
      <c r="S2" s="8" t="n">
        <v>0</v>
      </c>
      <c r="T2" s="8" t="n">
        <v>0.25</v>
      </c>
      <c r="U2" s="8" t="n">
        <v>0</v>
      </c>
      <c r="V2" s="8" t="n">
        <v>0.25</v>
      </c>
    </row>
    <row r="3" ht="34" customHeight="1">
      <c r="A3" s="8" t="n">
        <v>1</v>
      </c>
      <c r="B3" s="8" t="n">
        <v>2</v>
      </c>
      <c r="C3" s="8" t="n">
        <v>6</v>
      </c>
      <c r="D3" s="8" t="n">
        <v>4</v>
      </c>
      <c r="E3" s="8" t="n">
        <v>35</v>
      </c>
      <c r="F3" s="8" t="inlineStr">
        <is>
          <t>Il punteggio di 35 indica un livello di rischio medio-basso. Gli operatori indossano correttamente i gilet ad alta visibilità e sono in posizione di stasi. Tuttavia, la presenza simultanea di un transpallet e di un carrello manuale in una corsia di stoccaggio stretta configura potenziali rischi di inciampo (es. sul timone del transpallet) e di schiacciamento. La valutazione risente anche dell'impossibilità di verificare DPI fondamentali come scarpe antinfortunistiche ed elmetti a causa della distanza della telecamera.</t>
        </is>
      </c>
      <c r="G3" s="8" t="n">
        <v>35.5</v>
      </c>
      <c r="H3" s="9" t="inlineStr">
        <is>
          <t>giallo</t>
        </is>
      </c>
      <c r="I3" s="8" t="n">
        <v>18</v>
      </c>
      <c r="J3" s="8" t="inlineStr">
        <is>
          <t>Il rischio è basso poiché gli operatori lavorano in sicurezza con attrezzature ferme e indossano gilet ad alta visibilità. Permane solo il rischio intrinseco legato all'ambiente di stoccaggio con scaffalature alte e alla parziale visibilità dei DPI specifici.</t>
        </is>
      </c>
      <c r="K3" s="8" t="n">
        <v>18</v>
      </c>
      <c r="L3" s="10" t="inlineStr">
        <is>
          <t>verde</t>
        </is>
      </c>
      <c r="M3" s="8" t="n">
        <v>17</v>
      </c>
      <c r="N3" s="8" t="n">
        <v>17.5</v>
      </c>
      <c r="O3" s="11" t="inlineStr">
        <is>
          <t>disaccordo</t>
        </is>
      </c>
      <c r="P3" s="8" t="n">
        <v>0.25</v>
      </c>
      <c r="Q3" s="8" t="n">
        <v>0.25</v>
      </c>
      <c r="R3" s="8" t="n">
        <v>0</v>
      </c>
      <c r="S3" s="8" t="n">
        <v>0</v>
      </c>
      <c r="T3" s="8" t="n">
        <v>0.25</v>
      </c>
      <c r="U3" s="8" t="n">
        <v>0</v>
      </c>
      <c r="V3" s="8" t="n">
        <v>0.25</v>
      </c>
    </row>
    <row r="4" ht="34" customHeight="1">
      <c r="A4" s="8" t="n">
        <v>2</v>
      </c>
      <c r="B4" s="8" t="n">
        <v>4</v>
      </c>
      <c r="C4" s="8" t="n">
        <v>8</v>
      </c>
      <c r="D4" s="8" t="n">
        <v>4</v>
      </c>
      <c r="E4" s="8" t="n">
        <v>50</v>
      </c>
      <c r="F4" s="8" t="inlineStr">
        <is>
          <t>Il punteggio di 50 indica un rischio moderato. La compresenza di più operatori a piedi e di un transpallet all'interno di una corsia stretta, combinata con l'elevata altezza dello stoccaggio, genera potenziali pericoli di collisione e caduta materiali dall'alto. Non si rilevano tuttavia violazioni flagranti o situazioni di emergenza immediata, e vi sono indizi dell'uso di DPI ad alta visibilità.</t>
        </is>
      </c>
      <c r="G4" s="8" t="n">
        <v>51.7</v>
      </c>
      <c r="H4" s="12" t="inlineStr">
        <is>
          <t>arancione</t>
        </is>
      </c>
      <c r="I4" s="8" t="n">
        <v>15</v>
      </c>
      <c r="J4" s="8" t="inlineStr">
        <is>
          <t>Il rischio è basso poiché gli operatori svolgono attività ordinarie con attrezzature manuali e indossano i DPI ad alta visibilità prescritti. Non si rilevano interferenze critiche con mezzi motorizzati o comportamenti non conformi.</t>
        </is>
      </c>
      <c r="K4" s="8" t="n">
        <v>16.2</v>
      </c>
      <c r="L4" s="10" t="inlineStr">
        <is>
          <t>verde</t>
        </is>
      </c>
      <c r="M4" s="8" t="n">
        <v>35</v>
      </c>
      <c r="N4" s="8" t="n">
        <v>35.5</v>
      </c>
      <c r="O4" s="11" t="inlineStr">
        <is>
          <t>disaccordo</t>
        </is>
      </c>
      <c r="P4" s="8" t="n">
        <v>0.2</v>
      </c>
      <c r="Q4" s="8" t="n">
        <v>0.25</v>
      </c>
      <c r="R4" s="8" t="n">
        <v>0.1</v>
      </c>
      <c r="S4" s="8" t="n">
        <v>0.1</v>
      </c>
      <c r="T4" s="8" t="n">
        <v>0.2</v>
      </c>
      <c r="U4" s="8" t="n">
        <v>0</v>
      </c>
      <c r="V4" s="8" t="n">
        <v>0.3</v>
      </c>
    </row>
    <row r="5" ht="34" customHeight="1">
      <c r="A5" s="8" t="n">
        <v>3</v>
      </c>
      <c r="B5" s="8" t="n">
        <v>6</v>
      </c>
      <c r="C5" s="8" t="n">
        <v>10</v>
      </c>
      <c r="D5" s="8" t="n">
        <v>4</v>
      </c>
      <c r="E5" s="8" t="n">
        <v>35</v>
      </c>
      <c r="F5" s="8" t="inlineStr">
        <is>
          <t>Il punteggio di 35 riflette un livello di rischio basso-moderato. L'operatore indossa i DPI ad alta visibilità e la pavimentazione è sgombra da ostacoli. Tuttavia, la presenza di scaffalature molto alte con carichi stoccati sopra l'area di lavoro, l'impossibilità di verificare con certezza l'uso dell'elmetto protettivo e lo spazio di manovra ridotto nella corsia stretta rappresentano fattori di rischio intrinseci che richiedono attenzione.</t>
        </is>
      </c>
      <c r="G5" s="8" t="n">
        <v>41.68</v>
      </c>
      <c r="H5" s="9" t="inlineStr">
        <is>
          <t>giallo</t>
        </is>
      </c>
      <c r="I5" s="8" t="n">
        <v>20</v>
      </c>
      <c r="J5" s="8" t="inlineStr">
        <is>
          <t>Il rischio è basso poiché l'operatore indossa regolarmente l'indumento ad alta visibilità e non si osservano comportamenti non conformi o pericoli immediati. La compresenza di un secondo pedone nel corridoio richiede comunque una moderata attenzione per prevenire interferenze accidentali durante la movimentazione.</t>
        </is>
      </c>
      <c r="K5" s="8" t="n">
        <v>20.98</v>
      </c>
      <c r="L5" s="10" t="inlineStr">
        <is>
          <t>verde</t>
        </is>
      </c>
      <c r="M5" s="8" t="n">
        <v>15</v>
      </c>
      <c r="N5" s="8" t="n">
        <v>20.7</v>
      </c>
      <c r="O5" s="11" t="inlineStr">
        <is>
          <t>disaccordo</t>
        </is>
      </c>
      <c r="P5" s="8" t="n">
        <v>0.25</v>
      </c>
      <c r="Q5" s="8" t="n">
        <v>0.25</v>
      </c>
      <c r="R5" s="8" t="n">
        <v>0</v>
      </c>
      <c r="S5" s="8" t="n">
        <v>0.25</v>
      </c>
      <c r="T5" s="8" t="n">
        <v>0.25</v>
      </c>
      <c r="U5" s="8" t="n">
        <v>0</v>
      </c>
      <c r="V5" s="8" t="n">
        <v>0</v>
      </c>
    </row>
    <row r="6" ht="34" customHeight="1">
      <c r="A6" s="8" t="n">
        <v>4</v>
      </c>
      <c r="B6" s="8" t="n">
        <v>8</v>
      </c>
      <c r="C6" s="8" t="n">
        <v>12</v>
      </c>
      <c r="D6" s="8" t="n">
        <v>4</v>
      </c>
      <c r="E6" s="8" t="n">
        <v>25</v>
      </c>
      <c r="F6" s="8" t="inlineStr">
        <is>
          <t>Il punteggio di 25 indica un rischio basso-moderato. L'operatore indossa correttamente la giacca ad alta visibilità e opera in un'area con pavimentazione sgombra. Tuttavia, l'ambiente di magazzino intensivo con corsie strette e scaffalature alte presenta rischi intrinseci latenti, come la potenziale caduta di oggetti dall'alto o l'intersezione con mezzi di movimentazione rapida, sebbene non si rilevino pericoli imminenti o comportamenti scorretti nel periodo osservato.</t>
        </is>
      </c>
      <c r="G6" s="8" t="n">
        <v>31.67</v>
      </c>
      <c r="H6" s="9" t="inlineStr">
        <is>
          <t>giallo</t>
        </is>
      </c>
      <c r="I6" s="8" t="n">
        <v>10</v>
      </c>
      <c r="J6" s="8" t="inlineStr">
        <is>
          <t>La situazione osservata è stabile e priva di pericoli immediati, con gli operatori fermi o in movimento lento e in assenza di mezzi motorizzati in transito. L'unico elemento di attenzione generico è rappresentato dalla presenza di scaffalature cariche in quota, che tuttavia non mostrano alcuna anomalia o instabilità.</t>
        </is>
      </c>
      <c r="K6" s="8" t="n">
        <v>14.39</v>
      </c>
      <c r="L6" s="10" t="inlineStr">
        <is>
          <t>verde</t>
        </is>
      </c>
      <c r="M6" s="8" t="n">
        <v>15</v>
      </c>
      <c r="N6" s="8" t="n">
        <v>17.28</v>
      </c>
      <c r="O6" s="11" t="inlineStr">
        <is>
          <t>disaccordo</t>
        </is>
      </c>
      <c r="P6" s="8" t="n">
        <v>0</v>
      </c>
      <c r="Q6" s="8" t="n">
        <v>0</v>
      </c>
      <c r="R6" s="8" t="n">
        <v>0</v>
      </c>
      <c r="S6" s="8" t="n">
        <v>0</v>
      </c>
      <c r="T6" s="8" t="n">
        <v>0.25</v>
      </c>
      <c r="U6" s="8" t="n">
        <v>0</v>
      </c>
      <c r="V6" s="8" t="n">
        <v>0</v>
      </c>
    </row>
    <row r="7" ht="34" customHeight="1">
      <c r="A7" s="8" t="n">
        <v>5</v>
      </c>
      <c r="B7" s="8" t="n">
        <v>10</v>
      </c>
      <c r="C7" s="8" t="n">
        <v>14</v>
      </c>
      <c r="D7" s="8" t="n">
        <v>4</v>
      </c>
      <c r="E7" s="8" t="n">
        <v>55</v>
      </c>
      <c r="F7" s="8" t="inlineStr">
        <is>
          <t>Il punteggio di 55 riflette una situazione di rischio moderato-alto dovuta alla compresenza di un operatore a piedi e di un mezzo di movimentazione all'interno di una corsia stretta. Sebbene il mezzo sia distante e l'operatore indossi un gilet ad alta visibilità, la larghezza limitata della corsia riduce le vie di fuga e aumenta il rischio di investimento o schiacciamento in caso di manovre impreviste o distrazione.</t>
        </is>
      </c>
      <c r="G7" s="8" t="n">
        <v>60.67</v>
      </c>
      <c r="H7" s="12" t="inlineStr">
        <is>
          <t>arancione</t>
        </is>
      </c>
      <c r="I7" s="8" t="n">
        <v>15</v>
      </c>
      <c r="J7" s="8" t="inlineStr">
        <is>
          <t>L'ambiente di lavoro si presenta ordinato e pulito, con l'operatore che indossa correttamente il gilet ad alta visibilità e utilizza un transpallet manuale. Non si rilevano interferenze con mezzi motorizzati o carichi instabili, mantenendo il livello di rischio molto basso.</t>
        </is>
      </c>
      <c r="K7" s="8" t="n">
        <v>17.26</v>
      </c>
      <c r="L7" s="10" t="inlineStr">
        <is>
          <t>verde</t>
        </is>
      </c>
      <c r="M7" s="8" t="n">
        <v>40</v>
      </c>
      <c r="N7" s="8" t="n">
        <v>43.41</v>
      </c>
      <c r="O7" s="11" t="inlineStr">
        <is>
          <t>disaccordo</t>
        </is>
      </c>
      <c r="P7" s="8" t="n">
        <v>0.25</v>
      </c>
      <c r="Q7" s="8" t="n">
        <v>0.25</v>
      </c>
      <c r="R7" s="8" t="n">
        <v>0</v>
      </c>
      <c r="S7" s="8" t="n">
        <v>0</v>
      </c>
      <c r="T7" s="8" t="n">
        <v>0.25</v>
      </c>
      <c r="U7" s="8" t="n">
        <v>0</v>
      </c>
      <c r="V7" s="8" t="n">
        <v>0.25</v>
      </c>
    </row>
    <row r="8" ht="34" customHeight="1">
      <c r="A8" s="8" t="n">
        <v>6</v>
      </c>
      <c r="B8" s="8" t="n">
        <v>12</v>
      </c>
      <c r="C8" s="8" t="n">
        <v>16</v>
      </c>
      <c r="D8" s="8" t="n">
        <v>4</v>
      </c>
      <c r="E8" s="8" t="n">
        <v>70</v>
      </c>
      <c r="F8" s="8" t="inlineStr">
        <is>
          <t>Il punteggio di 70 è giustificato dalla coesistenza di operatori a piedi e un carrello elevatore nello stesso corridoio di lavoro stretto, con presenza di merci a terra che limitano lo spazio di manovra. Questo scenario presenta un rischio concreto di investimento o collisione. Sebbene siano visibili i gilet ad alta visibilità, l'incertezza sull'uso di altri DPI essenziali (scarpe antinfortunistiche, elmetti) e l'assenza di barriere fisiche di separazione aumentano la criticità.</t>
        </is>
      </c>
      <c r="G8" s="8" t="n">
        <v>73.77</v>
      </c>
      <c r="H8" s="12" t="inlineStr">
        <is>
          <t>arancione</t>
        </is>
      </c>
      <c r="I8" s="8" t="n">
        <v>70</v>
      </c>
      <c r="J8" s="8" t="inlineStr">
        <is>
          <t>Il punteggio riflette un rischio significativo dovuto alla compresenza di pedoni e mezzi di movimentazione in transito nella stessa corsia stretta senza barriere fisiche di separazione. Questa configurazione aumenta la probabilità di investimento o collisione a causa di angoli ciechi e spazi di manovra ridotti.</t>
        </is>
      </c>
      <c r="K8" s="8" t="n">
        <v>76.40000000000001</v>
      </c>
      <c r="L8" s="11" t="inlineStr">
        <is>
          <t>rosso</t>
        </is>
      </c>
      <c r="M8" s="8" t="n">
        <v>0</v>
      </c>
      <c r="N8" s="8" t="n">
        <v>2.63</v>
      </c>
      <c r="O8" s="11" t="inlineStr">
        <is>
          <t>disaccordo</t>
        </is>
      </c>
      <c r="P8" s="8" t="n">
        <v>0.75</v>
      </c>
      <c r="Q8" s="8" t="n">
        <v>0.5</v>
      </c>
      <c r="R8" s="8" t="n">
        <v>0.25</v>
      </c>
      <c r="S8" s="8" t="n">
        <v>0.5</v>
      </c>
      <c r="T8" s="8" t="n">
        <v>0.5</v>
      </c>
      <c r="U8" s="8" t="n">
        <v>0</v>
      </c>
      <c r="V8" s="8" t="n">
        <v>0.25</v>
      </c>
    </row>
    <row r="9" ht="34" customHeight="1">
      <c r="A9" s="8" t="n">
        <v>7</v>
      </c>
      <c r="B9" s="8" t="n">
        <v>14</v>
      </c>
      <c r="C9" s="8" t="n">
        <v>18</v>
      </c>
      <c r="D9" s="8" t="n">
        <v>4</v>
      </c>
      <c r="E9" s="8" t="n">
        <v>50</v>
      </c>
      <c r="F9" s="8" t="inlineStr">
        <is>
          <t>Il punteggio di 50 riflette un rischio moderato. Sebbene gli operatori indossino gilet ad alta visibilità, la compresenza di pedoni e di un carrello elevatore nello stesso corridoio, in assenza di barriere fisiche di separazione o di una chiara segregazione delle vie di transito, genera un rischio concreto di interferenza e potenziale investimento qualora il mezzo si muovesse verso il primo piano.</t>
        </is>
      </c>
      <c r="G9" s="8" t="n">
        <v>59.51</v>
      </c>
      <c r="H9" s="12" t="inlineStr">
        <is>
          <t>arancione</t>
        </is>
      </c>
      <c r="I9" s="8" t="n">
        <v>35</v>
      </c>
      <c r="J9" s="8" t="inlineStr">
        <is>
          <t>Il rischio è moderato a causa della compresenza di operatori a terra e di un carrello elevatore nello stesso corridoio senza barriere fisiche di segregazione. Tuttavia, non si registrano comportamenti scorretti immediati e i lavoratori indossano i gilet ad alta visibilità.</t>
        </is>
      </c>
      <c r="K9" s="8" t="n">
        <v>51.56</v>
      </c>
      <c r="L9" s="12" t="inlineStr">
        <is>
          <t>arancione</t>
        </is>
      </c>
      <c r="M9" s="8" t="n">
        <v>15</v>
      </c>
      <c r="N9" s="8" t="n">
        <v>7.95</v>
      </c>
      <c r="O9" s="10" t="inlineStr">
        <is>
          <t>accordo</t>
        </is>
      </c>
      <c r="P9" s="8" t="n">
        <v>0.5</v>
      </c>
      <c r="Q9" s="8" t="n">
        <v>0.25</v>
      </c>
      <c r="R9" s="8" t="n">
        <v>0</v>
      </c>
      <c r="S9" s="8" t="n">
        <v>0.25</v>
      </c>
      <c r="T9" s="8" t="n">
        <v>0.25</v>
      </c>
      <c r="U9" s="8" t="n">
        <v>0</v>
      </c>
      <c r="V9" s="8" t="n">
        <v>0</v>
      </c>
    </row>
    <row r="10" ht="34" customHeight="1">
      <c r="A10" s="8" t="n">
        <v>8</v>
      </c>
      <c r="B10" s="8" t="n">
        <v>16</v>
      </c>
      <c r="C10" s="8" t="n">
        <v>20</v>
      </c>
      <c r="D10" s="8" t="n">
        <v>4</v>
      </c>
      <c r="E10" s="8" t="n">
        <v>65</v>
      </c>
      <c r="F10" s="8" t="inlineStr">
        <is>
          <t>Il punteggio di 65 è giustificato dalla compresenza simultanea di operatori a piedi e mezzi semoventi (carrello elevatore) all'interno dello stesso corridoio di transito, in assenza di barriere fisiche di segregazione. Sebbene l'operatore in primo piano indossi un gilet ad alta visibilità, la configurazione spaziale e la potenziale presenza di angoli ciechi generano un rischio concreto di investimento e interferenza uomo-macchina.</t>
        </is>
      </c>
      <c r="G10" s="8" t="n">
        <v>70.3</v>
      </c>
      <c r="H10" s="12" t="inlineStr">
        <is>
          <t>arancione</t>
        </is>
      </c>
      <c r="I10" s="8" t="n">
        <v>35</v>
      </c>
      <c r="J10" s="8" t="inlineStr">
        <is>
          <t>Il rischio è moderato a causa della compresenza di operatori a piedi e di un carrello elevatore nella stessa corsia di stoccaggio, sebbene attualmente a distanza. La mancanza di separazione fisica e la presenza di carichi in quota aumentano la gravità potenziale in caso di manovre errate o distrazioni.</t>
        </is>
      </c>
      <c r="K10" s="8" t="n">
        <v>41.62</v>
      </c>
      <c r="L10" s="9" t="inlineStr">
        <is>
          <t>giallo</t>
        </is>
      </c>
      <c r="M10" s="8" t="n">
        <v>30</v>
      </c>
      <c r="N10" s="8" t="n">
        <v>28.68</v>
      </c>
      <c r="O10" s="11" t="inlineStr">
        <is>
          <t>disaccordo</t>
        </is>
      </c>
      <c r="P10" s="8" t="n">
        <v>0.25</v>
      </c>
      <c r="Q10" s="8" t="n">
        <v>0.25</v>
      </c>
      <c r="R10" s="8" t="n">
        <v>0</v>
      </c>
      <c r="S10" s="8" t="n">
        <v>0.25</v>
      </c>
      <c r="T10" s="8" t="n">
        <v>0.25</v>
      </c>
      <c r="U10" s="8" t="n">
        <v>0</v>
      </c>
      <c r="V10" s="8" t="n">
        <v>0</v>
      </c>
    </row>
    <row r="11" ht="34" customHeight="1">
      <c r="A11" s="8" t="n">
        <v>9</v>
      </c>
      <c r="B11" s="8" t="n">
        <v>18</v>
      </c>
      <c r="C11" s="8" t="n">
        <v>22</v>
      </c>
      <c r="D11" s="8" t="n">
        <v>4</v>
      </c>
      <c r="E11" s="8" t="n">
        <v>70</v>
      </c>
      <c r="F11" s="8" t="inlineStr">
        <is>
          <t>Il punteggio di 70 è giustificato dalla compresenza di un operatore a terra e di un carrello elevatore in manovra all'interno di una corsia stretta, in assenza di barriere fisiche di separazione. Sebbene i due soggetti siano separati da una certa distanza, il rischio di investimento è medio-alto a causa della visibilità potenzialmente limitata del conducente del muletto e dell'incertezza sull'effettivo utilizzo di DPI ad alta visibilità da parte del pedone.</t>
        </is>
      </c>
      <c r="G11" s="8" t="n">
        <v>72.62</v>
      </c>
      <c r="H11" s="12" t="inlineStr">
        <is>
          <t>arancione</t>
        </is>
      </c>
      <c r="I11" s="8" t="n">
        <v>70</v>
      </c>
      <c r="J11" s="8" t="inlineStr">
        <is>
          <t>Il punteggio riflette il rischio significativo dovuto alla compresenza di pedoni e di un carrello elevatore nello stesso corridoio stretto senza barriere di separazione. Sebbene il mezzo sia momentaneamente fermo, la mancanza di segregazione fisica espone gli operatori a un potenziale rischio di investimento in caso di manovra.</t>
        </is>
      </c>
      <c r="K11" s="8" t="n">
        <v>76.15000000000001</v>
      </c>
      <c r="L11" s="11" t="inlineStr">
        <is>
          <t>rosso</t>
        </is>
      </c>
      <c r="M11" s="8" t="n">
        <v>0</v>
      </c>
      <c r="N11" s="8" t="n">
        <v>3.53</v>
      </c>
      <c r="O11" s="11" t="inlineStr">
        <is>
          <t>disaccordo</t>
        </is>
      </c>
      <c r="P11" s="8" t="n">
        <v>0.75</v>
      </c>
      <c r="Q11" s="8" t="n">
        <v>0.5</v>
      </c>
      <c r="R11" s="8" t="n">
        <v>0.25</v>
      </c>
      <c r="S11" s="8" t="n">
        <v>0.5</v>
      </c>
      <c r="T11" s="8" t="n">
        <v>0.25</v>
      </c>
      <c r="U11" s="8" t="n">
        <v>0</v>
      </c>
      <c r="V11" s="8" t="n">
        <v>0.25</v>
      </c>
    </row>
    <row r="12" ht="34" customHeight="1">
      <c r="A12" s="8" t="n">
        <v>10</v>
      </c>
      <c r="B12" s="8" t="n">
        <v>20</v>
      </c>
      <c r="C12" s="8" t="n">
        <v>24</v>
      </c>
      <c r="D12" s="8" t="n">
        <v>4</v>
      </c>
      <c r="E12" s="8" t="n">
        <v>45</v>
      </c>
      <c r="F12" s="8" t="inlineStr">
        <is>
          <t>Il punteggio di 45 riflette un rischio moderato dovuto alla compresenza di un operatore a terra e di un carrello elevatore all'interno della stessa corsia di lavoro stretta. Sebbene il mezzo sia fermo o in lento movimento e non vi siano collisioni imminenti, la mancanza di barriere fisiche di separazione e le limitate vie di fuga aumentano la probabilità di contatto accidentale in caso di manovre improvvise.</t>
        </is>
      </c>
      <c r="G12" s="8" t="n">
        <v>56.05</v>
      </c>
      <c r="H12" s="12" t="inlineStr">
        <is>
          <t>arancione</t>
        </is>
      </c>
      <c r="I12" s="8" t="n">
        <v>45</v>
      </c>
      <c r="J12" s="8" t="inlineStr">
        <is>
          <t>Il punteggio riflette un rischio moderato dovuto alla compresenza di un operatore a terra e di un carrello elevatore nello stesso corridoio. Sebbene non si registrino comportamenti non conformi, la coesistenza di pedoni e mezzi d'opera richiede costante attenzione per prevenire possibili interferenze.</t>
        </is>
      </c>
      <c r="K12" s="8" t="n">
        <v>57.46</v>
      </c>
      <c r="L12" s="12" t="inlineStr">
        <is>
          <t>arancione</t>
        </is>
      </c>
      <c r="M12" s="8" t="n">
        <v>0</v>
      </c>
      <c r="N12" s="8" t="n">
        <v>1.41</v>
      </c>
      <c r="O12" s="10" t="inlineStr">
        <is>
          <t>accordo</t>
        </is>
      </c>
      <c r="P12" s="8" t="n">
        <v>0.5</v>
      </c>
      <c r="Q12" s="8" t="n">
        <v>0.25</v>
      </c>
      <c r="R12" s="8" t="n">
        <v>0</v>
      </c>
      <c r="S12" s="8" t="n">
        <v>0.5</v>
      </c>
      <c r="T12" s="8" t="n">
        <v>0.25</v>
      </c>
      <c r="U12" s="8" t="n">
        <v>0</v>
      </c>
      <c r="V12" s="8" t="n">
        <v>0.25</v>
      </c>
    </row>
    <row r="13" ht="34" customHeight="1">
      <c r="A13" s="8" t="n">
        <v>11</v>
      </c>
      <c r="B13" s="8" t="n">
        <v>22</v>
      </c>
      <c r="C13" s="8" t="n">
        <v>26</v>
      </c>
      <c r="D13" s="8" t="n">
        <v>4</v>
      </c>
      <c r="E13" s="8" t="n">
        <v>70</v>
      </c>
      <c r="F13" s="8" t="inlineStr">
        <is>
          <t>Il punteggio riflette un livello di rischio medio-alto dovuto alla compresenza e interazione nello stesso spazio di pedoni e un carrello elevatore in movimento, senza barriere fisiche di separazione. Sebbene l'operatore indossi un gilet ad alta visibilità e la pavimentazione sia sgombra, la mancanza di segregazione delle vie di transito aumenta significativamente il rischio di investimento o schiacciamento.</t>
        </is>
      </c>
      <c r="G13" s="8" t="n">
        <v>76.92</v>
      </c>
      <c r="H13" s="11" t="inlineStr">
        <is>
          <t>rosso</t>
        </is>
      </c>
      <c r="I13" s="8" t="n">
        <v>75</v>
      </c>
      <c r="J13" s="8" t="inlineStr">
        <is>
          <t>La compresenza di pedoni e di un carrello elevatore in una corsia stretta e priva di barriere fisiche genera un rischio elevato di investimento. La visibilità limitata dalle scaffalature alte aumenta ulteriormente la probabilità di collisione durante le manovre del mezzo.</t>
        </is>
      </c>
      <c r="K13" s="8" t="n">
        <v>82.98</v>
      </c>
      <c r="L13" s="11" t="inlineStr">
        <is>
          <t>rosso</t>
        </is>
      </c>
      <c r="M13" s="8" t="n">
        <v>5</v>
      </c>
      <c r="N13" s="8" t="n">
        <v>6.06</v>
      </c>
      <c r="O13" s="10" t="inlineStr">
        <is>
          <t>accordo</t>
        </is>
      </c>
      <c r="P13" s="8" t="n">
        <v>0.75</v>
      </c>
      <c r="Q13" s="8" t="n">
        <v>0.5</v>
      </c>
      <c r="R13" s="8" t="n">
        <v>0.25</v>
      </c>
      <c r="S13" s="8" t="n">
        <v>0.5</v>
      </c>
      <c r="T13" s="8" t="n">
        <v>0.25</v>
      </c>
      <c r="U13" s="8" t="n">
        <v>0</v>
      </c>
      <c r="V13" s="8" t="n">
        <v>0</v>
      </c>
    </row>
    <row r="14" ht="34" customHeight="1">
      <c r="A14" s="8" t="n">
        <v>12</v>
      </c>
      <c r="B14" s="8" t="n">
        <v>24</v>
      </c>
      <c r="C14" s="8" t="n">
        <v>28</v>
      </c>
      <c r="D14" s="8" t="n">
        <v>4</v>
      </c>
      <c r="E14" s="8" t="n">
        <v>100</v>
      </c>
      <c r="F14" s="8" t="inlineStr">
        <is>
          <t>Il crollo strutturale improvviso e totale della scaffalatura pesante direttamente sulla corsia di transito, dove sono presenti operatori a terra e un carrello elevatore, costituisce una situazione di imminente pericolo di vita. Il rischio di schiacciamento e lesioni fatali è massimo.</t>
        </is>
      </c>
      <c r="G14" s="8" t="n">
        <v>100</v>
      </c>
      <c r="H14" s="11" t="inlineStr">
        <is>
          <t>rosso</t>
        </is>
      </c>
      <c r="I14" s="8" t="n">
        <v>98</v>
      </c>
      <c r="J14" s="8" t="inlineStr">
        <is>
          <t>Il punteggio riflette un gravissimo incidente in corso, caratterizzato dal crollo catastrofico della scaffalatura direttamente sopra gli operatori e il carrello elevatore. Il rischio di schiacciamento fatale e seppellimento per il personale presente nell'area è imminente ed estremamente elevato.</t>
        </is>
      </c>
      <c r="K14" s="8" t="n">
        <v>100</v>
      </c>
      <c r="L14" s="11" t="inlineStr">
        <is>
          <t>rosso</t>
        </is>
      </c>
      <c r="M14" s="8" t="n">
        <v>2</v>
      </c>
      <c r="N14" s="8" t="n">
        <v>0</v>
      </c>
      <c r="O14" s="10" t="inlineStr">
        <is>
          <t>accordo</t>
        </is>
      </c>
      <c r="P14" s="8" t="n">
        <v>0.25</v>
      </c>
      <c r="Q14" s="8" t="n">
        <v>0.75</v>
      </c>
      <c r="R14" s="8" t="n">
        <v>0.25</v>
      </c>
      <c r="S14" s="8" t="n">
        <v>0.5</v>
      </c>
      <c r="T14" s="8" t="n">
        <v>1</v>
      </c>
      <c r="U14" s="8" t="n">
        <v>0</v>
      </c>
      <c r="V14" s="8" t="n">
        <v>0</v>
      </c>
    </row>
    <row r="15" ht="34" customHeight="1">
      <c r="A15" s="8" t="n">
        <v>13</v>
      </c>
      <c r="B15" s="8" t="n">
        <v>26</v>
      </c>
      <c r="C15" s="8" t="n">
        <v>30</v>
      </c>
      <c r="D15" s="8" t="n">
        <v>4</v>
      </c>
      <c r="E15" s="8" t="n">
        <v>100</v>
      </c>
      <c r="F15" s="8" t="inlineStr">
        <is>
          <t>Il punteggio massimo di 100 è giustificato dal collasso strutturale improvviso e totale della scaffalatura pesante direttamente nel corridoio. La presenza di almeno due operatori a terra nelle immediate vicinanze del crollo determina un rischio imminente e gravissimo di schiacciamento, seppellimento e lesioni fatali, configurando uno scenario di massima emergenza.</t>
        </is>
      </c>
      <c r="G15" s="8" t="n">
        <v>100</v>
      </c>
      <c r="H15" s="11" t="inlineStr">
        <is>
          <t>rosso</t>
        </is>
      </c>
      <c r="I15" s="8" t="n">
        <v>100</v>
      </c>
      <c r="J15" s="8" t="inlineStr">
        <is>
          <t>Il punteggio massimo è giustificato dal collasso strutturale totale e improvviso della scaffalatura che travolge direttamente l'operatore a terra. La totale perdita di visibilità causata dalla nube di polvere aggrava ulteriormente la situazione, rendendo i soccorsi estremamente difficili.</t>
        </is>
      </c>
      <c r="K15" s="8" t="n">
        <v>100</v>
      </c>
      <c r="L15" s="11" t="inlineStr">
        <is>
          <t>rosso</t>
        </is>
      </c>
      <c r="M15" s="8" t="n">
        <v>0</v>
      </c>
      <c r="N15" s="8" t="n">
        <v>0</v>
      </c>
      <c r="O15" s="10" t="inlineStr">
        <is>
          <t>accordo</t>
        </is>
      </c>
      <c r="P15" s="8" t="n">
        <v>0.5</v>
      </c>
      <c r="Q15" s="8" t="n">
        <v>1</v>
      </c>
      <c r="R15" s="8" t="n">
        <v>0.25</v>
      </c>
      <c r="S15" s="8" t="n">
        <v>0.25</v>
      </c>
      <c r="T15" s="8" t="n">
        <v>1</v>
      </c>
      <c r="U15" s="8" t="n">
        <v>0</v>
      </c>
      <c r="V15" s="8" t="n">
        <v>0</v>
      </c>
    </row>
    <row r="16" ht="34" customHeight="1">
      <c r="A16" s="8" t="n">
        <v>14</v>
      </c>
      <c r="B16" s="8" t="n">
        <v>28</v>
      </c>
      <c r="C16" s="8" t="n">
        <v>32</v>
      </c>
      <c r="D16" s="8" t="n">
        <v>4</v>
      </c>
      <c r="E16" s="8" t="n">
        <v>100</v>
      </c>
      <c r="F16" s="8" t="inlineStr">
        <is>
          <t>Il crollo catastrofico e simultaneo delle scaffalature industriali con effetto domino rappresenta una situazione di massimo pericolo (score 100). Anche in assenza di operatori visibili, il rischio di seppellimento, schiacciamento e instabilità strutturale residua dell'edificio è estremo, aggravato dalla totale perdita di visibilità dovuta alla polvere e dalle merci in caduta.</t>
        </is>
      </c>
      <c r="G16" s="8" t="n">
        <v>100</v>
      </c>
      <c r="H16" s="11" t="inlineStr">
        <is>
          <t>rosso</t>
        </is>
      </c>
      <c r="I16" s="8" t="n">
        <v>98</v>
      </c>
      <c r="J16" s="8" t="inlineStr">
        <is>
          <t>Il punteggio riflette una situazione di imminente e gravissimo pericolo dovuto al collasso strutturale in corso delle scaffalature e alla caduta di carichi pesanti. La fitta nube di polvere azzera la visibilità, ostacolando l'evacuazione e i soccorsi per eventuali operatori coinvolti.</t>
        </is>
      </c>
      <c r="K16" s="8" t="n">
        <v>98.8</v>
      </c>
      <c r="L16" s="11" t="inlineStr">
        <is>
          <t>rosso</t>
        </is>
      </c>
      <c r="M16" s="8" t="n">
        <v>2</v>
      </c>
      <c r="N16" s="8" t="n">
        <v>1.2</v>
      </c>
      <c r="O16" s="10" t="inlineStr">
        <is>
          <t>accordo</t>
        </is>
      </c>
      <c r="P16" s="8" t="n">
        <v>0</v>
      </c>
      <c r="Q16" s="8" t="n">
        <v>0.5</v>
      </c>
      <c r="R16" s="8" t="n">
        <v>0</v>
      </c>
      <c r="S16" s="8" t="n">
        <v>0.5</v>
      </c>
      <c r="T16" s="8" t="n">
        <v>1</v>
      </c>
      <c r="U16" s="8" t="n">
        <v>0</v>
      </c>
      <c r="V16" s="8" t="n">
        <v>0</v>
      </c>
    </row>
    <row r="17" ht="34" customHeight="1">
      <c r="A17" s="8" t="n">
        <v>15</v>
      </c>
      <c r="B17" s="8" t="n">
        <v>30</v>
      </c>
      <c r="C17" s="8" t="n">
        <v>34</v>
      </c>
      <c r="D17" s="8" t="n">
        <v>4</v>
      </c>
      <c r="E17" s="8" t="n">
        <v>98</v>
      </c>
      <c r="F17" s="8" t="inlineStr">
        <is>
          <t>Il punteggio di 98 riflette una situazione di estrema gravità e pericolo imminente per la vita umana. Il crollo strutturale massivo ha completamente ostruito il corridoio, seppellendo parzialmente quello che sembra essere un carrello elevatore, con il rischio concreto di operatori intrappolati o gravemente feriti sotto le macerie. La persistenza di polvere in sospensione, l'instabilità delle campate adiacenti che minacciano crolli secondari a catena e il potenziale rischio di cortocircuiti dei macchinari schiacciati configurano uno scenario di massima emergenza per la sicurezza industriale.</t>
        </is>
      </c>
      <c r="G17" s="8" t="n">
        <v>98.8</v>
      </c>
      <c r="H17" s="11" t="inlineStr">
        <is>
          <t>rosso</t>
        </is>
      </c>
      <c r="I17" s="8" t="n">
        <v>95</v>
      </c>
      <c r="J17" s="8" t="inlineStr">
        <is>
          <t>Il collasso strutturale totale delle scaffalature e l'accumulo instabile di detriti pesanti generano un rischio imminente di crolli secondari per chiunque acceda all'area. La visibilità quasi azzerata dalla polvere in sospensione e l'ostruzione completa delle vie di fuga rendono lo scenario estremamente critico.</t>
        </is>
      </c>
      <c r="K17" s="8" t="n">
        <v>96.52</v>
      </c>
      <c r="L17" s="11" t="inlineStr">
        <is>
          <t>rosso</t>
        </is>
      </c>
      <c r="M17" s="8" t="n">
        <v>3</v>
      </c>
      <c r="N17" s="8" t="n">
        <v>2.28</v>
      </c>
      <c r="O17" s="10" t="inlineStr">
        <is>
          <t>accordo</t>
        </is>
      </c>
      <c r="P17" s="8" t="n">
        <v>0</v>
      </c>
      <c r="Q17" s="8" t="n">
        <v>0.25</v>
      </c>
      <c r="R17" s="8" t="n">
        <v>0</v>
      </c>
      <c r="S17" s="8" t="n">
        <v>0.25</v>
      </c>
      <c r="T17" s="8" t="n">
        <v>1</v>
      </c>
      <c r="U17" s="8" t="n">
        <v>0</v>
      </c>
      <c r="V17" s="8" t="n">
        <v>0</v>
      </c>
    </row>
    <row r="18" ht="34" customHeight="1">
      <c r="A18" s="8" t="n">
        <v>16</v>
      </c>
      <c r="B18" s="8" t="n">
        <v>32</v>
      </c>
      <c r="C18" s="8" t="n">
        <v>35.867</v>
      </c>
      <c r="D18" s="8" t="n">
        <v>3.867</v>
      </c>
      <c r="E18" s="8" t="n">
        <v>95</v>
      </c>
      <c r="F18" s="8" t="inlineStr">
        <is>
          <t>Il punteggio di 95 riflette una situazione di rischio estremo a seguito di un crollo strutturale catastrofico. Anche in assenza di operatori visibili, l'area presenta pericoli immediati e severi: instabilità residua delle scaffalature con minaccia di ulteriori cedimenti, cumuli di detriti pesanti che ostruiscono le vie di fuga e una densa nube di polvere sospesa che riduce drasticamente la visibilità e la qualità dell'aria.</t>
        </is>
      </c>
      <c r="G18" s="8" t="n">
        <v>96.52</v>
      </c>
      <c r="H18" s="11" t="inlineStr">
        <is>
          <t>rosso</t>
        </is>
      </c>
      <c r="I18" s="8" t="n">
        <v>20</v>
      </c>
      <c r="J18" s="8" t="inlineStr">
        <is>
          <t>Il rischio è ritenuto basso a causa dell'assenza di personale o mezzi di movimentazione attivi nell'area. L'unico elemento di attenzione è l'accumulo disordinato di detriti all'interno della struttura di contenimento, che richiede un intervento di pulizia preventiva per evitare la caduta di materiali.</t>
        </is>
      </c>
      <c r="K18" s="8" t="n">
        <v>50.61</v>
      </c>
      <c r="L18" s="12" t="inlineStr">
        <is>
          <t>arancione</t>
        </is>
      </c>
      <c r="M18" s="8" t="n">
        <v>75</v>
      </c>
      <c r="N18" s="8" t="n">
        <v>45.91</v>
      </c>
      <c r="O18" s="11" t="inlineStr">
        <is>
          <t>disaccordo</t>
        </is>
      </c>
      <c r="P18" s="8" t="n">
        <v>0</v>
      </c>
      <c r="Q18" s="8" t="n">
        <v>0</v>
      </c>
      <c r="R18" s="8" t="n">
        <v>0</v>
      </c>
      <c r="S18" s="8" t="n">
        <v>0</v>
      </c>
      <c r="T18" s="8" t="n">
        <v>0.25</v>
      </c>
      <c r="U18" s="8" t="n">
        <v>0</v>
      </c>
      <c r="V18" s="8" t="n">
        <v>0</v>
      </c>
    </row>
    <row r="19" ht="34" customHeight="1">
      <c r="A19" s="8" t="n">
        <v>17</v>
      </c>
      <c r="B19" s="8" t="n">
        <v>34</v>
      </c>
      <c r="C19" s="8" t="n">
        <v>35.867</v>
      </c>
      <c r="D19" s="8" t="n">
        <v>1.867</v>
      </c>
      <c r="E19" s="8" t="n">
        <v>65</v>
      </c>
      <c r="F19" s="8" t="inlineStr">
        <is>
          <t>Il punteggio di 65 è giustificato dalla presenza di corpi estranei metallici rigidi (elementi rossi e gialli) mescolati a materiale vegetale in un canale di scorrimento. Questa anomalia comporta un rischio elevato di danneggiamento meccanico grave o inceppamento dei sistemi di triturazione a valle, con potenziale proiezione di frammenti pericolosi, sebbene l'assenza immediata di operatori nell'area confinata limiti il rischio di infortuni diretti in questa specifica frazione temporale.</t>
        </is>
      </c>
      <c r="G19" s="8" t="n">
        <v>77.61</v>
      </c>
      <c r="H19" s="11" t="inlineStr">
        <is>
          <t>rosso</t>
        </is>
      </c>
      <c r="I19" s="8" t="n">
        <v>20</v>
      </c>
      <c r="J19" s="8" t="inlineStr">
        <is>
          <t>Il rischio è valutato come basso a causa dell'assenza di personale o mezzi esposti nell'area. L'unica criticità potenziale è legata alla stabilità del materiale vegetale accumulato nella tramoggia, che potrebbe esercitare pressioni asimmetriche sulla struttura.</t>
        </is>
      </c>
      <c r="K19" s="8" t="n">
        <v>32.24</v>
      </c>
      <c r="L19" s="9" t="inlineStr">
        <is>
          <t>giallo</t>
        </is>
      </c>
      <c r="M19" s="8" t="n">
        <v>45</v>
      </c>
      <c r="N19" s="8" t="n">
        <v>45.37</v>
      </c>
      <c r="O19" s="11" t="inlineStr">
        <is>
          <t>disaccordo</t>
        </is>
      </c>
      <c r="P19" s="8" t="n">
        <v>0</v>
      </c>
      <c r="Q19" s="8" t="n">
        <v>0</v>
      </c>
      <c r="R19" s="8" t="n">
        <v>0</v>
      </c>
      <c r="S19" s="8" t="n">
        <v>0</v>
      </c>
      <c r="T19" s="8" t="n">
        <v>0.25</v>
      </c>
      <c r="U19" s="8" t="n">
        <v>0</v>
      </c>
      <c r="V19" s="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2026-07-27T14:26:07Z</dcterms:created>
  <dcterms:modified xmlns:dcterms="http://purl.org/dc/terms/" xmlns:xsi="http://www.w3.org/2001/XMLSchema-instance" xsi:type="dcterms:W3CDTF">2026-07-27T14:26:07Z</dcterms:modified>
</cp:coreProperties>
</file>