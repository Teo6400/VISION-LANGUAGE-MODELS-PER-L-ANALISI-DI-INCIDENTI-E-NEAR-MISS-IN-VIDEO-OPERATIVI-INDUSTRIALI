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_results" sheetId="1" state="visible" r:id="rId1"/>
    <sheet xmlns:r="http://schemas.openxmlformats.org/officeDocument/2006/relationships" name="branch_comparison" sheetId="2" state="visible" r:id="rId2"/>
    <sheet xmlns:r="http://schemas.openxmlformats.org/officeDocument/2006/relationships" name="vlm_free_branch" sheetId="3" state="visible" r:id="rId3"/>
    <sheet xmlns:r="http://schemas.openxmlformats.org/officeDocument/2006/relationships" name="vlm_guided_branch" sheetId="4" state="visible" r:id="rId4"/>
    <sheet xmlns:r="http://schemas.openxmlformats.org/officeDocument/2006/relationships" name="ahp_branch" sheetId="5" state="visible" r:id="rId5"/>
    <sheet xmlns:r="http://schemas.openxmlformats.org/officeDocument/2006/relationships" name="scoring_json_debug" sheetId="6" state="visible" r:id="rId6"/>
    <sheet xmlns:r="http://schemas.openxmlformats.org/officeDocument/2006/relationships" name="token_audit" sheetId="7" state="visible" r:id="rId7"/>
    <sheet xmlns:r="http://schemas.openxmlformats.org/officeDocument/2006/relationships" name="ahp_risk_analysis" sheetId="8" state="visible" r:id="rId8"/>
    <sheet xmlns:r="http://schemas.openxmlformats.org/officeDocument/2006/relationships" name="ahp_contrib_detail" sheetId="9" state="visible" r:id="rId9"/>
    <sheet xmlns:r="http://schemas.openxmlformats.org/officeDocument/2006/relationships" name="ahp_contrib_summary" sheetId="10" state="visible" r:id="rId10"/>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font>
    <font>
      <b val="1"/>
      <color rgb="00FFFFFF"/>
      <sz val="8"/>
    </font>
    <font>
      <sz val="7"/>
    </font>
    <font>
      <b val="1"/>
      <color rgb="00000000"/>
      <sz val="8"/>
    </font>
  </fonts>
  <fills count="12">
    <fill>
      <patternFill/>
    </fill>
    <fill>
      <patternFill patternType="gray125"/>
    </fill>
    <fill>
      <patternFill patternType="solid">
        <fgColor rgb="001F4E78"/>
      </patternFill>
    </fill>
    <fill>
      <patternFill patternType="solid">
        <fgColor rgb="00D9EAF7"/>
      </patternFill>
    </fill>
    <fill>
      <patternFill patternType="solid">
        <fgColor rgb="00E2F0D9"/>
      </patternFill>
    </fill>
    <fill>
      <patternFill patternType="solid">
        <fgColor rgb="00D9E1F2"/>
      </patternFill>
    </fill>
    <fill>
      <patternFill patternType="solid">
        <fgColor rgb="00FCE4D6"/>
      </patternFill>
    </fill>
    <fill>
      <patternFill patternType="solid">
        <fgColor rgb="00F4CCCC"/>
      </patternFill>
    </fill>
    <fill>
      <patternFill patternType="solid">
        <fgColor rgb="00FFF2CC"/>
      </patternFill>
    </fill>
    <fill>
      <patternFill patternType="solid">
        <fgColor rgb="00C6EFCE"/>
      </patternFill>
    </fill>
    <fill>
      <patternFill patternType="solid">
        <fgColor rgb="00EADCF8"/>
      </patternFill>
    </fill>
    <fill>
      <patternFill patternType="solid">
        <fgColor rgb="00EDEDED"/>
      </patternFill>
    </fill>
  </fills>
  <borders count="3">
    <border>
      <left/>
      <right/>
      <top/>
      <bottom/>
      <diagonal/>
    </border>
    <border>
      <left style="thin"/>
      <right style="thin"/>
      <top style="thin"/>
      <bottom style="thin"/>
    </border>
    <border>
      <left style="thin">
        <color rgb="00D9D9D9"/>
      </left>
      <right style="thin">
        <color rgb="00D9D9D9"/>
      </right>
      <top style="thin">
        <color rgb="00D9D9D9"/>
      </top>
      <bottom style="thin">
        <color rgb="00D9D9D9"/>
      </bottom>
    </border>
  </borders>
  <cellStyleXfs count="1">
    <xf numFmtId="0" fontId="0" fillId="0" borderId="0"/>
  </cellStyleXfs>
  <cellXfs count="15">
    <xf numFmtId="0" fontId="0" fillId="0" borderId="0" pivotButton="0" quotePrefix="0" xfId="0"/>
    <xf numFmtId="0" fontId="1" fillId="0" borderId="1" applyAlignment="1" pivotButton="0" quotePrefix="0" xfId="0">
      <alignment horizontal="center" vertical="top"/>
    </xf>
    <xf numFmtId="0" fontId="4" fillId="3" borderId="2" applyAlignment="1" pivotButton="0" quotePrefix="0" xfId="0">
      <alignment horizontal="center" vertical="center" wrapText="1"/>
    </xf>
    <xf numFmtId="0" fontId="4" fillId="4" borderId="2" applyAlignment="1" pivotButton="0" quotePrefix="0" xfId="0">
      <alignment horizontal="center" vertical="center" wrapText="1"/>
    </xf>
    <xf numFmtId="0" fontId="4" fillId="5" borderId="2" applyAlignment="1" pivotButton="0" quotePrefix="0" xfId="0">
      <alignment horizontal="center" vertical="center" wrapText="1"/>
    </xf>
    <xf numFmtId="0" fontId="4" fillId="6" borderId="2" applyAlignment="1" pivotButton="0" quotePrefix="0" xfId="0">
      <alignment horizontal="center" vertical="center" wrapText="1"/>
    </xf>
    <xf numFmtId="0" fontId="2" fillId="2" borderId="2" applyAlignment="1" pivotButton="0" quotePrefix="0" xfId="0">
      <alignment horizontal="center" vertical="center" wrapText="1"/>
    </xf>
    <xf numFmtId="0" fontId="3" fillId="0" borderId="2" applyAlignment="1" pivotButton="0" quotePrefix="0" xfId="0">
      <alignment horizontal="left" vertical="top" wrapText="1"/>
    </xf>
    <xf numFmtId="0" fontId="3" fillId="7" borderId="2" applyAlignment="1" pivotButton="0" quotePrefix="0" xfId="0">
      <alignment horizontal="left" vertical="top" wrapText="1"/>
    </xf>
    <xf numFmtId="0" fontId="3" fillId="6" borderId="2" applyAlignment="1" pivotButton="0" quotePrefix="0" xfId="0">
      <alignment horizontal="left" vertical="top" wrapText="1"/>
    </xf>
    <xf numFmtId="0" fontId="3" fillId="8" borderId="2" applyAlignment="1" pivotButton="0" quotePrefix="0" xfId="0">
      <alignment horizontal="left" vertical="top" wrapText="1"/>
    </xf>
    <xf numFmtId="0" fontId="3" fillId="9" borderId="2" applyAlignment="1" pivotButton="0" quotePrefix="0" xfId="0">
      <alignment horizontal="left" vertical="top" wrapText="1"/>
    </xf>
    <xf numFmtId="0" fontId="4" fillId="8" borderId="2" applyAlignment="1" pivotButton="0" quotePrefix="0" xfId="0">
      <alignment horizontal="center" vertical="center" wrapText="1"/>
    </xf>
    <xf numFmtId="0" fontId="4" fillId="10" borderId="2" applyAlignment="1" pivotButton="0" quotePrefix="0" xfId="0">
      <alignment horizontal="center" vertical="center" wrapText="1"/>
    </xf>
    <xf numFmtId="0" fontId="4" fillId="11" borderId="2"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charts/chart1.xml><?xml version="1.0" encoding="utf-8"?>
<chartSpace xmlns="http://schemas.openxmlformats.org/drawingml/2006/chart">
  <style val="2"/>
  <chart>
    <title>
      <tx>
        <rich>
          <a:bodyPr xmlns:a="http://schemas.openxmlformats.org/drawingml/2006/main"/>
          <a:p xmlns:a="http://schemas.openxmlformats.org/drawingml/2006/main">
            <a:pPr>
              <a:defRPr/>
            </a:pPr>
            <a:r>
              <a:t>Dynamic Risk Score - Tre rami</a:t>
            </a:r>
          </a:p>
        </rich>
      </tx>
    </title>
    <plotArea>
      <lineChart>
        <grouping val="standard"/>
        <ser>
          <idx val="0"/>
          <order val="0"/>
          <tx>
            <strRef>
              <f>'all_results'!H1</f>
            </strRef>
          </tx>
          <spPr>
            <a:ln xmlns:a="http://schemas.openxmlformats.org/drawingml/2006/main" w="18000">
              <a:solidFill>
                <a:srgbClr val="70AD47"/>
              </a:solidFill>
              <a:prstDash val="solid"/>
            </a:ln>
          </spPr>
          <marker>
            <symbol val="none"/>
            <spPr>
              <a:ln xmlns:a="http://schemas.openxmlformats.org/drawingml/2006/main">
                <a:prstDash val="solid"/>
              </a:ln>
            </spPr>
          </marker>
          <cat>
            <numRef>
              <f>'all_results'!$A$2:$A$33</f>
            </numRef>
          </cat>
          <val>
            <numRef>
              <f>'all_results'!$H$2:$H$33</f>
            </numRef>
          </val>
        </ser>
        <ser>
          <idx val="1"/>
          <order val="1"/>
          <tx>
            <strRef>
              <f>'all_results'!O1</f>
            </strRef>
          </tx>
          <spPr>
            <a:ln xmlns:a="http://schemas.openxmlformats.org/drawingml/2006/main" w="18000">
              <a:solidFill>
                <a:srgbClr val="4472C4"/>
              </a:solidFill>
              <a:prstDash val="solid"/>
            </a:ln>
          </spPr>
          <marker>
            <symbol val="none"/>
            <spPr>
              <a:ln xmlns:a="http://schemas.openxmlformats.org/drawingml/2006/main">
                <a:prstDash val="solid"/>
              </a:ln>
            </spPr>
          </marker>
          <cat>
            <numRef>
              <f>'all_results'!$A$2:$A$33</f>
            </numRef>
          </cat>
          <val>
            <numRef>
              <f>'all_results'!$O$2:$O$33</f>
            </numRef>
          </val>
        </ser>
        <ser>
          <idx val="2"/>
          <order val="2"/>
          <tx>
            <strRef>
              <f>'all_results'!R1</f>
            </strRef>
          </tx>
          <spPr>
            <a:ln xmlns:a="http://schemas.openxmlformats.org/drawingml/2006/main" w="18000">
              <a:solidFill>
                <a:srgbClr val="ED7D31"/>
              </a:solidFill>
              <a:prstDash val="solid"/>
            </a:ln>
          </spPr>
          <marker>
            <symbol val="none"/>
            <spPr>
              <a:ln xmlns:a="http://schemas.openxmlformats.org/drawingml/2006/main">
                <a:prstDash val="solid"/>
              </a:ln>
            </spPr>
          </marker>
          <cat>
            <numRef>
              <f>'all_results'!$A$2:$A$33</f>
            </numRef>
          </cat>
          <val>
            <numRef>
              <f>'all_results'!$R$2:$R$33</f>
            </numRef>
          </val>
        </ser>
        <axId val="10"/>
        <axId val="100"/>
      </lineChart>
      <catAx>
        <axId val="10"/>
        <scaling>
          <orientation val="minMax"/>
        </scaling>
        <axPos val="l"/>
        <title>
          <tx>
            <rich>
              <a:bodyPr xmlns:a="http://schemas.openxmlformats.org/drawingml/2006/main"/>
              <a:p xmlns:a="http://schemas.openxmlformats.org/drawingml/2006/main">
                <a:pPr>
                  <a:defRPr/>
                </a:pPr>
                <a:r>
                  <a:t>Window ID</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Dynamic risk score</a:t>
                </a:r>
              </a:p>
            </rich>
          </tx>
        </title>
        <majorTickMark val="none"/>
        <minorTickMark val="none"/>
        <crossAx val="10"/>
      </valAx>
    </plotArea>
    <legend>
      <legendPos val="r"/>
    </legend>
    <plotVisOnly val="1"/>
    <dispBlanksAs val="gap"/>
  </chart>
</chartSpace>
</file>

<file path=xl/charts/chart2.xml><?xml version="1.0" encoding="utf-8"?>
<chartSpace xmlns="http://schemas.openxmlformats.org/drawingml/2006/chart">
  <style val="2"/>
  <chart>
    <title>
      <tx>
        <rich>
          <a:bodyPr xmlns:a="http://schemas.openxmlformats.org/drawingml/2006/main"/>
          <a:p xmlns:a="http://schemas.openxmlformats.org/drawingml/2006/main">
            <a:pPr>
              <a:defRPr/>
            </a:pPr>
            <a:r>
              <a:t>Confronto punteggi dinamici - Tre rami</a:t>
            </a:r>
          </a:p>
        </rich>
      </tx>
    </title>
    <plotArea>
      <lineChart>
        <grouping val="standard"/>
        <ser>
          <idx val="0"/>
          <order val="0"/>
          <tx>
            <strRef>
              <f>'branch_comparison'!G1</f>
            </strRef>
          </tx>
          <spPr>
            <a:ln xmlns:a="http://schemas.openxmlformats.org/drawingml/2006/main" w="18000">
              <a:solidFill>
                <a:srgbClr val="70AD47"/>
              </a:solidFill>
              <a:prstDash val="solid"/>
            </a:ln>
          </spPr>
          <marker>
            <symbol val="none"/>
            <spPr>
              <a:ln xmlns:a="http://schemas.openxmlformats.org/drawingml/2006/main">
                <a:prstDash val="solid"/>
              </a:ln>
            </spPr>
          </marker>
          <cat>
            <numRef>
              <f>'branch_comparison'!$A$2:$A$33</f>
            </numRef>
          </cat>
          <val>
            <numRef>
              <f>'branch_comparison'!$G$2:$G$33</f>
            </numRef>
          </val>
        </ser>
        <ser>
          <idx val="1"/>
          <order val="1"/>
          <tx>
            <strRef>
              <f>'branch_comparison'!H1</f>
            </strRef>
          </tx>
          <spPr>
            <a:ln xmlns:a="http://schemas.openxmlformats.org/drawingml/2006/main" w="18000">
              <a:solidFill>
                <a:srgbClr val="4472C4"/>
              </a:solidFill>
              <a:prstDash val="solid"/>
            </a:ln>
          </spPr>
          <marker>
            <symbol val="none"/>
            <spPr>
              <a:ln xmlns:a="http://schemas.openxmlformats.org/drawingml/2006/main">
                <a:prstDash val="solid"/>
              </a:ln>
            </spPr>
          </marker>
          <cat>
            <numRef>
              <f>'branch_comparison'!$A$2:$A$33</f>
            </numRef>
          </cat>
          <val>
            <numRef>
              <f>'branch_comparison'!$H$2:$H$33</f>
            </numRef>
          </val>
        </ser>
        <ser>
          <idx val="2"/>
          <order val="2"/>
          <tx>
            <strRef>
              <f>'branch_comparison'!I1</f>
            </strRef>
          </tx>
          <spPr>
            <a:ln xmlns:a="http://schemas.openxmlformats.org/drawingml/2006/main" w="18000">
              <a:solidFill>
                <a:srgbClr val="ED7D31"/>
              </a:solidFill>
              <a:prstDash val="solid"/>
            </a:ln>
          </spPr>
          <marker>
            <symbol val="none"/>
            <spPr>
              <a:ln xmlns:a="http://schemas.openxmlformats.org/drawingml/2006/main">
                <a:prstDash val="solid"/>
              </a:ln>
            </spPr>
          </marker>
          <cat>
            <numRef>
              <f>'branch_comparison'!$A$2:$A$33</f>
            </numRef>
          </cat>
          <val>
            <numRef>
              <f>'branch_comparison'!$I$2:$I$33</f>
            </numRef>
          </val>
        </ser>
        <axId val="10"/>
        <axId val="100"/>
      </lineChart>
      <catAx>
        <axId val="10"/>
        <scaling>
          <orientation val="minMax"/>
        </scaling>
        <axPos val="l"/>
        <title>
          <tx>
            <rich>
              <a:bodyPr xmlns:a="http://schemas.openxmlformats.org/drawingml/2006/main"/>
              <a:p xmlns:a="http://schemas.openxmlformats.org/drawingml/2006/main">
                <a:pPr>
                  <a:defRPr/>
                </a:pPr>
                <a:r>
                  <a:t>Window ID</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Dynamic risk score</a:t>
                </a:r>
              </a:p>
            </rich>
          </tx>
        </title>
        <majorTickMark val="none"/>
        <minorTickMark val="none"/>
        <crossAx val="10"/>
      </valAx>
    </plotArea>
    <legend>
      <legendPos val="r"/>
    </legend>
    <plotVisOnly val="1"/>
    <dispBlanksAs val="gap"/>
  </chart>
</chartSpace>
</file>

<file path=xl/charts/chart3.xml><?xml version="1.0" encoding="utf-8"?>
<chartSpace xmlns="http://schemas.openxmlformats.org/drawingml/2006/chart">
  <style val="2"/>
  <chart>
    <title>
      <tx>
        <rich>
          <a:bodyPr xmlns:a="http://schemas.openxmlformats.org/drawingml/2006/main"/>
          <a:p xmlns:a="http://schemas.openxmlformats.org/drawingml/2006/main">
            <a:pPr>
              <a:defRPr/>
            </a:pPr>
            <a:r>
              <a:t>Ramo VLM libero - Dynamic risk score</a:t>
            </a:r>
          </a:p>
        </rich>
      </tx>
    </title>
    <plotArea>
      <lineChart>
        <grouping val="standard"/>
        <ser>
          <idx val="0"/>
          <order val="0"/>
          <tx>
            <strRef>
              <f>'vlm_free_branch'!G1</f>
            </strRef>
          </tx>
          <spPr>
            <a:ln xmlns:a="http://schemas.openxmlformats.org/drawingml/2006/main" w="18000">
              <a:solidFill>
                <a:srgbClr val="70AD47"/>
              </a:solidFill>
              <a:prstDash val="solid"/>
            </a:ln>
          </spPr>
          <marker>
            <symbol val="none"/>
            <spPr>
              <a:ln xmlns:a="http://schemas.openxmlformats.org/drawingml/2006/main">
                <a:prstDash val="solid"/>
              </a:ln>
            </spPr>
          </marker>
          <cat>
            <numRef>
              <f>'vlm_free_branch'!$A$2:$A$33</f>
            </numRef>
          </cat>
          <val>
            <numRef>
              <f>'vlm_free_branch'!$G$2:$G$33</f>
            </numRef>
          </val>
        </ser>
        <axId val="10"/>
        <axId val="100"/>
      </lineChart>
      <catAx>
        <axId val="10"/>
        <scaling>
          <orientation val="minMax"/>
        </scaling>
        <axPos val="l"/>
        <title>
          <tx>
            <rich>
              <a:bodyPr xmlns:a="http://schemas.openxmlformats.org/drawingml/2006/main"/>
              <a:p xmlns:a="http://schemas.openxmlformats.org/drawingml/2006/main">
                <a:pPr>
                  <a:defRPr/>
                </a:pPr>
                <a:r>
                  <a:t>Window ID</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Dynamic risk score</a:t>
                </a:r>
              </a:p>
            </rich>
          </tx>
        </title>
        <majorTickMark val="none"/>
        <minorTickMark val="none"/>
        <crossAx val="10"/>
      </valAx>
    </plotArea>
    <legend>
      <legendPos val="r"/>
    </legend>
    <plotVisOnly val="1"/>
    <dispBlanksAs val="gap"/>
  </chart>
</chartSpace>
</file>

<file path=xl/charts/chart4.xml><?xml version="1.0" encoding="utf-8"?>
<chartSpace xmlns="http://schemas.openxmlformats.org/drawingml/2006/chart">
  <style val="2"/>
  <chart>
    <title>
      <tx>
        <rich>
          <a:bodyPr xmlns:a="http://schemas.openxmlformats.org/drawingml/2006/main"/>
          <a:p xmlns:a="http://schemas.openxmlformats.org/drawingml/2006/main">
            <a:pPr>
              <a:defRPr/>
            </a:pPr>
            <a:r>
              <a:t>Ramo VLM guidato - Dynamic risk score</a:t>
            </a:r>
          </a:p>
        </rich>
      </tx>
    </title>
    <plotArea>
      <lineChart>
        <grouping val="standard"/>
        <ser>
          <idx val="0"/>
          <order val="0"/>
          <tx>
            <strRef>
              <f>'vlm_guided_branch'!I1</f>
            </strRef>
          </tx>
          <spPr>
            <a:ln xmlns:a="http://schemas.openxmlformats.org/drawingml/2006/main" w="18000">
              <a:solidFill>
                <a:srgbClr val="4472C4"/>
              </a:solidFill>
              <a:prstDash val="solid"/>
            </a:ln>
          </spPr>
          <marker>
            <symbol val="none"/>
            <spPr>
              <a:ln xmlns:a="http://schemas.openxmlformats.org/drawingml/2006/main">
                <a:prstDash val="solid"/>
              </a:ln>
            </spPr>
          </marker>
          <cat>
            <numRef>
              <f>'vlm_guided_branch'!$A$2:$A$33</f>
            </numRef>
          </cat>
          <val>
            <numRef>
              <f>'vlm_guided_branch'!$I$2:$I$33</f>
            </numRef>
          </val>
        </ser>
        <axId val="10"/>
        <axId val="100"/>
      </lineChart>
      <catAx>
        <axId val="10"/>
        <scaling>
          <orientation val="minMax"/>
        </scaling>
        <axPos val="l"/>
        <title>
          <tx>
            <rich>
              <a:bodyPr xmlns:a="http://schemas.openxmlformats.org/drawingml/2006/main"/>
              <a:p xmlns:a="http://schemas.openxmlformats.org/drawingml/2006/main">
                <a:pPr>
                  <a:defRPr/>
                </a:pPr>
                <a:r>
                  <a:t>Window ID</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Dynamic risk score</a:t>
                </a:r>
              </a:p>
            </rich>
          </tx>
        </title>
        <majorTickMark val="none"/>
        <minorTickMark val="none"/>
        <crossAx val="10"/>
      </valAx>
    </plotArea>
    <legend>
      <legendPos val="r"/>
    </legend>
    <plotVisOnly val="1"/>
    <dispBlanksAs val="gap"/>
  </chart>
</chartSpace>
</file>

<file path=xl/charts/chart5.xml><?xml version="1.0" encoding="utf-8"?>
<chartSpace xmlns="http://schemas.openxmlformats.org/drawingml/2006/chart">
  <style val="2"/>
  <chart>
    <title>
      <tx>
        <rich>
          <a:bodyPr xmlns:a="http://schemas.openxmlformats.org/drawingml/2006/main"/>
          <a:p xmlns:a="http://schemas.openxmlformats.org/drawingml/2006/main">
            <a:pPr>
              <a:defRPr/>
            </a:pPr>
            <a:r>
              <a:t>Ramo AHP - Dynamic risk score</a:t>
            </a:r>
          </a:p>
        </rich>
      </tx>
    </title>
    <plotArea>
      <lineChart>
        <grouping val="standard"/>
        <ser>
          <idx val="0"/>
          <order val="0"/>
          <tx>
            <strRef>
              <f>'ahp_branch'!H1</f>
            </strRef>
          </tx>
          <spPr>
            <a:ln xmlns:a="http://schemas.openxmlformats.org/drawingml/2006/main" w="18000">
              <a:solidFill>
                <a:srgbClr val="ED7D31"/>
              </a:solidFill>
              <a:prstDash val="solid"/>
            </a:ln>
          </spPr>
          <marker>
            <symbol val="none"/>
            <spPr>
              <a:ln xmlns:a="http://schemas.openxmlformats.org/drawingml/2006/main">
                <a:prstDash val="solid"/>
              </a:ln>
            </spPr>
          </marker>
          <cat>
            <numRef>
              <f>'ahp_branch'!$A$2:$A$33</f>
            </numRef>
          </cat>
          <val>
            <numRef>
              <f>'ahp_branch'!$H$2:$H$33</f>
            </numRef>
          </val>
        </ser>
        <axId val="10"/>
        <axId val="100"/>
      </lineChart>
      <catAx>
        <axId val="10"/>
        <scaling>
          <orientation val="minMax"/>
        </scaling>
        <axPos val="l"/>
        <title>
          <tx>
            <rich>
              <a:bodyPr xmlns:a="http://schemas.openxmlformats.org/drawingml/2006/main"/>
              <a:p xmlns:a="http://schemas.openxmlformats.org/drawingml/2006/main">
                <a:pPr>
                  <a:defRPr/>
                </a:pPr>
                <a:r>
                  <a:t>Window ID</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Dynamic risk score</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s>
</file>

<file path=xl/drawings/_rels/drawing2.xml.rels><Relationships xmlns="http://schemas.openxmlformats.org/package/2006/relationships"><Relationship Type="http://schemas.openxmlformats.org/officeDocument/2006/relationships/chart" Target="/xl/charts/chart2.xml" Id="rId1"/></Relationships>
</file>

<file path=xl/drawings/_rels/drawing3.xml.rels><Relationships xmlns="http://schemas.openxmlformats.org/package/2006/relationships"><Relationship Type="http://schemas.openxmlformats.org/officeDocument/2006/relationships/chart" Target="/xl/charts/chart3.xml" Id="rId1"/></Relationships>
</file>

<file path=xl/drawings/_rels/drawing4.xml.rels><Relationships xmlns="http://schemas.openxmlformats.org/package/2006/relationships"><Relationship Type="http://schemas.openxmlformats.org/officeDocument/2006/relationships/chart" Target="/xl/charts/chart4.xml" Id="rId1"/></Relationships>
</file>

<file path=xl/drawings/_rels/drawing5.xml.rels><Relationships xmlns="http://schemas.openxmlformats.org/package/2006/relationships"><Relationship Type="http://schemas.openxmlformats.org/officeDocument/2006/relationships/chart" Target="/xl/charts/chart5.xml" Id="rId1"/></Relationships>
</file>

<file path=xl/drawings/drawing1.xml><?xml version="1.0" encoding="utf-8"?>
<wsDr xmlns="http://schemas.openxmlformats.org/drawingml/2006/spreadsheetDrawing">
  <oneCellAnchor>
    <from>
      <col>15</col>
      <colOff>0</colOff>
      <row>1</row>
      <rowOff>0</rowOff>
    </from>
    <ext cx="5040000" cy="252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2.xml><?xml version="1.0" encoding="utf-8"?>
<wsDr xmlns="http://schemas.openxmlformats.org/drawingml/2006/spreadsheetDrawing">
  <oneCellAnchor>
    <from>
      <col>25</col>
      <colOff>0</colOff>
      <row>1</row>
      <rowOff>0</rowOff>
    </from>
    <ext cx="5040000" cy="252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3.xml><?xml version="1.0" encoding="utf-8"?>
<wsDr xmlns="http://schemas.openxmlformats.org/drawingml/2006/spreadsheetDrawing">
  <oneCellAnchor>
    <from>
      <col>11</col>
      <colOff>0</colOff>
      <row>1</row>
      <rowOff>0</rowOff>
    </from>
    <ext cx="5040000" cy="252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4.xml><?xml version="1.0" encoding="utf-8"?>
<wsDr xmlns="http://schemas.openxmlformats.org/drawingml/2006/spreadsheetDrawing">
  <oneCellAnchor>
    <from>
      <col>11</col>
      <colOff>0</colOff>
      <row>1</row>
      <rowOff>0</rowOff>
    </from>
    <ext cx="5040000" cy="252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5.xml><?xml version="1.0" encoding="utf-8"?>
<wsDr xmlns="http://schemas.openxmlformats.org/drawingml/2006/spreadsheetDrawing">
  <oneCellAnchor>
    <from>
      <col>11</col>
      <colOff>0</colOff>
      <row>1</row>
      <rowOff>0</rowOff>
    </from>
    <ext cx="5040000" cy="252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drawing" Target="/xl/drawings/drawing2.xml" Id="rId1"/></Relationships>
</file>

<file path=xl/worksheets/_rels/sheet3.xml.rels><Relationships xmlns="http://schemas.openxmlformats.org/package/2006/relationships"><Relationship Type="http://schemas.openxmlformats.org/officeDocument/2006/relationships/drawing" Target="/xl/drawings/drawing3.xml" Id="rId1"/></Relationships>
</file>

<file path=xl/worksheets/_rels/sheet4.xml.rels><Relationships xmlns="http://schemas.openxmlformats.org/package/2006/relationships"><Relationship Type="http://schemas.openxmlformats.org/officeDocument/2006/relationships/drawing" Target="/xl/drawings/drawing4.xml" Id="rId1"/></Relationships>
</file>

<file path=xl/worksheets/_rels/sheet5.xml.rels><Relationships xmlns="http://schemas.openxmlformats.org/package/2006/relationships"><Relationship Type="http://schemas.openxmlformats.org/officeDocument/2006/relationships/drawing" Target="/xl/drawings/drawing5.xml" Id="rId1"/></Relationships>
</file>

<file path=xl/worksheets/sheet1.xml><?xml version="1.0" encoding="utf-8"?>
<worksheet xmlns="http://schemas.openxmlformats.org/spreadsheetml/2006/main">
  <sheetPr>
    <outlinePr summaryBelow="1" summaryRight="1"/>
    <pageSetUpPr/>
  </sheetPr>
  <dimension ref="A1:BD33"/>
  <sheetViews>
    <sheetView showGridLines="1" zoomScale="80" workbookViewId="0">
      <pane ySplit="1" topLeftCell="A2" activePane="bottomLeft" state="frozen"/>
      <selection pane="bottomLeft" activeCell="A1" sqref="A1"/>
    </sheetView>
  </sheetViews>
  <sheetFormatPr baseColWidth="8" defaultRowHeight="15"/>
  <cols>
    <col width="6" customWidth="1" min="1" max="1"/>
    <col width="7" customWidth="1" min="2" max="2"/>
    <col width="7" customWidth="1" min="3" max="3"/>
    <col width="7" customWidth="1" min="4" max="4"/>
    <col width="18" customWidth="1" min="5" max="5"/>
    <col width="8" customWidth="1" min="6" max="6"/>
    <col width="16" customWidth="1" min="7" max="7"/>
    <col width="8" customWidth="1" min="8" max="8"/>
    <col width="7" customWidth="1" min="9" max="9"/>
    <col width="18" customWidth="1" min="10" max="10"/>
    <col width="18" customWidth="1" min="11" max="11"/>
    <col width="18" customWidth="1" min="12" max="12"/>
    <col width="8" customWidth="1" min="13" max="13"/>
    <col width="16" customWidth="1" min="14" max="14"/>
    <col width="8" customWidth="1" min="15" max="15"/>
    <col width="7" customWidth="1" min="16" max="16"/>
    <col width="8" customWidth="1" min="17" max="17"/>
    <col width="8" customWidth="1" min="18" max="18"/>
    <col width="7" customWidth="1" min="19" max="19"/>
    <col width="8" customWidth="1" min="20" max="20"/>
    <col width="18" customWidth="1" min="21" max="21"/>
    <col width="7" customWidth="1" min="22" max="22"/>
    <col width="8" customWidth="1" min="23" max="23"/>
    <col width="7" customWidth="1" min="24" max="24"/>
    <col width="8" customWidth="1" min="25" max="25"/>
    <col width="8" customWidth="1" min="26" max="26"/>
    <col width="7" customWidth="1" min="27" max="27"/>
    <col width="8" customWidth="1" min="28" max="28"/>
    <col width="7" customWidth="1" min="29" max="29"/>
    <col width="8" customWidth="1" min="30" max="30"/>
    <col width="8" customWidth="1" min="31" max="31"/>
    <col width="7" customWidth="1" min="32" max="32"/>
    <col width="8" customWidth="1" min="33" max="33"/>
    <col width="7" customWidth="1" min="34" max="34"/>
    <col width="8" customWidth="1" min="35" max="35"/>
    <col width="8" customWidth="1" min="36" max="36"/>
    <col width="7" customWidth="1" min="37" max="37"/>
    <col width="8" customWidth="1" min="38" max="38"/>
    <col width="7" customWidth="1" min="39" max="39"/>
    <col width="8" customWidth="1" min="40" max="40"/>
    <col width="8" customWidth="1" min="41" max="41"/>
    <col width="7" customWidth="1" min="42" max="42"/>
    <col width="8" customWidth="1" min="43" max="43"/>
    <col width="7" customWidth="1" min="44" max="44"/>
    <col width="8" customWidth="1" min="45" max="45"/>
    <col width="8" customWidth="1" min="46" max="46"/>
    <col width="7" customWidth="1" min="47" max="47"/>
    <col width="8" customWidth="1" min="48" max="48"/>
    <col width="7" customWidth="1" min="49" max="49"/>
    <col width="8" customWidth="1" min="50" max="50"/>
    <col width="8" customWidth="1" min="51" max="51"/>
    <col width="7" customWidth="1" min="52" max="52"/>
    <col width="8" customWidth="1" min="53" max="53"/>
    <col width="7" customWidth="1" min="54" max="54"/>
    <col width="8" customWidth="1" min="55" max="55"/>
    <col width="8" customWidth="1" min="56" max="56"/>
  </cols>
  <sheetData>
    <row r="1" ht="16" customHeight="1">
      <c r="A1" s="2" t="inlineStr">
        <is>
          <t>window_id</t>
        </is>
      </c>
      <c r="B1" s="2" t="inlineStr">
        <is>
          <t>start_time_s</t>
        </is>
      </c>
      <c r="C1" s="2" t="inlineStr">
        <is>
          <t>end_time_s</t>
        </is>
      </c>
      <c r="D1" s="2" t="inlineStr">
        <is>
          <t>window_duration_s</t>
        </is>
      </c>
      <c r="E1" s="3" t="inlineStr">
        <is>
          <t>free_descriptive_causal_output_json</t>
        </is>
      </c>
      <c r="F1" s="3" t="inlineStr">
        <is>
          <t>instantaneous_risk_score_vlm_free</t>
        </is>
      </c>
      <c r="G1" s="3" t="inlineStr">
        <is>
          <t>score_rationale_vlm_free</t>
        </is>
      </c>
      <c r="H1" s="3" t="inlineStr">
        <is>
          <t>dynamic_risk_score_vlm_free</t>
        </is>
      </c>
      <c r="I1" s="3" t="inlineStr">
        <is>
          <t>traffic_light_color_vlm_free</t>
        </is>
      </c>
      <c r="J1" s="4" t="inlineStr">
        <is>
          <t>descriptive_prompt_output_json</t>
        </is>
      </c>
      <c r="K1" s="4" t="inlineStr">
        <is>
          <t>question_set_prompt_output_json</t>
        </is>
      </c>
      <c r="L1" s="4" t="inlineStr">
        <is>
          <t>causal_prompt_output_json</t>
        </is>
      </c>
      <c r="M1" s="4" t="inlineStr">
        <is>
          <t>instantaneous_risk_score_vlm</t>
        </is>
      </c>
      <c r="N1" s="4" t="inlineStr">
        <is>
          <t>score_rationale_vlm</t>
        </is>
      </c>
      <c r="O1" s="4" t="inlineStr">
        <is>
          <t>dynamic_risk_score_vlm</t>
        </is>
      </c>
      <c r="P1" s="4" t="inlineStr">
        <is>
          <t>traffic_light_color_vlm</t>
        </is>
      </c>
      <c r="Q1" s="5" t="inlineStr">
        <is>
          <t>instantaneous_risk_score_ahp</t>
        </is>
      </c>
      <c r="R1" s="5" t="inlineStr">
        <is>
          <t>dynamic_risk_score_ahp</t>
        </is>
      </c>
      <c r="S1" s="5" t="inlineStr">
        <is>
          <t>traffic_light_color_ahp</t>
        </is>
      </c>
      <c r="T1" s="6" t="inlineStr">
        <is>
          <t>cue_confidence</t>
        </is>
      </c>
      <c r="U1" s="6" t="inlineStr">
        <is>
          <t>diagnostic_notes</t>
        </is>
      </c>
      <c r="V1" s="6" t="inlineStr">
        <is>
          <t>S1_raw</t>
        </is>
      </c>
      <c r="W1" s="6" t="inlineStr">
        <is>
          <t>S1_transformed</t>
        </is>
      </c>
      <c r="X1" s="6" t="inlineStr">
        <is>
          <t>S1_weight</t>
        </is>
      </c>
      <c r="Y1" s="6" t="inlineStr">
        <is>
          <t>S1_contribution</t>
        </is>
      </c>
      <c r="Z1" s="6" t="inlineStr">
        <is>
          <t>S1_contribution_pct</t>
        </is>
      </c>
      <c r="AA1" s="6" t="inlineStr">
        <is>
          <t>S2_raw</t>
        </is>
      </c>
      <c r="AB1" s="6" t="inlineStr">
        <is>
          <t>S2_transformed</t>
        </is>
      </c>
      <c r="AC1" s="6" t="inlineStr">
        <is>
          <t>S2_weight</t>
        </is>
      </c>
      <c r="AD1" s="6" t="inlineStr">
        <is>
          <t>S2_contribution</t>
        </is>
      </c>
      <c r="AE1" s="6" t="inlineStr">
        <is>
          <t>S2_contribution_pct</t>
        </is>
      </c>
      <c r="AF1" s="6" t="inlineStr">
        <is>
          <t>S3_raw</t>
        </is>
      </c>
      <c r="AG1" s="6" t="inlineStr">
        <is>
          <t>S3_transformed</t>
        </is>
      </c>
      <c r="AH1" s="6" t="inlineStr">
        <is>
          <t>S3_weight</t>
        </is>
      </c>
      <c r="AI1" s="6" t="inlineStr">
        <is>
          <t>S3_contribution</t>
        </is>
      </c>
      <c r="AJ1" s="6" t="inlineStr">
        <is>
          <t>S3_contribution_pct</t>
        </is>
      </c>
      <c r="AK1" s="6" t="inlineStr">
        <is>
          <t>S4_raw</t>
        </is>
      </c>
      <c r="AL1" s="6" t="inlineStr">
        <is>
          <t>S4_transformed</t>
        </is>
      </c>
      <c r="AM1" s="6" t="inlineStr">
        <is>
          <t>S4_weight</t>
        </is>
      </c>
      <c r="AN1" s="6" t="inlineStr">
        <is>
          <t>S4_contribution</t>
        </is>
      </c>
      <c r="AO1" s="6" t="inlineStr">
        <is>
          <t>S4_contribution_pct</t>
        </is>
      </c>
      <c r="AP1" s="6" t="inlineStr">
        <is>
          <t>S5_raw</t>
        </is>
      </c>
      <c r="AQ1" s="6" t="inlineStr">
        <is>
          <t>S5_transformed</t>
        </is>
      </c>
      <c r="AR1" s="6" t="inlineStr">
        <is>
          <t>S5_weight</t>
        </is>
      </c>
      <c r="AS1" s="6" t="inlineStr">
        <is>
          <t>S5_contribution</t>
        </is>
      </c>
      <c r="AT1" s="6" t="inlineStr">
        <is>
          <t>S5_contribution_pct</t>
        </is>
      </c>
      <c r="AU1" s="6" t="inlineStr">
        <is>
          <t>S6_raw</t>
        </is>
      </c>
      <c r="AV1" s="6" t="inlineStr">
        <is>
          <t>S6_transformed</t>
        </is>
      </c>
      <c r="AW1" s="6" t="inlineStr">
        <is>
          <t>S6_weight</t>
        </is>
      </c>
      <c r="AX1" s="6" t="inlineStr">
        <is>
          <t>S6_contribution</t>
        </is>
      </c>
      <c r="AY1" s="6" t="inlineStr">
        <is>
          <t>S6_contribution_pct</t>
        </is>
      </c>
      <c r="AZ1" s="6" t="inlineStr">
        <is>
          <t>S7_raw</t>
        </is>
      </c>
      <c r="BA1" s="6" t="inlineStr">
        <is>
          <t>S7_transformed</t>
        </is>
      </c>
      <c r="BB1" s="6" t="inlineStr">
        <is>
          <t>S7_weight</t>
        </is>
      </c>
      <c r="BC1" s="6" t="inlineStr">
        <is>
          <t>S7_contribution</t>
        </is>
      </c>
      <c r="BD1" s="6" t="inlineStr">
        <is>
          <t>S7_contribution_pct</t>
        </is>
      </c>
    </row>
    <row r="2" ht="34" customHeight="1">
      <c r="A2" s="7" t="n">
        <v>0</v>
      </c>
      <c r="B2" s="7" t="n">
        <v>0</v>
      </c>
      <c r="C2" s="7" t="n">
        <v>4</v>
      </c>
      <c r="D2" s="7" t="n">
        <v>4</v>
      </c>
      <c r="E2" s="7" t="inlineStr">
        <is>
          <t>{"descrizione_generale": "La scena si svolge all'interno di un impianto industriale, presumibilmente di stampaggio plastico, con due operatori posizionati vicino a un grande macchinario.", "contesto": "Ambiente di produzione manifatturiera, caratterizzato dalla presenza di pile di sedie in plastica colorate e sacchi di stoccaggio sullo sfondo.", "persone_presenti": [{"ruolo": "Operatore 1", "posizione": "In piedi sul lato sinistro, molto vicino alla zona di apertura/chiusura dello stampo della pressa.", "abbigliamento_dpi": "Indossa una maglietta rosa e un cappellino nero. Non si osservano DPI visibili come occhiali di sicurezza, guanti o protezione acustica."}, {"ruolo": "Operatore 2", "posizione": "In piedi sul lato destro, adiacente al pannello di controllo del macchinario.", "abbigliamento_dpi": "Indossa una maglietta blu e un guanto protettivo blu sulla mano sinistra sollevata verso il pannello."}], "macchinari_e_oggetti": {"macchinario_principale": "Pressa a iniezione per plastica di grandi dimensioni, di colore arancione e grigio, dotata di un pannello di controllo digitale attivo sulla destra.", "altri_oggetti": "Sedie di plastica impilate (verdi, rosse, blu), sacchi bianchi contenenti materiali e bobine o cilindri neri a sinistra."}, "azioni_osservabili": "L'operatore con la maglietta rosa è rivolto verso l'interno della macchina, osservando da vicino la zona dello stampo. L'operatore sulla destra tiene la mano vicino al pannello di controllo e guarda verso l'alto o verso il collega.", "condizioni_ambientali": "Illuminazione interna artificiale standard. Lo spazio di lavoro immediato attorno alla macchina è libero da ostacoli a terra, sebbene lo sfondo sia densamente occupato da materiali stoccati.", "limiti_visivi": "La visuale interna della pressa è parzialmente ostruita dalla struttura metallica e dalla posizione fisica dell'operatore in maglietta rosa.", "analisi_rischi": {"dinamica_in_corso": "Presenza di un operatore a distanza ravvicinata da parti meccaniche potenzialmente mobili (zona stampo) mentre un altro operatore si trova vicino ai comandi di attivazione.", "sviluppi_rischiosi": "Rischio di schiacciamento, cesoiamento o intrappolamento degli arti superiori qualora la pressa venisse avviata accidentalmente o si attivasse automaticamente durante l'ispezione visiva ravvicinata.", "fattori_contribuenti": "Mancato uso di DPI facciali/oculari per l'operatore vicino allo stampo e potenziale mancanza di barriere fisiche di sicurezza attive o di procedure di Lockout/Tagout visibili durante l'ispezione."}}</t>
        </is>
      </c>
      <c r="F2" s="7" t="n">
        <v>85</v>
      </c>
      <c r="G2" s="7" t="inlineStr">
        <is>
          <t>La situazione presenta un rischio elevato (85/100) a causa della presenza ravvicinata dell'Operatore 1 alla zona di movimento dello stampo della pressa senza DPI visibili, in concomitanza con la posizione dell'Operatore 2 vicino al pannello di controllo. Questa configurazione espone a un grave pericolo di schiacciamento, cesoiamento o intrappolamento degli arti in caso di attivazione accidentale o automatica del macchinario, aggravato dall'assenza di barriere fisiche di protezione visibili o di procedure di Lockout/Tagout.</t>
        </is>
      </c>
      <c r="H2" s="7" t="n">
        <v>85</v>
      </c>
      <c r="I2" s="8" t="inlineStr">
        <is>
          <t>rosso</t>
        </is>
      </c>
      <c r="J2" s="7" t="inlineStr">
        <is>
          <t>{"scene_state": "Interno di un reparto industriale per la lavorazione della plastica.", "environmental_conditions": ["Illuminazione artificiale", "Ambiente chiuso"], "people": ["Operatore con maglietta rosa e cappellino scuro, rivolto verso il macchinario", "Operatore con maglietta blu, situato sul lato destro"], "objects": ["Sedie in plastica colorate impilate", "Sacchi bianchi di materiale", "Bobine o cilindri neri", "Pannello di controllo digitale"], "machines": ["Pressa industriale per stampaggio a iniezione di colore arancione e grigio"], "observable_actions": ["L'operatore in rosa è in piedi vicino all'apertura della macchina", "L'operatore in blu guarda verso l'alto o verso il pannello di controllo"], "visible_ppe": ["Guanto da lavoro blu sulla mano sinistra dell'operatore a destra"], "notes_visibility_limitations": "Inquadratura fissa dall'alto. I soggetti sono visibili solo parzialmente (busto in su)."}</t>
        </is>
      </c>
      <c r="K2" s="7" t="inlineStr">
        <is>
          <t>{"unsafe_behaviors": ["Operatore in rosa posizionato vicino all'apertura della pressa senza barriere visibili", "Mancato rilevamento di DPI completi (es. protezione facciale/occhiali) in prossimità della pressa"], "vulnerable_elements": ["Operatore con maglietta rosa", "Operatore con maglietta blu"], "risk_cues": {"S1_people_vehicle_interference": 0.0, "S2_visibility_attention_reduction": 0.25, "S3_non_compliant_behavior": 0.25, "S4_vehicle_infrastructure_interference": 0.0, "S5_storage_structural_instability": 0.0, "S6_access_to_moving_mechanical_parts": 0.5, "S7_manual_handling_heavy_unstable_loads": 0.0}, "cue_confidence": 0.7, "diagnostic_notes": "La prossimità dell'operatore in rosa all'apertura della pressa a iniezione (S6) rappresenta l'elemento di attenzione principale. La visuale dall'alto e parziale limita la valutazione completa dei DPI e dello stato di attivazione delle barriere di sicurezza della macchina."}</t>
        </is>
      </c>
      <c r="L2" s="7" t="inlineStr">
        <is>
          <t>{"causal_chain_plausible": true, "causal_chain_text": "La prossimità dell'operatore in rosa all'apertura della pressa, in assenza di barriere di protezione visibili, espone il lavoratore al rischio di contatto con organi in movimento o materiale fuso. Un avvio accidentale o un movimento involontario può causare l'intrusione degli arti nella zona di pericolo.", "near_miss_or_incident_scenario": "Schiacciamento o intrappolamento degli arti superiori nella pressa per stampaggio a iniezione, oppure ustione da contatto con polimero fuso ad alta temperatura.", "contributing_factors": ["Posizionamento dell'operatore in rosa adiacente all'apertura della macchina senza barriere fisiche o optoelettroniche evidenti.", "Mancato rilevamento di DPI protettivi completi per le mani e il viso in prossimità di una zona a rischio termico e meccanico."]}</t>
        </is>
      </c>
      <c r="M2" s="7" t="n">
        <v>55</v>
      </c>
      <c r="N2" s="7" t="inlineStr">
        <is>
          <t>Il punteggio riflette un rischio significativo dovuto alla vicinanza dell'operatore all'apertura della pressa a iniezione senza barriere protettive visibili, esponendolo a potenziali lesioni gravi. La parziale visibilità dall'alto limita tuttavia la valutazione completa dei DPI e dei sistemi di sicurezza attivi.</t>
        </is>
      </c>
      <c r="O2" s="7" t="n">
        <v>55</v>
      </c>
      <c r="P2" s="9" t="inlineStr">
        <is>
          <t>arancione</t>
        </is>
      </c>
      <c r="Q2" s="7" t="n">
        <v>35.26</v>
      </c>
      <c r="R2" s="7" t="n">
        <v>35.26</v>
      </c>
      <c r="S2" s="10" t="inlineStr">
        <is>
          <t>giallo</t>
        </is>
      </c>
      <c r="T2" s="7" t="n">
        <v>0.7</v>
      </c>
      <c r="U2" s="7" t="inlineStr">
        <is>
          <t>La prossimità dell'operatore in rosa all'apertura della pressa a iniezione (S6) rappresenta l'elemento di attenzione principale. La visuale dall'alto e parziale limita la valutazione completa dei DPI e dello stato di attivazione delle barriere di sicurezza della macchina.</t>
        </is>
      </c>
      <c r="V2" s="7" t="n">
        <v>0</v>
      </c>
      <c r="W2" s="7" t="n">
        <v>0</v>
      </c>
      <c r="X2" s="7" t="n">
        <v>0.1109</v>
      </c>
      <c r="Y2" s="7" t="n">
        <v>0</v>
      </c>
      <c r="Z2" s="7" t="n">
        <v>0</v>
      </c>
      <c r="AA2" s="7" t="n">
        <v>0.25</v>
      </c>
      <c r="AB2" s="7" t="n">
        <v>0.5553</v>
      </c>
      <c r="AC2" s="7" t="n">
        <v>0.037</v>
      </c>
      <c r="AD2" s="7" t="n">
        <v>2.0546</v>
      </c>
      <c r="AE2" s="7" t="n">
        <v>5.83</v>
      </c>
      <c r="AF2" s="7" t="n">
        <v>0.25</v>
      </c>
      <c r="AG2" s="7" t="n">
        <v>0.2689</v>
      </c>
      <c r="AH2" s="7" t="n">
        <v>0.0549</v>
      </c>
      <c r="AI2" s="7" t="n">
        <v>1.4763</v>
      </c>
      <c r="AJ2" s="7" t="n">
        <v>4.19</v>
      </c>
      <c r="AK2" s="7" t="n">
        <v>0</v>
      </c>
      <c r="AL2" s="7" t="n">
        <v>0.008200000000000001</v>
      </c>
      <c r="AM2" s="7" t="n">
        <v>0.1538</v>
      </c>
      <c r="AN2" s="7" t="n">
        <v>0.1261</v>
      </c>
      <c r="AO2" s="7" t="n">
        <v>0.36</v>
      </c>
      <c r="AP2" s="7" t="n">
        <v>0</v>
      </c>
      <c r="AQ2" s="7" t="n">
        <v>0</v>
      </c>
      <c r="AR2" s="7" t="n">
        <v>0.2228</v>
      </c>
      <c r="AS2" s="7" t="n">
        <v>0</v>
      </c>
      <c r="AT2" s="7" t="n">
        <v>0</v>
      </c>
      <c r="AU2" s="7" t="n">
        <v>0.5</v>
      </c>
      <c r="AV2" s="7" t="n">
        <v>0.9167999999999999</v>
      </c>
      <c r="AW2" s="7" t="n">
        <v>0.3447</v>
      </c>
      <c r="AX2" s="7" t="n">
        <v>31.6021</v>
      </c>
      <c r="AY2" s="7" t="n">
        <v>89.63</v>
      </c>
      <c r="AZ2" s="7" t="n">
        <v>0</v>
      </c>
      <c r="BA2" s="7" t="n">
        <v>0</v>
      </c>
      <c r="BB2" s="7" t="n">
        <v>0.0759</v>
      </c>
      <c r="BC2" s="7" t="n">
        <v>0</v>
      </c>
      <c r="BD2" s="7" t="n">
        <v>0</v>
      </c>
    </row>
    <row r="3" ht="34" customHeight="1">
      <c r="A3" s="7" t="n">
        <v>1</v>
      </c>
      <c r="B3" s="7" t="n">
        <v>2</v>
      </c>
      <c r="C3" s="7" t="n">
        <v>6</v>
      </c>
      <c r="D3" s="7" t="n">
        <v>4</v>
      </c>
      <c r="E3" s="7" t="inlineStr">
        <is>
          <t>{"finestra_temporale": {"inizio_s": 2.0, "fine_s": 6.0, "durata_s": 4.0}, "descrizione_generale": "La scena si svolge all'interno di un impianto industriale, presumibilmente di stampaggio plastico, dove un operatore interagisce direttamente con l'area interna di un grosso macchinario.", "contesto_industriale": "Fabbrica di produzione o lavorazione di materie plastiche, evidenziata dalle pile di sedie colorate sullo sfondo e dalla pressa a iniezione.", "persone_presenti": [{"ruolo_apparente": "Operatore attivo", "abbigliamento": "T-shirt rosa, cappellino nero girato all'indietro", "posizione": "Di spalle, di fronte alla pressa"}, {"ruolo_apparente": "Osservatore / Collega", "abbigliamento": "T-shirt blu", "posizione": "In primo piano a destra, osserva l'operatore"}], "macchinari_e_oggetti": {"macchinario_principale": "Pressa a iniezione industriale (marca MIR) di colore arancione con pannello di controllo digitale sul lato destro.", "oggetti_sfondo": "Sedie in plastica impilate (verdi, rosse, blu), sacchi bianchi di materiale, bobine o cilindri neri a sinistra."}, "azioni_osservabili": "L'operatore in maglia rosa inserisce il braccio destro all'interno della zona di stampaggio/chiusura della pressa, effettuando una regolazione o un intervento manuale.", "condizioni_ambientali": "Illuminazione interna artificiale standard, spazi di passaggio parzialmente occupati da materiali di produzione.", "limiti_visibilita": "La schiena dell'operatore occlude la vista dettagliata delle mani e del punto esatto di contatto all'interno del macchinario. La testa dell'osservatore copre la parte inferiore destra dell'inquadratura.", "analisi_sicurezza": {"dpi_rilevati": "Nessun DPI visibile (mancanza di elmetto, occhiali protettivi, guanti o protezione acustica).", "ragionamento_causale_e_rischi": "L'introduzione degli arti superiori all'interno della camera di stampaggio di una pressa rappresenta un rischio critico di schiacciamento, amputazione o gravi ustioni se la macchina non è spenta e isolata.", "sviluppi_rischiosi_plausibili": "Chiusura accidentale dello stampo per guasto meccanico/elettrico o avvio involontario, con conseguente grave infortunio all'arto dell'operatore.", "fattori_contribuenti": "Assenza di evidenze visibili di procedure di Lockout/Tagout (LOTO) e mancanza di barriere fisiche di sicurezza attive durante l'intervento manuale."}}</t>
        </is>
      </c>
      <c r="F3" s="7" t="n">
        <v>95</v>
      </c>
      <c r="G3" s="7" t="inlineStr">
        <is>
          <t>L'operatore inserisce l'intero braccio destro all'interno della zona di stampaggio di una pressa a iniezione senza DPI visibili e senza evidenza di procedure di Lockout/Tagout (LOTO) o barriere di sicurezza attive. Questa azione comporta un rischio critico e immediato di schiacciamento, amputazione o gravi ustioni in caso di attivazione accidentale o guasto del macchinario.</t>
        </is>
      </c>
      <c r="H3" s="7" t="n">
        <v>93.5</v>
      </c>
      <c r="I3" s="8" t="inlineStr">
        <is>
          <t>rosso</t>
        </is>
      </c>
      <c r="J3" s="7" t="inlineStr">
        <is>
          <t>{"scene_state": "Interno di uno stabilimento industriale per la lavorazione di materie plastiche.", "environmental_conditions": ["Illuminazione artificiale costante", "Presenza di materiali e prodotti stoccati nelle vicinanze"], "people": ["Operatore di spalle con t-shirt rosa e cappellino nero", "Operatore in primo piano a destra che guarda verso la macchina"], "objects": ["Sedie in plastica colorate impilate", "Sacchi bianchi di materiale", "Componenti cilindrici neri", "Pannello di controllo digitale"], "machines": ["Pressa industriale per stampaggio a iniezione di colore arancione"], "observable_actions": ["L'operatore in t-shirt rosa si avvicina alla pressa", "L'operatore introduce la mano destra all'interno dell'area di stampaggio della macchina aperta"], "visible_ppe": ["Nessun DPI visibile (assenza di guanti, occhiali protettivi o elmetto sui soggetti)"], "notes_visibility_limitations": "La posizione dell'operatore in rosa copre parzialmente la visuale interna della macchina nel punto di contatto."}</t>
        </is>
      </c>
      <c r="K3" s="7" t="inlineStr">
        <is>
          <t>{"unsafe_behaviors": ["Introduzione della mano all'interno dell'area di stampaggio della pressa aperta", "Mancato utilizzo dei dispositivi di protezione individuale (DPI) come guanti e protezione oculare"], "vulnerable_elements": ["Operatore con t-shirt rosa e cappellino nero"], "risk_cues": {"S1_people_vehicle_interference": 0.0, "S2_visibility_attention_reduction": 0.25, "S3_non_compliant_behavior": 0.75, "S4_vehicle_infrastructure_interference": 0.0, "S5_storage_structural_instability": 0.0, "S6_access_to_moving_mechanical_parts": 0.75, "S7_manual_handling_heavy_unstable_loads": 0.0}, "cue_confidence": 0.85, "diagnostic_notes": "L'operatore in t-shirt rosa inserisce la mano destra nella zona di stampaggio di una pressa industriale aperta senza DPI visibili. Questo comportamento genera un rischio elevato di accesso a organi meccanici (S6) e costituisce un comportamento non conforme (S3). La posizione dell'operatore limita parzialmente la visibilità del punto esatto di contatto, ma l'azione di inserimento è chiaramente identificabile."}</t>
        </is>
      </c>
      <c r="L3" s="7" t="inlineStr">
        <is>
          <t>{"causal_chain_plausible": true, "causal_chain_text": "L'operatore introduce la mano destra nell'area di stampaggio della pressa aperta. Un avvio intempestivo della macchina o un movimento meccanico residuo, in assenza di barriere di sicurezza o procedure di isolamento, causa il contatto diretto con gli organi pressanti.", "near_miss_or_incident_scenario": "Schiacciamento o amputazione della mano destra dell'operatore all'interno della pressa per stampaggio a iniezione durante l'intervento manuale.", "contributing_factors": ["Accesso manuale diretto all'area di stampaggio della pressa", "Mancato utilizzo di dispositivi di protezione individuale (guanti)", "Possibile assenza di barriere di sicurezza attive o procedure di Lockout/Tagout"]}</t>
        </is>
      </c>
      <c r="M3" s="7" t="n">
        <v>85</v>
      </c>
      <c r="N3" s="7" t="inlineStr">
        <is>
          <t>L'inserimento della mano nell'area di stampaggio di una pressa aperta, senza DPI e in assenza di barriere di sicurezza visibili, espone l'operatore a un rischio imminente di schiacciamento o amputazione. Questo comportamento altamente non conforme richiede l'arresto immediato dell'attività per prevenire un grave infortunio.</t>
        </is>
      </c>
      <c r="O3" s="7" t="n">
        <v>80.5</v>
      </c>
      <c r="P3" s="8" t="inlineStr">
        <is>
          <t>rosso</t>
        </is>
      </c>
      <c r="Q3" s="7" t="n">
        <v>41.89</v>
      </c>
      <c r="R3" s="7" t="n">
        <v>40.9</v>
      </c>
      <c r="S3" s="10" t="inlineStr">
        <is>
          <t>giallo</t>
        </is>
      </c>
      <c r="T3" s="7" t="n">
        <v>0.85</v>
      </c>
      <c r="U3" s="7" t="inlineStr">
        <is>
          <t>L'operatore in t-shirt rosa inserisce la mano destra nella zona di stampaggio di una pressa industriale aperta senza DPI visibili. Questo comportamento genera un rischio elevato di accesso a organi meccanici (S6) e costituisce un comportamento non conforme (S3). La posizione dell'operatore limita parzialmente la visibilità del punto esatto di contatto, ma l'azione di inserimento è chiaramente identificabile.</t>
        </is>
      </c>
      <c r="V3" s="7" t="n">
        <v>0</v>
      </c>
      <c r="W3" s="7" t="n">
        <v>0</v>
      </c>
      <c r="X3" s="7" t="n">
        <v>0.1109</v>
      </c>
      <c r="Y3" s="7" t="n">
        <v>0</v>
      </c>
      <c r="Z3" s="7" t="n">
        <v>0</v>
      </c>
      <c r="AA3" s="7" t="n">
        <v>0.25</v>
      </c>
      <c r="AB3" s="7" t="n">
        <v>0.5553</v>
      </c>
      <c r="AC3" s="7" t="n">
        <v>0.037</v>
      </c>
      <c r="AD3" s="7" t="n">
        <v>2.0546</v>
      </c>
      <c r="AE3" s="7" t="n">
        <v>4.9</v>
      </c>
      <c r="AF3" s="7" t="n">
        <v>0.75</v>
      </c>
      <c r="AG3" s="7" t="n">
        <v>0.982</v>
      </c>
      <c r="AH3" s="7" t="n">
        <v>0.0549</v>
      </c>
      <c r="AI3" s="7" t="n">
        <v>5.3912</v>
      </c>
      <c r="AJ3" s="7" t="n">
        <v>12.87</v>
      </c>
      <c r="AK3" s="7" t="n">
        <v>0</v>
      </c>
      <c r="AL3" s="7" t="n">
        <v>0.008200000000000001</v>
      </c>
      <c r="AM3" s="7" t="n">
        <v>0.1538</v>
      </c>
      <c r="AN3" s="7" t="n">
        <v>0.1261</v>
      </c>
      <c r="AO3" s="7" t="n">
        <v>0.3</v>
      </c>
      <c r="AP3" s="7" t="n">
        <v>0</v>
      </c>
      <c r="AQ3" s="7" t="n">
        <v>0</v>
      </c>
      <c r="AR3" s="7" t="n">
        <v>0.2228</v>
      </c>
      <c r="AS3" s="7" t="n">
        <v>0</v>
      </c>
      <c r="AT3" s="7" t="n">
        <v>0</v>
      </c>
      <c r="AU3" s="7" t="n">
        <v>0.75</v>
      </c>
      <c r="AV3" s="7" t="n">
        <v>0.9955000000000001</v>
      </c>
      <c r="AW3" s="7" t="n">
        <v>0.3447</v>
      </c>
      <c r="AX3" s="7" t="n">
        <v>34.3149</v>
      </c>
      <c r="AY3" s="7" t="n">
        <v>81.92</v>
      </c>
      <c r="AZ3" s="7" t="n">
        <v>0</v>
      </c>
      <c r="BA3" s="7" t="n">
        <v>0</v>
      </c>
      <c r="BB3" s="7" t="n">
        <v>0.0759</v>
      </c>
      <c r="BC3" s="7" t="n">
        <v>0</v>
      </c>
      <c r="BD3" s="7" t="n">
        <v>0</v>
      </c>
    </row>
    <row r="4" ht="34" customHeight="1">
      <c r="A4" s="7" t="n">
        <v>2</v>
      </c>
      <c r="B4" s="7" t="n">
        <v>4</v>
      </c>
      <c r="C4" s="7" t="n">
        <v>8</v>
      </c>
      <c r="D4" s="7" t="n">
        <v>4</v>
      </c>
      <c r="E4" s="7" t="inlineStr">
        <is>
          <t>{"analisi_temporale": {"inizio_s": 4.0, "fine_s": 8.0, "nota_clip": "Analisi condotta sulla sequenza di estrazione del pezzo stampato."}, "contesto_ambientale": {"descrizione_scena": "Interno di un impianto industriale per lo stampaggio di materie plastiche. Sullo sfondo sono visibili prodotti finiti impilati e sacchi di materia prima.", "condizioni_visive": "Illuminazione artificiale standard. La telecamera ravvicinata limita la visuale completa dei sistemi di sicurezza inferiori e laterali della pressa."}, "soggetti_e_dispositivi": {"personale_presente": [{"identificativo": "Operatore", "posizione": "Adiacente alla zona stampo", "dpi_rilevati": "Nessun DPI visibile. Mancanza di guanti protettivi, occhiali di sicurezza e calzature di sicurezza non verificabili."}, {"identificativo": "Collaboratore", "posizione": "In primo piano, osserva l'operazione", "dpi_rilevati": "Nessun DPI visibile."}], "macchinari": {"tipo": "Pressa a iniezione per plastica (marca MIR)", "stato_operativo": "Stampo aperto per consentire la rimozione manuale del pezzo."}}, "analisi_rischi_e_dinamiche": {"azione_rilevata": "L'operatore inserisce le mani nude all'interno della pressa aperta per estrarre manualmente un componente plastico nero.", "fattori_contribuenti": ["Mancanza di guanti protettivi durante la manipolazione di parti potenzialmente calde.", "Interazione diretta con l'area di stampaggio senza barriere fisiche attive visibili nel momento dell'estrazione."], "sviluppi_rischiosi_plausibili": ["Rischio di ustione da contatto con plastica ad alta temperatura o parti calde della macchina.", "Rischio di schiacciamento degli arti superiori in caso di avvio accidentale o cedimento dei sistemi di blocco dello stampo."], "valutazione_sintetica": "La procedura presenta criticità di sicurezza legate alla manipolazione diretta a mani nude all'interno di un'area a rischio meccanico e termico."}}</t>
        </is>
      </c>
      <c r="F4" s="7" t="n">
        <v>85</v>
      </c>
      <c r="G4" s="7" t="inlineStr">
        <is>
          <t>Il punteggio di 85 riflette un rischio molto elevato. L'operatore inserisce le mani nude all'interno della pressa a iniezione senza guanti protettivi, esponendosi a gravi rischi di ustione termica dovuta al contatto con il pezzo caldo o lo stampo. Inoltre, l'assenza di barriere visibili e l'interazione diretta con la zona di stampaggio comportano un grave rischio di schiacciamento degli arti superiori in caso di malfunzionamento o avvio accidentale del macchinario.</t>
        </is>
      </c>
      <c r="H4" s="7" t="n">
        <v>88.40000000000001</v>
      </c>
      <c r="I4" s="8" t="inlineStr">
        <is>
          <t>rosso</t>
        </is>
      </c>
      <c r="J4" s="7" t="inlineStr">
        <is>
          <t>{"scene_state": "Ambiente industriale, reparto stampaggio materie plastiche.", "environmental_conditions": ["Illuminazione artificiale interna", "Spazio di lavoro con materiali stoccati sullo sfondo"], "people": ["Operatore con maglietta rosa e cappellino nero", "Uomo in primo piano con maglietta blu che osserva"], "objects": ["Sedie in plastica impilate (verdi, rosse, blu)", "Sacchi bianchi", "Pezzo stampato in plastica nera di forma circolare"], "machines": ["Pressa per stampaggio a iniezione di colore arancione e grigio con pannello di controllo"], "observable_actions": ["L'operatore infila le mani all'interno della pressa", "L'operatore preleva un pezzo circolare in plastica nera appena stampato"], "visible_ppe": ["Nessun DPI visibile (l'operatore indossa solo un cappellino in tessuto)"], "notes_visibility_limitations": "Inquadratura ravvicinata che limita la visuale della parte inferiore del corpo dei soggetti e dell'intera area di lavoro."}</t>
        </is>
      </c>
      <c r="K4" s="7" t="inlineStr">
        <is>
          <t>{"unsafe_behaviors": ["Accesso manuale all'interno della pressa senza DPI visibili (guanti di protezione)", "Mancanza di dispositivi di protezione individuale per la manipolazione di elementi potenzialmente caldi"], "vulnerable_elements": ["Operatore con maglietta rosa e cappellino nero"], "risk_cues": {"S1_people_vehicle_interference": 0.0, "S2_visibility_attention_reduction": 0.25, "S3_non_compliant_behavior": 0.75, "S4_vehicle_infrastructure_interference": 0.0, "S5_storage_structural_instability": 0.0, "S6_access_to_moving_mechanical_parts": 0.75, "S7_manual_handling_heavy_unstable_loads": 0.0}, "cue_confidence": 0.85, "diagnostic_notes": "L'operatore inserisce le mani nude all'interno della pressa per stampaggio a iniezione per prelevare il pezzo stampato, evidenziando un rischio di accesso a organi meccanici/aree calde (S6) e un comportamento non conforme per assenza di DPI visibili come guanti protettivi (S3). L'inquadratura ravvicinata limita parzialmente la visibilità spaziale complessiva (S2)."}</t>
        </is>
      </c>
      <c r="L4" s="7" t="inlineStr">
        <is>
          <t>{"causal_chain_plausible": true, "causal_chain_text": "L'operatore inserisce le mani nude all'interno della pressa per prelevare il pezzo stampato. L'assenza di guanti protettivi espone l'operatore al contatto diretto con superfici ad alta temperatura o con parti meccaniche che potrebbero muoversi improvvisamente, causando lesioni.", "near_miss_or_incident_scenario": "Ustione da contatto termico con il pezzo in plastica appena stampato o con le parti calde della pressa, oppure schiacciamento degli arti superiori dovuto a un movimento imprevisto della macchina.", "contributing_factors": ["Mancato utilizzo di DPI idonei (guanti protettivi)", "Accesso manuale diretto all'interno della camera di stampaggio della pressa", "Manipolazione diretta di un pezzo potenzialmente caldo appena stampato"]}</t>
        </is>
      </c>
      <c r="M4" s="7" t="n">
        <v>75</v>
      </c>
      <c r="N4" s="7" t="inlineStr">
        <is>
          <t>Il punteggio riflette un rischio elevato dovuto all'accesso manuale diretto all'interno della pressa senza l'uso di guanti protettivi. Questa azione espone l'operatore a gravi pericoli di ustione termica e schiacciamento degli arti superiori.</t>
        </is>
      </c>
      <c r="O4" s="7" t="n">
        <v>77.2</v>
      </c>
      <c r="P4" s="8" t="inlineStr">
        <is>
          <t>rosso</t>
        </is>
      </c>
      <c r="Q4" s="7" t="n">
        <v>41.89</v>
      </c>
      <c r="R4" s="7" t="n">
        <v>41.49</v>
      </c>
      <c r="S4" s="10" t="inlineStr">
        <is>
          <t>giallo</t>
        </is>
      </c>
      <c r="T4" s="7" t="n">
        <v>0.85</v>
      </c>
      <c r="U4" s="7" t="inlineStr">
        <is>
          <t>L'operatore inserisce le mani nude all'interno della pressa per stampaggio a iniezione per prelevare il pezzo stampato, evidenziando un rischio di accesso a organi meccanici/aree calde (S6) e un comportamento non conforme per assenza di DPI visibili come guanti protettivi (S3). L'inquadratura ravvicinata limita parzialmente la visibilità spaziale complessiva (S2).</t>
        </is>
      </c>
      <c r="V4" s="7" t="n">
        <v>0</v>
      </c>
      <c r="W4" s="7" t="n">
        <v>0</v>
      </c>
      <c r="X4" s="7" t="n">
        <v>0.1109</v>
      </c>
      <c r="Y4" s="7" t="n">
        <v>0</v>
      </c>
      <c r="Z4" s="7" t="n">
        <v>0</v>
      </c>
      <c r="AA4" s="7" t="n">
        <v>0.25</v>
      </c>
      <c r="AB4" s="7" t="n">
        <v>0.5553</v>
      </c>
      <c r="AC4" s="7" t="n">
        <v>0.037</v>
      </c>
      <c r="AD4" s="7" t="n">
        <v>2.0546</v>
      </c>
      <c r="AE4" s="7" t="n">
        <v>4.9</v>
      </c>
      <c r="AF4" s="7" t="n">
        <v>0.75</v>
      </c>
      <c r="AG4" s="7" t="n">
        <v>0.982</v>
      </c>
      <c r="AH4" s="7" t="n">
        <v>0.0549</v>
      </c>
      <c r="AI4" s="7" t="n">
        <v>5.3912</v>
      </c>
      <c r="AJ4" s="7" t="n">
        <v>12.87</v>
      </c>
      <c r="AK4" s="7" t="n">
        <v>0</v>
      </c>
      <c r="AL4" s="7" t="n">
        <v>0.008200000000000001</v>
      </c>
      <c r="AM4" s="7" t="n">
        <v>0.1538</v>
      </c>
      <c r="AN4" s="7" t="n">
        <v>0.1261</v>
      </c>
      <c r="AO4" s="7" t="n">
        <v>0.3</v>
      </c>
      <c r="AP4" s="7" t="n">
        <v>0</v>
      </c>
      <c r="AQ4" s="7" t="n">
        <v>0</v>
      </c>
      <c r="AR4" s="7" t="n">
        <v>0.2228</v>
      </c>
      <c r="AS4" s="7" t="n">
        <v>0</v>
      </c>
      <c r="AT4" s="7" t="n">
        <v>0</v>
      </c>
      <c r="AU4" s="7" t="n">
        <v>0.75</v>
      </c>
      <c r="AV4" s="7" t="n">
        <v>0.9955000000000001</v>
      </c>
      <c r="AW4" s="7" t="n">
        <v>0.3447</v>
      </c>
      <c r="AX4" s="7" t="n">
        <v>34.3149</v>
      </c>
      <c r="AY4" s="7" t="n">
        <v>81.92</v>
      </c>
      <c r="AZ4" s="7" t="n">
        <v>0</v>
      </c>
      <c r="BA4" s="7" t="n">
        <v>0</v>
      </c>
      <c r="BB4" s="7" t="n">
        <v>0.0759</v>
      </c>
      <c r="BC4" s="7" t="n">
        <v>0</v>
      </c>
      <c r="BD4" s="7" t="n">
        <v>0</v>
      </c>
    </row>
    <row r="5" ht="34" customHeight="1">
      <c r="A5" s="7" t="n">
        <v>3</v>
      </c>
      <c r="B5" s="7" t="n">
        <v>6</v>
      </c>
      <c r="C5" s="7" t="n">
        <v>10</v>
      </c>
      <c r="D5" s="7" t="n">
        <v>4</v>
      </c>
      <c r="E5" s="7" t="inlineStr">
        <is>
          <t>{"analisi_scena": {"contesto": "Stabilimento industriale, reparto stampaggio materie plastiche.", "persone_presenti": 2, "macchinari": "Pressa a iniezione per plastica con pannello di controllo digitale.", "oggetti": "Componenti plastici neri stampati, sacchi bianchi, ceste colorate impilate."}, "osservazioni_sicurezza": {"azioni_rilevate": "Un operatore in t-shirt rosa maneggia un pezzo stampato appena estratto; un secondo operatore è posizionato vicino al pannello di controllo.", "dpi_rilevati": "Guanti protettivi blu visibili solo sul secondo operatore. Assenza di guanti e occhiali protettivi per l'operatore in t-shirt rosa.", "condizioni_ambientali": "Illuminazione interna normale, area di lavoro circostante parzialmente ingombra."}, "valutazione_rischio": {"limitazioni_visive": "Inquadratura ravvicinata che occlude la parte inferiore del corpo e i dettagli esatti dei comandi macchina.", "dinamiche_rischiose": "Manipolazione di componenti potenzialmente caldi senza guanti termici e prossimità alla zona di movimento della pressa.", "livello_rischio_stimato": "Moderato", "fattori_contribuenti": "Uso incompleto dei DPI per lavorazioni a contatto con macchinari industriali attivi."}}</t>
        </is>
      </c>
      <c r="F5" s="7" t="n">
        <v>55</v>
      </c>
      <c r="G5" s="7" t="inlineStr">
        <is>
          <t>Il punteggio di 55 riflette un rischio moderato dovuto alla manipolazione diretta di componenti plastici appena stampati (potenzialmente caldi) senza l'uso di guanti protettivi termici da parte dell'operatore in t-shirt rosa. Inoltre, la mancanza di occhiali di sicurezza in prossimità di una pressa a iniezione attiva e l'area di lavoro parzialmente ingombra aumentano la probabilità di infortuni.</t>
        </is>
      </c>
      <c r="H5" s="7" t="n">
        <v>68.36</v>
      </c>
      <c r="I5" s="9" t="inlineStr">
        <is>
          <t>arancione</t>
        </is>
      </c>
      <c r="J5" s="7" t="inlineStr">
        <is>
          <t>{"scene_state": "Area di produzione industriale con macchina per lo stampaggio a iniezione attiva.", "environmental_conditions": ["Illuminazione artificiale interna", "Ambiente di lavoro al chiuso"], "people": ["Un operatore giovane con maglietta rosa e cappellino nero.", "Un operatore più anziano con capelli grigi corti vicino al pannello di controllo."], "objects": ["Sedie di plastica colorate impilate sullo sfondo", "Sacchi bianchi", "Componenti plastici neri stampati", "Pannello di controllo digitale"], "machines": ["Pressa per stampaggio a iniezione di colore arancione e beige"], "observable_actions": ["L'operatore con la maglietta rosa preleva e maneggia un pezzo di plastica nero appena stampato.", "L'altro operatore osserva e interagisce con il pannello di controllo della macchina."], "visible_ppe": ["Guanto protettivo blu sulla mano destra dell'operatore vicino al pannello"], "notes_visibility_limitations": "La visuale dell'operatore vicino al pannello è parzialmente ostruita dalla struttura della macchina e dall'inquadratura ravvicinata."}</t>
        </is>
      </c>
      <c r="K5" s="7" t="inlineStr">
        <is>
          <t>{"unsafe_behaviors": ["Possibile manipolazione di componenti plastici caldi appena stampati senza l'uso di guanti protettivi da parte dell'operatore con la maglietta rosa."], "vulnerable_elements": ["Operatore giovane con maglietta rosa", "Operatore vicino al pannello di controllo"], "risk_cues": {"S1_people_vehicle_interference": 0.0, "S2_visibility_attention_reduction": 0.25, "S3_non_compliant_behavior": 0.5, "S4_vehicle_infrastructure_interference": 0.0, "S5_storage_structural_instability": 0.0, "S6_access_to_moving_mechanical_parts": 0.5, "S7_manual_handling_heavy_unstable_loads": 0.0}, "cue_confidence": 0.8, "diagnostic_notes": "Si rileva un potenziale rischio di ustione o contatto con parti calde/meccaniche per l'operatore in maglietta rosa che maneggia il pezzo appena stampato senza evidenza di guanti protettivi (osservati solo sull'altro operatore). La visuale parzialmente ostruita della macchina limita una valutazione completa della sicurezza dell'area di stampaggio."}</t>
        </is>
      </c>
      <c r="L5" s="7" t="inlineStr">
        <is>
          <t>{"causal_chain_plausible": true, "causal_chain_text": "L'operatore con la maglietta rosa preleva un pezzo di plastica nero appena stampato dalla pressa a iniezione senza indossare guanti protettivi. Poiché il processo di stampaggio avviene ad alte temperature, il pezzo è potenzialmente molto caldo. Il contatto diretto della pelle con la superficie calda può causare un'ustione immediata o una reazione riflessa di rilascio del pezzo, con rischio di urto contro parti meccaniche della macchina.", "near_miss_or_incident_scenario": "Ustione termica alle mani dell'operatore in maglietta rosa a causa del contatto diretto con il componente plastico caldo appena stampato.", "contributing_factors": ["Mancato utilizzo di dispositivi di protezione individuale (guanti termici/protettivi) da parte dell'operatore in maglietta rosa.", "Manipolazione diretta di materiali ad alta temperatura subito dopo la fase di stampaggio.", "Presenza di barriere visive e ostruzioni che limitano il controllo visivo completo dell'area di lavoro."]}</t>
        </is>
      </c>
      <c r="M5" s="7" t="n">
        <v>55</v>
      </c>
      <c r="N5" s="7" t="inlineStr">
        <is>
          <t>Il punteggio riflette un rischio significativo dovuto alla manipolazione diretta di componenti plastici potenzialmente caldi senza l'uso di guanti protettivi da parte dell'operatore in maglietta rosa. Questa non conformità espone il lavoratore a un rischio immediato di ustioni termiche e lesioni da contatto.</t>
        </is>
      </c>
      <c r="O5" s="7" t="n">
        <v>63.88</v>
      </c>
      <c r="P5" s="9" t="inlineStr">
        <is>
          <t>arancione</t>
        </is>
      </c>
      <c r="Q5" s="7" t="n">
        <v>38.27</v>
      </c>
      <c r="R5" s="7" t="n">
        <v>39.56</v>
      </c>
      <c r="S5" s="10" t="inlineStr">
        <is>
          <t>giallo</t>
        </is>
      </c>
      <c r="T5" s="7" t="n">
        <v>0.8</v>
      </c>
      <c r="U5" s="7" t="inlineStr">
        <is>
          <t>Si rileva un potenziale rischio di ustione o contatto con parti calde/meccaniche per l'operatore in maglietta rosa che maneggia il pezzo appena stampato senza evidenza di guanti protettivi (osservati solo sull'altro operatore). La visuale parzialmente ostruita della macchina limita una valutazione completa della sicurezza dell'area di stampaggio.</t>
        </is>
      </c>
      <c r="V5" s="7" t="n">
        <v>0</v>
      </c>
      <c r="W5" s="7" t="n">
        <v>0</v>
      </c>
      <c r="X5" s="7" t="n">
        <v>0.1109</v>
      </c>
      <c r="Y5" s="7" t="n">
        <v>0</v>
      </c>
      <c r="Z5" s="7" t="n">
        <v>0</v>
      </c>
      <c r="AA5" s="7" t="n">
        <v>0.25</v>
      </c>
      <c r="AB5" s="7" t="n">
        <v>0.5553</v>
      </c>
      <c r="AC5" s="7" t="n">
        <v>0.037</v>
      </c>
      <c r="AD5" s="7" t="n">
        <v>2.0546</v>
      </c>
      <c r="AE5" s="7" t="n">
        <v>5.37</v>
      </c>
      <c r="AF5" s="7" t="n">
        <v>0.5</v>
      </c>
      <c r="AG5" s="7" t="n">
        <v>0.8176</v>
      </c>
      <c r="AH5" s="7" t="n">
        <v>0.0549</v>
      </c>
      <c r="AI5" s="7" t="n">
        <v>4.4886</v>
      </c>
      <c r="AJ5" s="7" t="n">
        <v>11.73</v>
      </c>
      <c r="AK5" s="7" t="n">
        <v>0</v>
      </c>
      <c r="AL5" s="7" t="n">
        <v>0.008200000000000001</v>
      </c>
      <c r="AM5" s="7" t="n">
        <v>0.1538</v>
      </c>
      <c r="AN5" s="7" t="n">
        <v>0.1261</v>
      </c>
      <c r="AO5" s="7" t="n">
        <v>0.33</v>
      </c>
      <c r="AP5" s="7" t="n">
        <v>0</v>
      </c>
      <c r="AQ5" s="7" t="n">
        <v>0</v>
      </c>
      <c r="AR5" s="7" t="n">
        <v>0.2228</v>
      </c>
      <c r="AS5" s="7" t="n">
        <v>0</v>
      </c>
      <c r="AT5" s="7" t="n">
        <v>0</v>
      </c>
      <c r="AU5" s="7" t="n">
        <v>0.5</v>
      </c>
      <c r="AV5" s="7" t="n">
        <v>0.9167999999999999</v>
      </c>
      <c r="AW5" s="7" t="n">
        <v>0.3447</v>
      </c>
      <c r="AX5" s="7" t="n">
        <v>31.6021</v>
      </c>
      <c r="AY5" s="7" t="n">
        <v>82.58</v>
      </c>
      <c r="AZ5" s="7" t="n">
        <v>0</v>
      </c>
      <c r="BA5" s="7" t="n">
        <v>0</v>
      </c>
      <c r="BB5" s="7" t="n">
        <v>0.0759</v>
      </c>
      <c r="BC5" s="7" t="n">
        <v>0</v>
      </c>
      <c r="BD5" s="7" t="n">
        <v>0</v>
      </c>
    </row>
    <row r="6" ht="34" customHeight="1">
      <c r="A6" s="7" t="n">
        <v>4</v>
      </c>
      <c r="B6" s="7" t="n">
        <v>8</v>
      </c>
      <c r="C6" s="7" t="n">
        <v>12</v>
      </c>
      <c r="D6" s="7" t="n">
        <v>4</v>
      </c>
      <c r="E6" s="7" t="inlineStr">
        <is>
          <t>{"contesto_e_scena": {"descrizione_generale": "Area di produzione industriale, probabilmente legata allo stampaggio di materie plastiche.", "macchinari": "Pressa a iniezione industriale dotata di pannello di controllo digitale attivo.", "oggetti": "Sedie in plastica colorate impilate sullo sfondo, sacchi bianchi e componenti neri lavorati."}, "personale_e_dpi": {"operatori_presenti": 2, "operatore_1": "Uomo con maglietta rosa e cappellino, maneggia un componente plastico prima di chinarsi.", "operatore_2": "Uomo di spalle che interagisce direttamente con il terminale della macchina.", "dpi_rilevati": "Guanti protettivi blu indossati dall'operatore al pannello.", "dpi_mancanti_osservabili": "Mancanza di elmetto di protezione e occhiali di sicurezza per entrambi i soggetti."}, "analisi_dinamica_e_rischi": {"azioni_osservabili": "L'operatore 1 si abbassa repentinamente verso il suolo, uscendo parzialmente dall'inquadratura. L'operatore 2 opera sui comandi del macchinario.", "condizioni_ambientali": "Illuminazione artificiale sufficiente; presenza di ostacoli a terra e materiali stoccati vicino alle linee di passaggio.", "limiti_visivi": "L'angolazione della telecamera impedisce di vedere l'area esatta in cui si china l'operatore 1, creando un punto cieco.", "sviluppi_rischiosi_plausibili": "Rischio di urto accidentale o contatto con parti calde/in movimento della pressa mentre l'operatore si trova in posizione chinata non visibile al collega al pannello."}}</t>
        </is>
      </c>
      <c r="F6" s="7" t="n">
        <v>75</v>
      </c>
      <c r="G6" s="7" t="inlineStr">
        <is>
          <t>Il punteggio di 75 è giustificato dalla combinazione di comportamenti pericolosi e carenze nei dispositivi di protezione. L'operatore 1 si china in un punto cieco vicino a una pressa a iniezione attiva, mentre l'operatore 2 interagisce con i comandi del macchinario senza una linea visiva diretta sul collega, creando un rischio concreto di avviamento accidentale o contatto con parti in movimento. Inoltre, la mancanza di DPI fondamentali come elmetti e occhiali di sicurezza per entrambi i soggetti eleva notevolmente la gravità di un potenziale infortunio.</t>
        </is>
      </c>
      <c r="H6" s="7" t="n">
        <v>77.34</v>
      </c>
      <c r="I6" s="8" t="inlineStr">
        <is>
          <t>rosso</t>
        </is>
      </c>
      <c r="J6" s="7" t="inlineStr">
        <is>
          <t>{"scene_state": "Area di produzione industriale attiva, focalizzata su macchinari per lo stampaggio di materie plastiche.", "environmental_conditions": ["Illuminazione artificiale interna stabile", "Ambiente di lavoro al coperto"], "people": ["Un operatore con maglietta rosa e cappellino nero", "Un operatore di spalle con maglietta blu e guanti protettivi"], "objects": ["Sedie di plastica colorate impilate sullo sfondo", "Sacchi bianchi", "Bobine di tubo nero a sinistra", "Pannello di controllo digitale"], "machines": ["Pressa per stampaggio a iniezione di colore arancione e beige"], "observable_actions": ["L'operatore con la maglietta blu interagisce con il pannello di controllo della pressa", "L'operatore con la maglietta rosa tiene in mano un oggetto scuro e successivamente si china verso il basso"], "visible_ppe": ["Guanti protettivi blu indossati dall'operatore di spalle"], "notes_visibility_limitations": "La visuale dell'operatore di spalle è parziale. La parte inferiore del corpo di entrambi i soggetti è parzialmente coperta da elementi in primo piano."}</t>
        </is>
      </c>
      <c r="K6" s="7" t="inlineStr">
        <is>
          <t>{"unsafe_behaviors": ["Possibile manipolazione di oggetti senza guanti protettivi da parte dell'operatore con maglietta rosa", "Flessione del busto verso il basso in prossimità di una pressa attiva"], "vulnerable_elements": ["Operatore con maglietta rosa", "Operatore di spalle con maglietta blu"], "risk_cues": {"S1_people_vehicle_interference": 0.0, "S2_visibility_attention_reduction": 0.25, "S3_non_compliant_behavior": 0.25, "S4_vehicle_infrastructure_interference": 0.0, "S5_storage_structural_instability": 0.0, "S6_access_to_moving_mechanical_parts": 0.25, "S7_manual_handling_heavy_unstable_loads": 0.0}, "cue_confidence": 0.8, "diagnostic_notes": "La scena mostra un'area produttiva attiva. Si rileva una debole evidenza di rischio per S3 e S6: l'operatore con la maglietta rosa manipola un oggetto e si china vicino alla pressa senza guanti protettivi visibili, a differenza del collega. La visibilità limitata della parte inferiore del corpo e degli arti dei soggetti riduce parzialmente la precisione della sicurezza complessiva della sicurezza della valutazione complessiva dell'analisi."}</t>
        </is>
      </c>
      <c r="L6" s="7" t="inlineStr">
        <is>
          <t>{"causal_chain_plausible": true, "causal_chain_text": "L'operatore con maglietta rosa manipola un oggetto senza guanti e si china vicino alla pressa attiva. La mancanza di DPI e la prossimità alla macchina aumentano il rischio di contatto accidentale con parti calde o in movimento, mentre il collega è distratto dal pannello di controllo.", "near_miss_or_incident_scenario": "Ustione o schiacciamento degli arti superiori dell'operatore in maglietta rosa a causa del contatto non protetto con la pressa attiva durante le operazioni a terra.", "contributing_factors": ["Mancato uso visibile di guanti protettivi da parte dell'operatore in maglietta rosa", "Operatività in postura incongrua (chinato) vicino a macchinari attivi", "Attenzione del secondo operatore rivolta esclusivamente al pannello di controllo"]}</t>
        </is>
      </c>
      <c r="M6" s="7" t="n">
        <v>35</v>
      </c>
      <c r="N6" s="7" t="inlineStr">
        <is>
          <t>Il punteggio riflette un rischio moderato dovuto alla possibile mancanza di guanti protettivi per l'operatore in maglietta rosa e alla sua postura chinata vicino alla pressa attiva. L'attenzione del collega è rivolta al pannello, riducendo la supervisione reciproca in un'area con parti potenzialmente pericolose.</t>
        </is>
      </c>
      <c r="O6" s="7" t="n">
        <v>46.55</v>
      </c>
      <c r="P6" s="10" t="inlineStr">
        <is>
          <t>giallo</t>
        </is>
      </c>
      <c r="Q6" s="7" t="n">
        <v>15.87</v>
      </c>
      <c r="R6" s="7" t="n">
        <v>25.35</v>
      </c>
      <c r="S6" s="10" t="inlineStr">
        <is>
          <t>giallo</t>
        </is>
      </c>
      <c r="T6" s="7" t="n">
        <v>0.8</v>
      </c>
      <c r="U6" s="7" t="inlineStr">
        <is>
          <t>La scena mostra un'area produttiva attiva. Si rileva una debole evidenza di rischio per S3 e S6: l'operatore con la maglietta rosa manipola un oggetto e si china vicino alla pressa senza guanti protettivi visibili, a differenza del collega. La visibilità limitata della parte inferiore del corpo e degli arti dei soggetti riduce parzialmente la precisione della sicurezza complessiva della sicurezza della valutazione complessiva dell'analisi.</t>
        </is>
      </c>
      <c r="V6" s="7" t="n">
        <v>0</v>
      </c>
      <c r="W6" s="7" t="n">
        <v>0</v>
      </c>
      <c r="X6" s="7" t="n">
        <v>0.1109</v>
      </c>
      <c r="Y6" s="7" t="n">
        <v>0</v>
      </c>
      <c r="Z6" s="7" t="n">
        <v>0</v>
      </c>
      <c r="AA6" s="7" t="n">
        <v>0.25</v>
      </c>
      <c r="AB6" s="7" t="n">
        <v>0.5553</v>
      </c>
      <c r="AC6" s="7" t="n">
        <v>0.037</v>
      </c>
      <c r="AD6" s="7" t="n">
        <v>2.0546</v>
      </c>
      <c r="AE6" s="7" t="n">
        <v>12.95</v>
      </c>
      <c r="AF6" s="7" t="n">
        <v>0.25</v>
      </c>
      <c r="AG6" s="7" t="n">
        <v>0.2689</v>
      </c>
      <c r="AH6" s="7" t="n">
        <v>0.0549</v>
      </c>
      <c r="AI6" s="7" t="n">
        <v>1.4763</v>
      </c>
      <c r="AJ6" s="7" t="n">
        <v>9.300000000000001</v>
      </c>
      <c r="AK6" s="7" t="n">
        <v>0</v>
      </c>
      <c r="AL6" s="7" t="n">
        <v>0.008200000000000001</v>
      </c>
      <c r="AM6" s="7" t="n">
        <v>0.1538</v>
      </c>
      <c r="AN6" s="7" t="n">
        <v>0.1261</v>
      </c>
      <c r="AO6" s="7" t="n">
        <v>0.79</v>
      </c>
      <c r="AP6" s="7" t="n">
        <v>0</v>
      </c>
      <c r="AQ6" s="7" t="n">
        <v>0</v>
      </c>
      <c r="AR6" s="7" t="n">
        <v>0.2228</v>
      </c>
      <c r="AS6" s="7" t="n">
        <v>0</v>
      </c>
      <c r="AT6" s="7" t="n">
        <v>0</v>
      </c>
      <c r="AU6" s="7" t="n">
        <v>0.25</v>
      </c>
      <c r="AV6" s="7" t="n">
        <v>0.3543</v>
      </c>
      <c r="AW6" s="7" t="n">
        <v>0.3447</v>
      </c>
      <c r="AX6" s="7" t="n">
        <v>12.2127</v>
      </c>
      <c r="AY6" s="7" t="n">
        <v>76.95</v>
      </c>
      <c r="AZ6" s="7" t="n">
        <v>0</v>
      </c>
      <c r="BA6" s="7" t="n">
        <v>0</v>
      </c>
      <c r="BB6" s="7" t="n">
        <v>0.0759</v>
      </c>
      <c r="BC6" s="7" t="n">
        <v>0</v>
      </c>
      <c r="BD6" s="7" t="n">
        <v>0</v>
      </c>
    </row>
    <row r="7" ht="34" customHeight="1">
      <c r="A7" s="7" t="n">
        <v>5</v>
      </c>
      <c r="B7" s="7" t="n">
        <v>10</v>
      </c>
      <c r="C7" s="7" t="n">
        <v>14</v>
      </c>
      <c r="D7" s="7" t="n">
        <v>4</v>
      </c>
      <c r="E7" s="7" t="inlineStr">
        <is>
          <t>{"descrizione_generale": "Area di produzione industriale con macchinario di stampaggio e operatori attivi nelle vicinanze.", "contesto": "Fabbrica di produzione di articoli in plastica, evidenziata da sedie impilate sullo sfondo.", "persone": [{"ruolo": "Operatore foreground sinistra", "abbigliamento": "T-shirt rosa, cappellino nero", "azione": "Si china e si sposta nell'area di lavoro"}, {"ruolo": "Operatore foreground destra", "abbigliamento": "T-shirt blu", "azione": "Presidia e interagisce con il pannello di controllo"}, {"ruolo": "Operatore sfondo", "abbigliamento": "T-shirt nera, jeans", "azione": "Transita dietro la macchina"}], "macchinari_e_oggetti": {"macchinari": "Pressa per stampaggio a iniezione MIR con terminale di controllo attivo", "oggetti": "Sedie in plastica colorate, sacchi bianchi di materia prima, bobine nere"}, "condizioni_ambientali": "Illuminazione interna costante, presenza di materiali depositati nei passaggi.", "limiti_visibilita": "Inquadratura dall'alto che limita la vista degli arti inferiori e di eventuali ostacoli a terra.", "analisi_sicurezza": {"dpi_rilevati": "Nessun DPI visibile (assenza di elmetti, occhiali di protezione o scarpe antinfortunistiche identificabili).", "fattori_contribuenti": "Prossimità ravvicinata alle parti mobili del macchinario e potenziale disordine nell'area di transito.", "sviluppi_rischiosi": "Rischio moderato di urti o contatti accidentali con elementi caldi o in movimento durante le fasi operative."}}</t>
        </is>
      </c>
      <c r="F7" s="7" t="n">
        <v>65</v>
      </c>
      <c r="G7" s="7" t="inlineStr">
        <is>
          <t>Il punteggio di 65 è giustificato dall'assenza di DPI visibili (come elmetti, occhiali protettivi e calzature di sicurezza) in un'area con macchinari industriali attivi. La vicinanza degli operatori alle parti in movimento della pressa e la presenza di materiali depositati nei passaggi (rischio d'inciampo) configurano una situazione di rischio moderato-alto che richiede interventi correttivi.</t>
        </is>
      </c>
      <c r="H7" s="7" t="n">
        <v>69.94</v>
      </c>
      <c r="I7" s="9" t="inlineStr">
        <is>
          <t>arancione</t>
        </is>
      </c>
      <c r="J7" s="7" t="inlineStr">
        <is>
          <t>{"scene_state": "Ambiente industriale, reparto stampaggio materie plastiche.", "environmental_conditions": ["Illuminazione artificiale interna", "Spazio di lavoro industriale"], "people": ["Uomo con maglietta rosa e cappellino nero", "Uomo con capelli grigi di spalle vicino al pannello di controllo", "Uomo con maglietta nera e jeans sullo sfondo"], "objects": ["Sedie di plastica impilate (verdi, rosse, blu)", "Sacchi bianchi", "Rotoli o cilindri neri"], "machines": ["Grande pressa per stampaggio a iniezione arancione e beige con pannello di controllo digitale"], "observable_actions": ["L'uomo in maglietta rosa si abbassa uscendo parzialmente dall'inquadratura", "L'uomo di spalle osserva o interagisce con il pannello di controllo", "L'uomo sullo sfondo cammina vicino alle sedie impilate"], "visible_ppe": ["Nessun DPI chiaramente visibile"], "notes_visibility_limitations": "Inquadratura dall'alto e ravvicinata che limita la visuale degli arti inferiori dei soggetti in primo piano."}</t>
        </is>
      </c>
      <c r="K7" s="7" t="inlineStr">
        <is>
          <t>{"unsafe_behaviors": ["Mancato utilizzo visibile di DPI idonei nell'area di stampaggio", "Operatore chinato vicino alla macchina con visibilità limitata delle mani"], "vulnerable_elements": ["Operatore in maglietta rosa", "Operatore di spalle vicino al pannello di controllo"], "risk_cues": {"S1_people_vehicle_interference": 0.0, "S2_visibility_attention_reduction": 0.5, "S3_non_compliant_behavior": 0.5, "S4_vehicle_infrastructure_interference": 0.0, "S5_storage_structural_instability": 0.25, "S6_access_to_moving_mechanical_parts": 0.5, "S7_manual_handling_heavy_unstable_loads": 0.25}, "cue_confidence": 0.75, "diagnostic_notes": "La mancanza di DPI visibili e la prossimità alla pressa a iniezione costituiscono i fattori di attenzione principali. La postura chinata dell'operatore in rosa e la posizione di spalle dell'operatore al pannello riducono la consapevolezza situazionale. L'inquadratura dall'alto limita la valutazione completa degli arti inferiori e delle operazioni manuali esatte."}</t>
        </is>
      </c>
      <c r="L7" s="7" t="inlineStr">
        <is>
          <t>{"causal_chain_plausible": true, "causal_chain_text": "La mancanza di DPI, unita alla postura chinata dell'operatore vicino alla pressa e alla posizione di spalle dell'operatore al pannello, può causare un'attivazione accidentale o un contatto imprevisto con parti in movimento.", "near_miss_or_incident_scenario": "Schiacciamento o ustione degli arti dell'operatore chinato a causa dell'avvio della pressa da parte del collega al pannello, che ha la visuale ostruita e non ne nota la presenza.", "contributing_factors": ["Mancato utilizzo visibile di DPI idonei nell'area di stampaggio", "Posizione di spalle dell'operatore al pannello di controllo che riduce la visibilità", "Postura chinata dell'operatore in rosa con limitata visibilità delle mani vicino alla macchina"]}</t>
        </is>
      </c>
      <c r="M7" s="7" t="n">
        <v>65</v>
      </c>
      <c r="N7" s="7" t="inlineStr">
        <is>
          <t>Il punteggio riflette un rischio significativo dovuto alla mancanza di DPI visibili e alla ridotta consapevolezza situazionale dei due operatori vicini alla pressa. La posizione di spalle dell'addetto al pannello e la postura chinata del collega aumentano sensibilmente il pericolo di avviamento accidentale e infortuni gravi.</t>
        </is>
      </c>
      <c r="O7" s="7" t="n">
        <v>65.12</v>
      </c>
      <c r="P7" s="9" t="inlineStr">
        <is>
          <t>arancione</t>
        </is>
      </c>
      <c r="Q7" s="7" t="n">
        <v>40.4</v>
      </c>
      <c r="R7" s="7" t="n">
        <v>40.51</v>
      </c>
      <c r="S7" s="10" t="inlineStr">
        <is>
          <t>giallo</t>
        </is>
      </c>
      <c r="T7" s="7" t="n">
        <v>0.75</v>
      </c>
      <c r="U7" s="7" t="inlineStr">
        <is>
          <t>La mancanza di DPI visibili e la prossimità alla pressa a iniezione costituiscono i fattori di attenzione principali. La postura chinata dell'operatore in rosa e la posizione di spalle dell'operatore al pannello riducono la consapevolezza situazionale. L'inquadratura dall'alto limita la valutazione completa degli arti inferiori e delle operazioni manuali esatte.</t>
        </is>
      </c>
      <c r="V7" s="7" t="n">
        <v>0</v>
      </c>
      <c r="W7" s="7" t="n">
        <v>0</v>
      </c>
      <c r="X7" s="7" t="n">
        <v>0.1109</v>
      </c>
      <c r="Y7" s="7" t="n">
        <v>0</v>
      </c>
      <c r="Z7" s="7" t="n">
        <v>0</v>
      </c>
      <c r="AA7" s="7" t="n">
        <v>0.5</v>
      </c>
      <c r="AB7" s="7" t="n">
        <v>0.8176</v>
      </c>
      <c r="AC7" s="7" t="n">
        <v>0.037</v>
      </c>
      <c r="AD7" s="7" t="n">
        <v>3.0251</v>
      </c>
      <c r="AE7" s="7" t="n">
        <v>7.49</v>
      </c>
      <c r="AF7" s="7" t="n">
        <v>0.5</v>
      </c>
      <c r="AG7" s="7" t="n">
        <v>0.8176</v>
      </c>
      <c r="AH7" s="7" t="n">
        <v>0.0549</v>
      </c>
      <c r="AI7" s="7" t="n">
        <v>4.4886</v>
      </c>
      <c r="AJ7" s="7" t="n">
        <v>11.11</v>
      </c>
      <c r="AK7" s="7" t="n">
        <v>0</v>
      </c>
      <c r="AL7" s="7" t="n">
        <v>0.008200000000000001</v>
      </c>
      <c r="AM7" s="7" t="n">
        <v>0.1538</v>
      </c>
      <c r="AN7" s="7" t="n">
        <v>0.1261</v>
      </c>
      <c r="AO7" s="7" t="n">
        <v>0.31</v>
      </c>
      <c r="AP7" s="7" t="n">
        <v>0.25</v>
      </c>
      <c r="AQ7" s="7" t="n">
        <v>0.0359</v>
      </c>
      <c r="AR7" s="7" t="n">
        <v>0.2228</v>
      </c>
      <c r="AS7" s="7" t="n">
        <v>0.7999000000000001</v>
      </c>
      <c r="AT7" s="7" t="n">
        <v>1.98</v>
      </c>
      <c r="AU7" s="7" t="n">
        <v>0.5</v>
      </c>
      <c r="AV7" s="7" t="n">
        <v>0.9167999999999999</v>
      </c>
      <c r="AW7" s="7" t="n">
        <v>0.3447</v>
      </c>
      <c r="AX7" s="7" t="n">
        <v>31.6021</v>
      </c>
      <c r="AY7" s="7" t="n">
        <v>78.22</v>
      </c>
      <c r="AZ7" s="7" t="n">
        <v>0.25</v>
      </c>
      <c r="BA7" s="7" t="n">
        <v>0.0474</v>
      </c>
      <c r="BB7" s="7" t="n">
        <v>0.0759</v>
      </c>
      <c r="BC7" s="7" t="n">
        <v>0.3598</v>
      </c>
      <c r="BD7" s="7" t="n">
        <v>0.89</v>
      </c>
    </row>
    <row r="8" ht="34" customHeight="1">
      <c r="A8" s="7" t="n">
        <v>6</v>
      </c>
      <c r="B8" s="7" t="n">
        <v>12</v>
      </c>
      <c r="C8" s="7" t="n">
        <v>16</v>
      </c>
      <c r="D8" s="7" t="n">
        <v>4</v>
      </c>
      <c r="E8" s="7" t="inlineStr">
        <is>
          <t>{"analisi_scena": {"contesto": "Ambiente industriale, presumibilmente reparto stampaggio materie plastiche.", "macchinari_oggetti": {"principali": "Pressa a iniezione MIR con pannello di controllo digitale attivo.", "secondari": "Sedie in plastica impilate sullo sfondo, sacchi bianchi, bobine nere."}, "personale": [{"id": "Operatore_1", "abbigliamento": "Maglia nera, jeans", "azione": "Si allontana verso l'area di stoccaggio a sinistra."}, {"id": "Operatore_2", "abbigliamento": "Maglia rosa, cappellino nero non protettivo", "azione": "Entra da sinistra e osserva l'area di lavoro del macchinario."}, {"id": "Operatore_3", "abbigliamento": "Maglia blu (parzialmente visibile)", "azione": "Presidia e interagisce con il pannello di controllo a destra."}]}, "analisi_sicurezza": {"dpi_rilevati": "Nessun DPI protettivo visibile (assenza di elmetti, occhiali di sicurezza o protezioni acustiche).", "condizioni_ambientali": "Illuminazione artificiale standard. Inquadratura dall'alto che limita la visibilità completa dell'operatore 3 e dei dettagli del macchinario.", "valutazione_rischi": {"dinamica_in_corso": "Interazione ravvicinata di più operatori attorno a una pressa industriale attiva.", "fattori_contribuenti": "Mancanza di DPI idonei per la protezione da calore, proiezioni o urti accidentali.", "sviluppi_rischiosi": "Rischio moderato di lesioni in caso di malfunzionamento del macchinario o movimenti imprevisti degli operatori nelle zone di pericolo."}}}</t>
        </is>
      </c>
      <c r="F8" s="7" t="n">
        <v>65</v>
      </c>
      <c r="G8" s="7" t="inlineStr">
        <is>
          <t>Il punteggio di 65 è giustificato dalla presenza di più operatori che lavorano a stretto contatto con una pressa a iniezione attiva senza alcun Dispositivo di Protezione Individuale (DPI) visibile (come occhiali di sicurezza, elmetti o protezioni acustiche). Sebbene non vi siano comportamenti palesemente pericolosi o incidenti in corso, la totale assenza di DPI in un ambiente di stampaggio plastico ad alta pressione e temperatura configura una violazione delle norme di sicurezza e un rischio medio-alto di lesioni in caso di anomalie del macchinario o contatti accidentali.</t>
        </is>
      </c>
      <c r="H8" s="7" t="n">
        <v>66.98</v>
      </c>
      <c r="I8" s="9" t="inlineStr">
        <is>
          <t>arancione</t>
        </is>
      </c>
      <c r="J8" s="7" t="inlineStr">
        <is>
          <t>{"scene_state": "Reparto industriale di stampaggio materie plastiche.", "environmental_conditions": ["Illuminazione interna artificiale", "Presenza di materiali stoccati"], "people": ["Operatore con maglia nera e jeans", "Operatore con maglia rosa e cappellino nero", "Operatore con capelli grigi e maglia blu (parzialmente visibile)"], "objects": ["Sedie in plastica impilate (rosse, verdi, blu)", "Sacchi bianchi di materia prima", "Cilindri neri impilati"], "machines": ["Pressa ad iniezione MIR con pannello di controllo digitale"], "observable_actions": ["Un operatore cammina verso il fondo", "Un operatore osserva il macchinario", "Un operatore è posizionato davanti al pannello di controllo"], "visible_ppe": ["Nessun DPI di sicurezza visibile"], "notes_visibility_limitations": "Inquadratura dall'alto. L'operatore vicino al pannello è visibile solo parzialmente di spalle."}</t>
        </is>
      </c>
      <c r="K8" s="7" t="inlineStr">
        <is>
          <t>{"unsafe_behaviors": ["Mancato utilizzo di DPI visibili in area produttiva", "Stazionamento vicino a macchinari operativi senza protezioni evidenti"], "vulnerable_elements": ["Operatore con maglia nera", "Operatore con maglia rosa", "Operatore con maglia blu"], "risk_cues": {"S1_people_vehicle_interference": 0.0, "S2_visibility_attention_reduction": 0.25, "S3_non_compliant_behavior": 0.5, "S4_vehicle_infrastructure_interference": 0.0, "S5_storage_structural_instability": 0.25, "S6_access_to_moving_mechanical_parts": 0.25, "S7_manual_handling_heavy_unstable_loads": 0.0}, "cue_confidence": 0.8, "diagnostic_notes": "Nessun mezzo di movimentazione attivo nella scena. Rilevata potenziale non conformità per assenza di DPI visibili in un reparto di stampaggio. Presenza di materiali stoccati (sacchi, cilindri, sedie impilate) che richiedono attenzione ma non mostrano instabilità immediata. L'inquadratura dall'alto limita la verifica completa dei DPI."}</t>
        </is>
      </c>
      <c r="L8" s="7" t="inlineStr">
        <is>
          <t>{"causal_chain_plausible": true, "causal_chain_text": "La mancanza di DPI visibili in un reparto di stampaggio attivo espone gli operatori a rischi fisici. L'interazione ravvicinata con la pressa MIR o il transito vicino ai materiali stoccati (cilindri e sedie impilate) può causare impatti o contatti accidentali non protetti.", "near_miss_or_incident_scenario": "Un operatore si avvicina alla pressa ad iniezione o ai materiali stoccati e subisce un trauma da impatto o schiacciamento (es. ai piedi o alle mani) che si traduce in infortunio a causa dell'assenza di DPI protettivi.", "contributing_factors": ["Assenza di DPI di sicurezza visibili sugli operatori", "Stazionamento e transito in prossimità della pressa ad iniezione MIR operativa", "Presenza di carichi e materiali stoccati (cilindri neri, sedie impilate) nelle aree di passaggio"]}</t>
        </is>
      </c>
      <c r="M8" s="7" t="n">
        <v>35</v>
      </c>
      <c r="N8" s="7" t="inlineStr">
        <is>
          <t>Il rischio è moderato a causa del mancato utilizzo di DPI visibili da parte degli operatori in un reparto di stampaggio attivo vicino a una pressa ad iniezione. Sebbene non vi siano pericoli immediati o mezzi in movimento, la non conformità aumenta la vulnerabilità a infortuni accidentali.</t>
        </is>
      </c>
      <c r="O8" s="7" t="n">
        <v>47.05</v>
      </c>
      <c r="P8" s="10" t="inlineStr">
        <is>
          <t>giallo</t>
        </is>
      </c>
      <c r="Q8" s="7" t="n">
        <v>19.68</v>
      </c>
      <c r="R8" s="7" t="n">
        <v>28.01</v>
      </c>
      <c r="S8" s="10" t="inlineStr">
        <is>
          <t>giallo</t>
        </is>
      </c>
      <c r="T8" s="7" t="n">
        <v>0.8</v>
      </c>
      <c r="U8" s="7" t="inlineStr">
        <is>
          <t>Nessun mezzo di movimentazione attivo nella scena. Rilevata potenziale non conformità per assenza di DPI visibili in un reparto di stampaggio. Presenza di materiali stoccati (sacchi, cilindri, sedie impilate) che richiedono attenzione ma non mostrano instabilità immediata. L'inquadratura dall'alto limita la verifica completa dei DPI.</t>
        </is>
      </c>
      <c r="V8" s="7" t="n">
        <v>0</v>
      </c>
      <c r="W8" s="7" t="n">
        <v>0</v>
      </c>
      <c r="X8" s="7" t="n">
        <v>0.1109</v>
      </c>
      <c r="Y8" s="7" t="n">
        <v>0</v>
      </c>
      <c r="Z8" s="7" t="n">
        <v>0</v>
      </c>
      <c r="AA8" s="7" t="n">
        <v>0.25</v>
      </c>
      <c r="AB8" s="7" t="n">
        <v>0.5553</v>
      </c>
      <c r="AC8" s="7" t="n">
        <v>0.037</v>
      </c>
      <c r="AD8" s="7" t="n">
        <v>2.0546</v>
      </c>
      <c r="AE8" s="7" t="n">
        <v>10.44</v>
      </c>
      <c r="AF8" s="7" t="n">
        <v>0.5</v>
      </c>
      <c r="AG8" s="7" t="n">
        <v>0.8176</v>
      </c>
      <c r="AH8" s="7" t="n">
        <v>0.0549</v>
      </c>
      <c r="AI8" s="7" t="n">
        <v>4.4886</v>
      </c>
      <c r="AJ8" s="7" t="n">
        <v>22.81</v>
      </c>
      <c r="AK8" s="7" t="n">
        <v>0</v>
      </c>
      <c r="AL8" s="7" t="n">
        <v>0.008200000000000001</v>
      </c>
      <c r="AM8" s="7" t="n">
        <v>0.1538</v>
      </c>
      <c r="AN8" s="7" t="n">
        <v>0.1261</v>
      </c>
      <c r="AO8" s="7" t="n">
        <v>0.64</v>
      </c>
      <c r="AP8" s="7" t="n">
        <v>0.25</v>
      </c>
      <c r="AQ8" s="7" t="n">
        <v>0.0359</v>
      </c>
      <c r="AR8" s="7" t="n">
        <v>0.2228</v>
      </c>
      <c r="AS8" s="7" t="n">
        <v>0.7999000000000001</v>
      </c>
      <c r="AT8" s="7" t="n">
        <v>4.06</v>
      </c>
      <c r="AU8" s="7" t="n">
        <v>0.25</v>
      </c>
      <c r="AV8" s="7" t="n">
        <v>0.3543</v>
      </c>
      <c r="AW8" s="7" t="n">
        <v>0.3447</v>
      </c>
      <c r="AX8" s="7" t="n">
        <v>12.2127</v>
      </c>
      <c r="AY8" s="7" t="n">
        <v>62.06</v>
      </c>
      <c r="AZ8" s="7" t="n">
        <v>0</v>
      </c>
      <c r="BA8" s="7" t="n">
        <v>0</v>
      </c>
      <c r="BB8" s="7" t="n">
        <v>0.0759</v>
      </c>
      <c r="BC8" s="7" t="n">
        <v>0</v>
      </c>
      <c r="BD8" s="7" t="n">
        <v>0</v>
      </c>
    </row>
    <row r="9" ht="34" customHeight="1">
      <c r="A9" s="7" t="n">
        <v>7</v>
      </c>
      <c r="B9" s="7" t="n">
        <v>14</v>
      </c>
      <c r="C9" s="7" t="n">
        <v>18</v>
      </c>
      <c r="D9" s="7" t="n">
        <v>4</v>
      </c>
      <c r="E9" s="7" t="inlineStr">
        <is>
          <t>{"analisi_scena": {"descrizione_generale": "La scena si svolge all'interno di un impianto industriale, presumibilmente di stampaggio plastico, con due operatori posizionati vicino a un grande macchinario industriale.", "contesto": "Produzione industriale / stampaggio materie plastiche, evidenziato dalla presenza di pile di sedie/cestini in plastica colorata sullo sfondo e da un macchinario MIR.", "presenza_persone": [{"ruolo": "Operatore quadro di controllo", "posizione": "In primo piano a destra, di spalle rispetto alla telecamera.", "azioni": "Interagisce direttamente con il pannello di controllo digitale del macchinario, premendo dei tasti."}, {"ruolo": "Operatore di supporto / osservatore", "posizione": "A sinistra, di profilo, rivolto verso il macchinario e il collega.", "azioni": "Osserva le operazioni stando in piedi vicino alla zona di stampaggio del macchinario."}], "macchinari_oggetti": {"macchinari": "Pressa a iniezione per materie plastiche (marca MIR) dotata di pannello di controllo elettronico e protezioni perimetrali.", "oggetti": "Pile di sedie in plastica (verdi, rosse, blu) sullo sfondo, bobine o componenti neri impilati a sinistra, guanti da lavoro."}}, "sicurezza_dpi": {"dpi_rilevati": ["Guanti protettivi indossati dall'operatore a sinistra."], "dpi_mancanti_potenziali": ["Assenza di elmetti protettivi.", "Assenza di occhiali di protezione (rischio schizzi di plastica fusa o frammenti).", "Assenza di protezioni acustiche visibili."], "condizioni_ambientali": "Illuminazione interna sufficiente, ambiente di lavoro parzialmente ingombro sullo sfondo ma area di transito immediata sgombra."}, "analisi_rischi": {"limiti_visivi": "La telecamera è fissa in alto; l'operatore a destra è di spalle, limitando la visibilità delle sue mani e del volto. L'interno del macchinario è parzialmente visibile ma in ombra.", "ragionamento_causale": "L'operatore a destra sta configurando o avviando il macchinario tramite il pannello. L'operatore a sinistra si trova molto vicino alla zona di movimento della pressa, sebbene protetta da barriere.", "sviluppi_rischiosi_plausibili": ["Rischio di schiacciamento o intrappolamento se le barriere di sicurezza del macchinario venissero bypassate o se l'operatore a sinistra inserisse le mani durante il ciclo.", "Rischio di lesioni oculari o ustioni da materiale plastico ad alta temperatura in caso di malfunzionamento o spurgo della pressa, data l'assenza di occhiali protettivi."]}}</t>
        </is>
      </c>
      <c r="F9" s="7" t="n">
        <v>35</v>
      </c>
      <c r="G9" s="7" t="inlineStr">
        <is>
          <t>Il punteggio di 35 indica un rischio moderato. Sebbene l'attività sia standard e le barriere della pressa siano attive, si riscontra la mancanza di DPI essenziali come occhiali protettivi (rischio schizzi di plastica fusa) ed elmetti. Inoltre, la vicinanza dell'operatore di supporto alla zona di stampaggio rappresenta un potenziale pericolo in caso di anomalie.</t>
        </is>
      </c>
      <c r="H9" s="7" t="n">
        <v>47.79</v>
      </c>
      <c r="I9" s="10" t="inlineStr">
        <is>
          <t>giallo</t>
        </is>
      </c>
      <c r="J9" s="7" t="inlineStr">
        <is>
          <t>{"scene_state": "Ambiente industriale interno, reparto stampaggio plastica.", "environmental_conditions": ["Illuminazione artificiale interna stabile", "Spazio di lavoro con macchinari e materiali stoccati"], "people": ["Un operatore di spalle sulla destra che interagisce con il pannello di controllo", "Un secondo operatore sulla sinistra, di profilo, che osserva la scena"], "objects": ["Sedie di plastica colorate impilate sullo sfondo", "Bobine o cilindri di plastica nera a sinistra", "Pannello di controllo digitale con schermo"], "machines": ["Grande pressa per stampaggio a iniezione di colore arancione e grigio"], "observable_actions": ["L'operatore a destra digita sul pannello di controllo della macchina", "L'operatore a sinistra rimane fermo in piedi osservando il collega o il macchinario"], "visible_ppe": ["Guanti protettivi blu indossati dall'operatore a destra"], "notes_visibility_limitations": "L'operatore a destra è visibile solo parzialmente da dietro. La visuale dell'area interna della macchina è parzialmente ostruita dalla struttura."}</t>
        </is>
      </c>
      <c r="K9" s="7" t="inlineStr">
        <is>
          <t>{"unsafe_behaviors": [], "vulnerable_elements": ["Operatore al pannello di controllo"], "risk_cues": {"S1_people_vehicle_interference": 0.0, "S2_visibility_attention_reduction": 0.25, "S3_non_compliant_behavior": 0.0, "S4_vehicle_infrastructure_interference": 0.0, "S5_storage_structural_instability": 0.0, "S6_access_to_moving_mechanical_parts": 0.0, "S7_manual_handling_heavy_unstable_loads": 0.0}, "cue_confidence": 0.9, "diagnostic_notes": "La scena mostra una normale attività di interazione con il pannello di controllo di una pressa. Non si rilevano situazioni di rischio immediato o comportamenti non conformi. L'operatore a destra ha le spalle rivolte all'ambiente di lavoro mentre digita sul pannello, riducendo parzialmente la sua consapevolezza situazionale posteriore (S2), ma non sono presenti fonti di pericolo attive o mezzi in movimento nell'area."}</t>
        </is>
      </c>
      <c r="L9" s="7" t="inlineStr">
        <is>
          <t>{"causal_chain_plausible": false, "causal_chain_text": "La scena mostra una situazione di lavoro ordinaria e controllata. Non sono presenti fonti di pericolo attive, carichi sospesi o mezzi in movimento nell'area. La presenza di un secondo operatore che osserva la scena riduce ulteriormente la probabilità di eventi imprevisti non gestiti.", "near_miss_or_incident_scenario": "Nessun incidente o near miss è configurabile nelle attuali condizioni operative standard.", "contributing_factors": ["Parziale riduzione della consapevolezza situazionale posteriore dell'operatore al pannello di controllo"]}</t>
        </is>
      </c>
      <c r="M9" s="7" t="n">
        <v>10</v>
      </c>
      <c r="N9" s="7" t="inlineStr">
        <is>
          <t>Il livello di rischio è basso poiché le attività si svolgono in condizioni ordinarie e controllate, senza fonti di pericolo attive o mezzi in movimento. La parziale riduzione della consapevolezza posteriore dell'operatore al pannello è compensata dalla presenza di un secondo operatore nell'area.</t>
        </is>
      </c>
      <c r="O9" s="7" t="n">
        <v>24.82</v>
      </c>
      <c r="P9" s="10" t="inlineStr">
        <is>
          <t>giallo</t>
        </is>
      </c>
      <c r="Q9" s="7" t="n">
        <v>3.26</v>
      </c>
      <c r="R9" s="7" t="n">
        <v>13.16</v>
      </c>
      <c r="S9" s="11" t="inlineStr">
        <is>
          <t>verde</t>
        </is>
      </c>
      <c r="T9" s="7" t="n">
        <v>0.9</v>
      </c>
      <c r="U9" s="7" t="inlineStr">
        <is>
          <t>La scena mostra una normale attività di interazione con il pannello di controllo di una pressa. Non si rilevano situazioni di rischio immediato o comportamenti non conformi. L'operatore a destra ha le spalle rivolte all'ambiente di lavoro mentre digita sul pannello, riducendo parzialmente la sua consapevolezza situazionale posteriore (S2), ma non sono presenti fonti di pericolo attive o mezzi in movimento nell'area.</t>
        </is>
      </c>
      <c r="V9" s="7" t="n">
        <v>0</v>
      </c>
      <c r="W9" s="7" t="n">
        <v>0</v>
      </c>
      <c r="X9" s="7" t="n">
        <v>0.1109</v>
      </c>
      <c r="Y9" s="7" t="n">
        <v>0</v>
      </c>
      <c r="Z9" s="7" t="n">
        <v>0</v>
      </c>
      <c r="AA9" s="7" t="n">
        <v>0.25</v>
      </c>
      <c r="AB9" s="7" t="n">
        <v>0.5553</v>
      </c>
      <c r="AC9" s="7" t="n">
        <v>0.037</v>
      </c>
      <c r="AD9" s="7" t="n">
        <v>2.0546</v>
      </c>
      <c r="AE9" s="7" t="n">
        <v>63.02</v>
      </c>
      <c r="AF9" s="7" t="n">
        <v>0</v>
      </c>
      <c r="AG9" s="7" t="n">
        <v>0.0293</v>
      </c>
      <c r="AH9" s="7" t="n">
        <v>0.0549</v>
      </c>
      <c r="AI9" s="7" t="n">
        <v>0.1609</v>
      </c>
      <c r="AJ9" s="7" t="n">
        <v>4.94</v>
      </c>
      <c r="AK9" s="7" t="n">
        <v>0</v>
      </c>
      <c r="AL9" s="7" t="n">
        <v>0.008200000000000001</v>
      </c>
      <c r="AM9" s="7" t="n">
        <v>0.1538</v>
      </c>
      <c r="AN9" s="7" t="n">
        <v>0.1261</v>
      </c>
      <c r="AO9" s="7" t="n">
        <v>3.87</v>
      </c>
      <c r="AP9" s="7" t="n">
        <v>0</v>
      </c>
      <c r="AQ9" s="7" t="n">
        <v>0</v>
      </c>
      <c r="AR9" s="7" t="n">
        <v>0.2228</v>
      </c>
      <c r="AS9" s="7" t="n">
        <v>0</v>
      </c>
      <c r="AT9" s="7" t="n">
        <v>0</v>
      </c>
      <c r="AU9" s="7" t="n">
        <v>0</v>
      </c>
      <c r="AV9" s="7" t="n">
        <v>0.0266</v>
      </c>
      <c r="AW9" s="7" t="n">
        <v>0.3447</v>
      </c>
      <c r="AX9" s="7" t="n">
        <v>0.9169</v>
      </c>
      <c r="AY9" s="7" t="n">
        <v>28.13</v>
      </c>
      <c r="AZ9" s="7" t="n">
        <v>0</v>
      </c>
      <c r="BA9" s="7" t="n">
        <v>0</v>
      </c>
      <c r="BB9" s="7" t="n">
        <v>0.0759</v>
      </c>
      <c r="BC9" s="7" t="n">
        <v>0</v>
      </c>
      <c r="BD9" s="7" t="n">
        <v>0</v>
      </c>
    </row>
    <row r="10" ht="34" customHeight="1">
      <c r="A10" s="7" t="n">
        <v>8</v>
      </c>
      <c r="B10" s="7" t="n">
        <v>16</v>
      </c>
      <c r="C10" s="7" t="n">
        <v>20</v>
      </c>
      <c r="D10" s="7" t="n">
        <v>4</v>
      </c>
      <c r="E10" s="7" t="inlineStr">
        <is>
          <t>{"descrizione_generale": "Due operatori si trovano davanti a un macchinario industriale per lo stampaggio di materie plastiche.", "contesto_industriale": "Area di produzione industriale con stoccaggio di prodotti finiti (sedie in plastica impilate) sullo sfondo.", "persone_presenti": [{"id": 1, "posizione": "Sinistra", "abbigliamento": "T-shirt rosa, cappellino con visiera nero", "azioni": "Osserva il collega e si tocca l'area dell'orecchio/capo"}, {"id": 2, "posizione": "Destra (di spalle)", "abbigliamento": "Maglia blu", "azioni": "Interagisce direttamente con la tastiera del pannello di controllo"}], "macchinari_e_oggetti": {"macchinario": "Pressa ad iniezione industriale (marca MIR visibile)", "oggetti": "Pannello di controllo digitale, pile di sedie in plastica colorate, bobine nere a sinistra"}, "condizioni_ambientali": {"illuminazione": "Luce artificiale interna stabile", "visibilita": "Buona, ma limitata dalla prospettiva posteriore dell'operatore di destra"}, "limiti_osservativi": "La visuale posteriore dell'operatore di destra impedisce di vedere con precisione i comandi digitati e l'esatta direzione del suo sguardo.", "analisi_sicurezza": {"dpi_rilevati": "Guanti protettivi blu su entrambi gli operatori.", "dpi_mancanti_o_dubbi": "Assenza di elmetto protettivo e occhiali di sicurezza. Non è chiaro se l'operatore a sinistra indossi tappi auricolari quando si tocca l'orecchio.", "dinamiche_rischiose_plausibili": "Interazione ravvicinata con parti in movimento della pressa in caso di bypass dei sistemi di sicurezza durante la programmazione.", "fattori_contribuenti": "Presenza di materiale stoccato nelle immediate vicinanze dell'area operativa della macchina."}}</t>
        </is>
      </c>
      <c r="F10" s="7" t="n">
        <v>40</v>
      </c>
      <c r="G10" s="7" t="inlineStr">
        <is>
          <t>Il punteggio di 40 indica un rischio moderato. Sebbene gli operatori utilizzino i guanti protettivi, si rileva la mancanza di DPI importanti come occhiali di sicurezza ed elmetti in prossimità di una pressa industriale. Inoltre, la presenza di materiali stoccati vicino all'area operativa e l'interazione con il pannello di controllo, con visuale parzialmente ostruita, rappresentano fattori di attenzione per prevenire potenziali contatti accidentali o bypass di sicurezza.</t>
        </is>
      </c>
      <c r="H10" s="7" t="n">
        <v>44.37</v>
      </c>
      <c r="I10" s="10" t="inlineStr">
        <is>
          <t>giallo</t>
        </is>
      </c>
      <c r="J10" s="7" t="inlineStr">
        <is>
          <t>{"scene_state": "Due operatori sono posizionati davanti a un grande macchinario industriale in un reparto di produzione.", "environmental_conditions": ["Illuminazione interna artificiale", "Presenza di prodotti plastici impilati (sedie/cestini) sullo sfondo"], "people": ["Operatore a sinistra con t-shirt rosa, cappellino nero e guanti", "Operatore a destra (in primo piano, di spalle) con maglia blu e guanti blu"], "objects": ["Pile di sedie in plastica colorate (rosso, verde, blu)", "Pannello di controllo con display"], "machines": ["Pressa per stampaggio a iniezione industriale di colore arancione e grigio"], "observable_actions": ["L'operatore di destra digita sul tastierino del pannello di controllo della macchina", "L'operatore di sinistra osserva e si porta la mano guantata verso l'orecchio/testa"], "visible_ppe": ["Guanti da lavoro indossati da entrambi gli operatori"], "notes_visibility_limitations": "La visuale del pannello di controllo è parzialmente ostruita dalla sagoma dell'operatore di destra."}</t>
        </is>
      </c>
      <c r="K10" s="7" t="inlineStr">
        <is>
          <t>{"unsafe_behaviors": ["Possibile ridotta consapevolezza situazionale dell'operatore di spalle rispetto all'ambiente circostante", "Gesto dell'operatore di sinistra che potrebbe indicare fastidio acustico o distrazione"], "vulnerable_elements": ["Operatore di destra (di spalle al reparto)", "Operatore di sinistra"], "risk_cues": {"S1_people_vehicle_interference": 0.0, "S2_visibility_attention_reduction": 0.25, "S3_non_compliant_behavior": 0.25, "S4_vehicle_infrastructure_interference": 0.0, "S5_storage_structural_instability": 0.0, "S6_access_to_moving_mechanical_parts": 0.0, "S7_manual_handling_heavy_unstable_loads": 0.0}, "cue_confidence": 0.85, "diagnostic_notes": "Gli operatori si trovano in una zona sicura davanti al pannello di controllo della pressa. Non si osservano mezzi in movimento o movimentazione di carichi. L'operatore di destra lavora di spalle, riducendo la propria visibilità posteriore. Il gesto dell'operatore di sinistra (mano all'orecchio) potrebbe indicare un ambiente rumoroso, suggerendo una possibile necessità di DPI per l'udito non chiaramente visibili."}</t>
        </is>
      </c>
      <c r="L10" s="7" t="inlineStr">
        <is>
          <t>{"causal_chain_plausible": true, "causal_chain_text": "L'operatore di destra lavora di spalle rispetto al reparto produttivo, azzerando la propria visibilità posteriore. Contemporaneamente, l'operatore di sinistra compie un gesto (mano all'orecchio) che suggerisce la presenza di forte rumore ambientale o distrazione. Questa combinazione riduce drasticamente la consapevolezza situazionale acustica e visiva dei due lavoratori.", "near_miss_or_incident_scenario": "Un imprevisto o un elemento di pericolo proveniente dal reparto sopraggiunge alle spalle degli operatori senza che questi possano accorgersene o udire eventuali segnali di avvertimento in tempo utile.", "contributing_factors": ["Posizione di lavoro dell'operatore di spalle rispetto all'ambiente circostante", "Possibile elevato rumore di fondo che compromette la percezione dei segnali acustici", "Ridotta attenzione visiva complessiva verso l'area di transito dietro di loro"]}</t>
        </is>
      </c>
      <c r="M10" s="7" t="n">
        <v>25</v>
      </c>
      <c r="N10" s="7" t="inlineStr">
        <is>
          <t>Il rischio è moderato poiché gli operatori lavorano in una zona protetta davanti al pannello, ma presentano una ridotta consapevolezza situazionale dovuta alla posizione di spalle e al possibile rumore ambientale. Non si rilevano minacce immediate o elementi di pericolo imminente nell'area circostante.</t>
        </is>
      </c>
      <c r="O10" s="7" t="n">
        <v>28.68</v>
      </c>
      <c r="P10" s="10" t="inlineStr">
        <is>
          <t>giallo</t>
        </is>
      </c>
      <c r="Q10" s="7" t="n">
        <v>4.57</v>
      </c>
      <c r="R10" s="7" t="n">
        <v>8.33</v>
      </c>
      <c r="S10" s="11" t="inlineStr">
        <is>
          <t>verde</t>
        </is>
      </c>
      <c r="T10" s="7" t="n">
        <v>0.85</v>
      </c>
      <c r="U10" s="7" t="inlineStr">
        <is>
          <t>Gli operatori si trovano in una zona sicura davanti al pannello di controllo della pressa. Non si osservano mezzi in movimento o movimentazione di carichi. L'operatore di destra lavora di spalle, riducendo la propria visibilità posteriore. Il gesto dell'operatore di sinistra (mano all'orecchio) potrebbe indicare un ambiente rumoroso, suggerendo una possibile necessità di DPI per l'udito non chiaramente visibili.</t>
        </is>
      </c>
      <c r="V10" s="7" t="n">
        <v>0</v>
      </c>
      <c r="W10" s="7" t="n">
        <v>0</v>
      </c>
      <c r="X10" s="7" t="n">
        <v>0.1109</v>
      </c>
      <c r="Y10" s="7" t="n">
        <v>0</v>
      </c>
      <c r="Z10" s="7" t="n">
        <v>0</v>
      </c>
      <c r="AA10" s="7" t="n">
        <v>0.25</v>
      </c>
      <c r="AB10" s="7" t="n">
        <v>0.5553</v>
      </c>
      <c r="AC10" s="7" t="n">
        <v>0.037</v>
      </c>
      <c r="AD10" s="7" t="n">
        <v>2.0546</v>
      </c>
      <c r="AE10" s="7" t="n">
        <v>44.96</v>
      </c>
      <c r="AF10" s="7" t="n">
        <v>0.25</v>
      </c>
      <c r="AG10" s="7" t="n">
        <v>0.2689</v>
      </c>
      <c r="AH10" s="7" t="n">
        <v>0.0549</v>
      </c>
      <c r="AI10" s="7" t="n">
        <v>1.4763</v>
      </c>
      <c r="AJ10" s="7" t="n">
        <v>32.3</v>
      </c>
      <c r="AK10" s="7" t="n">
        <v>0</v>
      </c>
      <c r="AL10" s="7" t="n">
        <v>0.008200000000000001</v>
      </c>
      <c r="AM10" s="7" t="n">
        <v>0.1538</v>
      </c>
      <c r="AN10" s="7" t="n">
        <v>0.1261</v>
      </c>
      <c r="AO10" s="7" t="n">
        <v>2.76</v>
      </c>
      <c r="AP10" s="7" t="n">
        <v>0</v>
      </c>
      <c r="AQ10" s="7" t="n">
        <v>0</v>
      </c>
      <c r="AR10" s="7" t="n">
        <v>0.2228</v>
      </c>
      <c r="AS10" s="7" t="n">
        <v>0</v>
      </c>
      <c r="AT10" s="7" t="n">
        <v>0</v>
      </c>
      <c r="AU10" s="7" t="n">
        <v>0</v>
      </c>
      <c r="AV10" s="7" t="n">
        <v>0.0266</v>
      </c>
      <c r="AW10" s="7" t="n">
        <v>0.3447</v>
      </c>
      <c r="AX10" s="7" t="n">
        <v>0.9169</v>
      </c>
      <c r="AY10" s="7" t="n">
        <v>20.06</v>
      </c>
      <c r="AZ10" s="7" t="n">
        <v>0</v>
      </c>
      <c r="BA10" s="7" t="n">
        <v>0</v>
      </c>
      <c r="BB10" s="7" t="n">
        <v>0.0759</v>
      </c>
      <c r="BC10" s="7" t="n">
        <v>0</v>
      </c>
      <c r="BD10" s="7" t="n">
        <v>0</v>
      </c>
    </row>
    <row r="11" ht="34" customHeight="1">
      <c r="A11" s="7" t="n">
        <v>9</v>
      </c>
      <c r="B11" s="7" t="n">
        <v>18</v>
      </c>
      <c r="C11" s="7" t="n">
        <v>22</v>
      </c>
      <c r="D11" s="7" t="n">
        <v>4</v>
      </c>
      <c r="E11" s="7" t="inlineStr">
        <is>
          <t>{"descrizione_generale": "La scena mostra due operatori all'interno di un impianto industriale, posizionati davanti a un grande macchinario di stampaggio a iniezione in funzione.", "contesto_industriale": "Stabilimento di produzione o stampaggio di materie plastiche, evidenziato dalla presenza di pile di sedie in plastica colorata sullo sfondo e componenti cilindrici neri a sinistra.", "persone_presenti": [{"ruolo": "Operatore principale", "posizione": "In primo piano a destra, di spalle rispetto alla telecamera", "abbigliamento": "Maglia blu con strisce bianche, guanti protettivi blu", "azione": "Interagisce direttamente con il pannello di controllo digitale del macchinario"}, {"ruolo": "Operatore di supporto / osservatore", "posizione": "A sinistra, di profilo", "abbigliamento": "T-shirt rosa, cappellino con visiera nero, guanti protettivi blu", "azione": "Osserva l'operatore principale e si tocca brevemente l'area dell'orecchio/cappellino"}], "macchinari_e_oggetti": {"macchinario_principale": "Pressa per stampaggio a iniezione (marca MIR parzialmente visibile) con pannello di controllo elettronico attivo", "oggetti_sfondo": "Sedie in plastica impilate (rosse, verdi, blu), bobine o componenti neri impilati a sinistra"}, "dispositivi_protezione_individuale": {"rilevati": "Guanti protettivi di colore blu per entrambi gli operatori", "non_rilevati_o_mancanti": "Assenza di elmetti protettivi (sostituiti da cappellini con visiera) e assenza visibile di occhiali di protezione o dispositivi di protezione dell'udito, nonostante la prossimità a macchinari industriali pesanti"}, "condizioni_ambientali_e_visibilita": {"illuminazione": "Buona, artificiale tipica da interno industriale", "limitazioni": "L'operatore a destra è di spalle, limitando la visibilità delle sue espressioni facciali e dell'esatta interazione con i pulsanti"}, "analisi_rischi_e_prevenzione": {"dinamica_in_corso": "Interazione diretta con interfaccia macchina in fase operativa", "sviluppi_rischiosi_plausibili": "Rischio di schiacciamento o intrappolamento se gli operatori dovessero avvicinarsi alle parti mobili della pressa senza adeguate barriere; potenziale rischio di lesioni oculari o alla testa dovuto alla mancanza di DPI specifici (occhiali ed elmetto) in prossimità di carichi o parti meccaniche in movimento"}}</t>
        </is>
      </c>
      <c r="F11" s="7" t="n">
        <v>50</v>
      </c>
      <c r="G11" s="7" t="inlineStr">
        <is>
          <t>Il punteggio di 50 indica un livello di rischio moderato. Sebbene gli operatori stiano eseguendo procedure standard e indossino guanti protettivi, si rileva la mancata adozione di DPI critici come elmetti di protezione (sostituiti da un cappellino con visiera) e occhiali di sicurezza. Operare in prossimità di una pressa per stampaggio a iniezione attiva senza queste protezioni espone il personale a rischi di lesioni oculari e traumi cranici in caso di proiezioni di materiale o contatti accidentali con parti meccaniche.</t>
        </is>
      </c>
      <c r="H11" s="7" t="n">
        <v>50.25</v>
      </c>
      <c r="I11" s="9" t="inlineStr">
        <is>
          <t>arancione</t>
        </is>
      </c>
      <c r="J11" s="7" t="inlineStr">
        <is>
          <t>{"scene_state": "Ambiente industriale interno, reparto stampaggio materie plastiche.", "environmental_conditions": ["Illuminazione artificiale stabile", "Presenza di prodotti finiti (sedie in plastica) sullo sfondo"], "people": ["Operatore a sinistra con maglietta rosa, cappellino nero e guanti blu", "Operatore a destra, di spalle, con maglietta blu e guanti blu"], "objects": ["Pile di sedie in plastica colorate (rosso, verde, blu)", "Supporto o tavolo bianco", "Bobina o cilindro nero a sinistra"], "machines": ["Grande pressa per stampaggio a iniezione (marchio MIR)", "Pannello di controllo digitale con schermo"], "observable_actions": ["L'operatore di destra interagisce con i tasti del pannello di controllo", "L'operatore di sinistra indossa e sistema i guanti protettivi blu"], "visible_ppe": ["Guanti protettivi blu indossati da entrambi gli operatori"], "notes_visibility_limitations": "L'operatore di destra è visibile solo di spalle. La parte inferiore del corpo di entrambi i soggetti è parzialmente coperta."}</t>
        </is>
      </c>
      <c r="K11" s="7" t="inlineStr">
        <is>
          <t>{"unsafe_behaviors": [], "vulnerable_elements": ["Operatore di destra (di spalle rispetto all'ambiente)", "Operatore di sinistra"], "risk_cues": {"S1_people_vehicle_interference": 0.0, "S2_visibility_attention_reduction": 0.25, "S3_non_compliant_behavior": 0.0, "S4_vehicle_infrastructure_interference": 0.0, "S5_storage_structural_instability": 0.0, "S6_access_to_moving_mechanical_parts": 0.0, "S7_manual_handling_heavy_unstable_loads": 0.0}, "cue_confidence": 0.85, "diagnostic_notes": "La scena mostra una situazione di lavoro ordinaria presso la pressa ad iniezione. L'operatore di destra lavora di spalle rispetto all'area di transito circostante per interagire con il pannello di controllo, riducendo parzialmente la propria consapevolezza situazionale (S2). Entrambi gli operatori indossano i guanti protettivi e non si osservano comportamenti non conformi o rischi immediati legati a carichi o organi in movimento."}</t>
        </is>
      </c>
      <c r="L11" s="7" t="inlineStr">
        <is>
          <t>{"causal_chain_plausible": false, "causal_chain_text": "", "near_miss_or_incident_scenario": "", "contributing_factors": ["Operatore di destra posizionato di spalle rispetto all'area di transito circostante"]}</t>
        </is>
      </c>
      <c r="M11" s="7" t="n">
        <v>15</v>
      </c>
      <c r="N11" s="7" t="inlineStr">
        <is>
          <t>Il livello di rischio è basso poiché gli operatori adottano comportamenti conformi e utilizzano i DPI necessari. L'unica lieve criticità è la ridotta consapevolezza situazionale dell'operatore di destra che lavora di spalle rispetto all'area di transito.</t>
        </is>
      </c>
      <c r="O11" s="7" t="n">
        <v>20.47</v>
      </c>
      <c r="P11" s="11" t="inlineStr">
        <is>
          <t>verde</t>
        </is>
      </c>
      <c r="Q11" s="7" t="n">
        <v>3.26</v>
      </c>
      <c r="R11" s="7" t="n">
        <v>5.29</v>
      </c>
      <c r="S11" s="11" t="inlineStr">
        <is>
          <t>verde</t>
        </is>
      </c>
      <c r="T11" s="7" t="n">
        <v>0.85</v>
      </c>
      <c r="U11" s="7" t="inlineStr">
        <is>
          <t>La scena mostra una situazione di lavoro ordinaria presso la pressa ad iniezione. L'operatore di destra lavora di spalle rispetto all'area di transito circostante per interagire con il pannello di controllo, riducendo parzialmente la propria consapevolezza situazionale (S2). Entrambi gli operatori indossano i guanti protettivi e non si osservano comportamenti non conformi o rischi immediati legati a carichi o organi in movimento.</t>
        </is>
      </c>
      <c r="V11" s="7" t="n">
        <v>0</v>
      </c>
      <c r="W11" s="7" t="n">
        <v>0</v>
      </c>
      <c r="X11" s="7" t="n">
        <v>0.1109</v>
      </c>
      <c r="Y11" s="7" t="n">
        <v>0</v>
      </c>
      <c r="Z11" s="7" t="n">
        <v>0</v>
      </c>
      <c r="AA11" s="7" t="n">
        <v>0.25</v>
      </c>
      <c r="AB11" s="7" t="n">
        <v>0.5553</v>
      </c>
      <c r="AC11" s="7" t="n">
        <v>0.037</v>
      </c>
      <c r="AD11" s="7" t="n">
        <v>2.0546</v>
      </c>
      <c r="AE11" s="7" t="n">
        <v>63.02</v>
      </c>
      <c r="AF11" s="7" t="n">
        <v>0</v>
      </c>
      <c r="AG11" s="7" t="n">
        <v>0.0293</v>
      </c>
      <c r="AH11" s="7" t="n">
        <v>0.0549</v>
      </c>
      <c r="AI11" s="7" t="n">
        <v>0.1609</v>
      </c>
      <c r="AJ11" s="7" t="n">
        <v>4.94</v>
      </c>
      <c r="AK11" s="7" t="n">
        <v>0</v>
      </c>
      <c r="AL11" s="7" t="n">
        <v>0.008200000000000001</v>
      </c>
      <c r="AM11" s="7" t="n">
        <v>0.1538</v>
      </c>
      <c r="AN11" s="7" t="n">
        <v>0.1261</v>
      </c>
      <c r="AO11" s="7" t="n">
        <v>3.87</v>
      </c>
      <c r="AP11" s="7" t="n">
        <v>0</v>
      </c>
      <c r="AQ11" s="7" t="n">
        <v>0</v>
      </c>
      <c r="AR11" s="7" t="n">
        <v>0.2228</v>
      </c>
      <c r="AS11" s="7" t="n">
        <v>0</v>
      </c>
      <c r="AT11" s="7" t="n">
        <v>0</v>
      </c>
      <c r="AU11" s="7" t="n">
        <v>0</v>
      </c>
      <c r="AV11" s="7" t="n">
        <v>0.0266</v>
      </c>
      <c r="AW11" s="7" t="n">
        <v>0.3447</v>
      </c>
      <c r="AX11" s="7" t="n">
        <v>0.9169</v>
      </c>
      <c r="AY11" s="7" t="n">
        <v>28.13</v>
      </c>
      <c r="AZ11" s="7" t="n">
        <v>0</v>
      </c>
      <c r="BA11" s="7" t="n">
        <v>0</v>
      </c>
      <c r="BB11" s="7" t="n">
        <v>0.0759</v>
      </c>
      <c r="BC11" s="7" t="n">
        <v>0</v>
      </c>
      <c r="BD11" s="7" t="n">
        <v>0</v>
      </c>
    </row>
    <row r="12" ht="34" customHeight="1">
      <c r="A12" s="7" t="n">
        <v>10</v>
      </c>
      <c r="B12" s="7" t="n">
        <v>20</v>
      </c>
      <c r="C12" s="7" t="n">
        <v>24</v>
      </c>
      <c r="D12" s="7" t="n">
        <v>4</v>
      </c>
      <c r="E12" s="7" t="inlineStr">
        <is>
          <t>{"metadati": {"tempo_inizio_s": 20.0, "tempo_fine_s": 24.0, "durata_s": 4.0}, "descrizione_generale": {"scena": "Interno di uno stabilimento industriale, presumibilmente dedicato allo stampaggio di materie plastiche.", "contesto": "Area di produzione con macchinari pesanti e stoccaggio di prodotti finiti come sedie e cesti in plastica colorata."}, "elementi_rilevati": {"persone": [{"id": 1, "ruolo_apparente": "Operatore", "posizione": "Sinistra, vicino alla pressa", "abbigliamento": "T-shirt rosa, cappellino nero con visiera, guanti protettivi blu"}, {"id": 2, "ruolo_apparente": "Operatore/Supervisore", "posizione": "Destra, di fronte al pannello di controllo", "abbigliamento": "Maglia blu, guanti protettivi blu"}], "macchinari": [{"tipo": "Pressa per stampaggio a iniezione", "marca_visibile": "MIR", "componenti": "Pannello di controllo digitale, area stampo centrale"}], "oggetti": ["Pile di sedie in plastica (rosse, verdi, blu) sullo sfondo", "Bobine o componenti neri a sinistra"]}, "dinamica_e_azioni": {"attivita": "L'operatore a destra interagisce con il pannello di controllo della pressa. L'operatore a sinistra solleva le mani guantate verso la macchina, preparandosi a un'azione o segnalando qualcosa.", "condizioni_ambientali": "Illuminazione artificiale interna sufficiente, visibilità buona.", "limiti_osservativi": "La visuale dell'area interna della pressa è parzialmente ostruita dalla struttura del macchinario stesso."}, "analisi_sicurezza": {"dpi_rilevati": ["Guanti protettivi blu su entrambi gli operatori"], "dpi_mancanti_potenziali": ["Occhiali di protezione", "Elmetto di sicurezza", "Calzature antinfortunistiche (non visibili)"], "ragionamento_prudenziale": "Gli operatori lavorano a distanza ravvicinata da un macchinario industriale pesante in funzione. La vicinanza fisica alle parti in movimento richiede costante attenzione.", "sviluppi_rischiosi_plausibili": "Rischio moderato di schiacciamento degli arti superiori o contatto accidentale con superfici calde/organi in movimento qualora i sistemi di sicurezza della pressa venissero bypassati o non funzionassero correttamente."}}</t>
        </is>
      </c>
      <c r="F12" s="7" t="n">
        <v>35</v>
      </c>
      <c r="G12" s="7" t="inlineStr">
        <is>
          <t>Il punteggio riflette un rischio moderato. Sebbene gli operatori indossino guanti protettivi e operino in condizioni apparentemente normali, la prossimità a una pressa industriale pesante in funzione e la potenziale assenza di DPI critici (come occhiali di protezione ed elmetto) in un'area di stampaggio a caldo comportano un livello di rischio latente che richiede vigilanza.</t>
        </is>
      </c>
      <c r="H12" s="7" t="n">
        <v>41.1</v>
      </c>
      <c r="I12" s="10" t="inlineStr">
        <is>
          <t>giallo</t>
        </is>
      </c>
      <c r="J12" s="7" t="inlineStr">
        <is>
          <t>{"scene_state": "Ambiente industriale di stampaggio plastico in attività.", "environmental_conditions": ["Illuminazione interna artificiale", "Spazio di lavoro al chiuso"], "people": ["Operatore a sinistra con maglietta rosa e cappellino nero", "Operatore a destra posizionato davanti al pannello di controllo"], "objects": ["Sedie in plastica colorate impilate sullo sfondo", "Pannello di controllo con schermo e tastiera"], "machines": ["Pressa industriale per stampaggio a iniezione"], "observable_actions": ["L'operatore a sinistra solleva le mani indossando guanti blu", "L'operatore a destra interagisce con l'area del pannello di controllo della macchina"], "visible_ppe": ["Guanti protettivi di colore blu indossati da entrambi gli operatori"], "notes_visibility_limitations": "La visuale è parzialmente limitata dall'alto, ostruendo la parte inferiore del corpo dei soggetti."}</t>
        </is>
      </c>
      <c r="K12" s="7" t="inlineStr">
        <is>
          <t>{"unsafe_behaviors": [], "vulnerable_elements": ["Operatore a sinistra", "Operatore a destra"], "risk_cues": {"S1_people_vehicle_interference": 0.0, "S2_visibility_attention_reduction": 0.25, "S3_non_compliant_behavior": 0.0, "S4_vehicle_infrastructure_interference": 0.0, "S5_storage_structural_instability": 0.0, "S6_access_to_moving_mechanical_parts": 0.25, "S7_manual_handling_heavy_unstable_loads": 0.0}, "cue_confidence": 0.85, "diagnostic_notes": "La scena mostra un'operatività standard presso una pressa ad iniezione. Gli operatori indossano i DPI visibili (guanti blu). L'operatore a destra interagisce con il pannello di controllo, mentre quello a sinistra solleva le mani, senza evidenziare comportamenti non conformi. La limitazione visiva sulla parte inferiore del corpo non permette di verificare calzature di sicurezza o ostacoli a terra."}</t>
        </is>
      </c>
      <c r="L12" s="7" t="inlineStr">
        <is>
          <t>{"causal_chain_plausible": false, "causal_chain_text": "", "near_miss_or_incident_scenario": "", "contributing_factors": ["Limitata visibilità della parte inferiore del corpo degli operatori", "Presenza di organi meccanici in movimento della pressa industriale"]}</t>
        </is>
      </c>
      <c r="M12" s="7" t="n">
        <v>15</v>
      </c>
      <c r="N12" s="7" t="inlineStr">
        <is>
          <t>Il rischio è basso poiché gli operatori svolgono attività standard indossando i guanti protettivi e senza mostrare comportamenti non conformi. Rimane una minima attenzione dovuta alla presenza della pressa industriale e alla parziale limitazione visiva degli arti inferiori.</t>
        </is>
      </c>
      <c r="O12" s="7" t="n">
        <v>17.19</v>
      </c>
      <c r="P12" s="11" t="inlineStr">
        <is>
          <t>verde</t>
        </is>
      </c>
      <c r="Q12" s="7" t="n">
        <v>14.55</v>
      </c>
      <c r="R12" s="7" t="n">
        <v>13.67</v>
      </c>
      <c r="S12" s="11" t="inlineStr">
        <is>
          <t>verde</t>
        </is>
      </c>
      <c r="T12" s="7" t="n">
        <v>0.85</v>
      </c>
      <c r="U12" s="7" t="inlineStr">
        <is>
          <t>La scena mostra un'operatività standard presso una pressa ad iniezione. Gli operatori indossano i DPI visibili (guanti blu). L'operatore a destra interagisce con il pannello di controllo, mentre quello a sinistra solleva le mani, senza evidenziare comportamenti non conformi. La limitazione visiva sulla parte inferiore del corpo non permette di verificare calzature di sicurezza o ostacoli a terra.</t>
        </is>
      </c>
      <c r="V12" s="7" t="n">
        <v>0</v>
      </c>
      <c r="W12" s="7" t="n">
        <v>0</v>
      </c>
      <c r="X12" s="7" t="n">
        <v>0.1109</v>
      </c>
      <c r="Y12" s="7" t="n">
        <v>0</v>
      </c>
      <c r="Z12" s="7" t="n">
        <v>0</v>
      </c>
      <c r="AA12" s="7" t="n">
        <v>0.25</v>
      </c>
      <c r="AB12" s="7" t="n">
        <v>0.5553</v>
      </c>
      <c r="AC12" s="7" t="n">
        <v>0.037</v>
      </c>
      <c r="AD12" s="7" t="n">
        <v>2.0546</v>
      </c>
      <c r="AE12" s="7" t="n">
        <v>14.12</v>
      </c>
      <c r="AF12" s="7" t="n">
        <v>0</v>
      </c>
      <c r="AG12" s="7" t="n">
        <v>0.0293</v>
      </c>
      <c r="AH12" s="7" t="n">
        <v>0.0549</v>
      </c>
      <c r="AI12" s="7" t="n">
        <v>0.1609</v>
      </c>
      <c r="AJ12" s="7" t="n">
        <v>1.11</v>
      </c>
      <c r="AK12" s="7" t="n">
        <v>0</v>
      </c>
      <c r="AL12" s="7" t="n">
        <v>0.008200000000000001</v>
      </c>
      <c r="AM12" s="7" t="n">
        <v>0.1538</v>
      </c>
      <c r="AN12" s="7" t="n">
        <v>0.1261</v>
      </c>
      <c r="AO12" s="7" t="n">
        <v>0.87</v>
      </c>
      <c r="AP12" s="7" t="n">
        <v>0</v>
      </c>
      <c r="AQ12" s="7" t="n">
        <v>0</v>
      </c>
      <c r="AR12" s="7" t="n">
        <v>0.2228</v>
      </c>
      <c r="AS12" s="7" t="n">
        <v>0</v>
      </c>
      <c r="AT12" s="7" t="n">
        <v>0</v>
      </c>
      <c r="AU12" s="7" t="n">
        <v>0.25</v>
      </c>
      <c r="AV12" s="7" t="n">
        <v>0.3543</v>
      </c>
      <c r="AW12" s="7" t="n">
        <v>0.3447</v>
      </c>
      <c r="AX12" s="7" t="n">
        <v>12.2127</v>
      </c>
      <c r="AY12" s="7" t="n">
        <v>83.94</v>
      </c>
      <c r="AZ12" s="7" t="n">
        <v>0</v>
      </c>
      <c r="BA12" s="7" t="n">
        <v>0</v>
      </c>
      <c r="BB12" s="7" t="n">
        <v>0.0759</v>
      </c>
      <c r="BC12" s="7" t="n">
        <v>0</v>
      </c>
      <c r="BD12" s="7" t="n">
        <v>0</v>
      </c>
    </row>
    <row r="13" ht="34" customHeight="1">
      <c r="A13" s="7" t="n">
        <v>11</v>
      </c>
      <c r="B13" s="7" t="n">
        <v>22</v>
      </c>
      <c r="C13" s="7" t="n">
        <v>26</v>
      </c>
      <c r="D13" s="7" t="n">
        <v>4</v>
      </c>
      <c r="E13" s="7" t="inlineStr">
        <is>
          <t>{"metadati": {"finestra_temporale": "22.0 - 26.0 secondi", "durata": "4.0 secondi"}, "descrizione_scena": {"contesto": "Sito industriale di stampaggio materie plastiche, evidenziato da pile di cesti plastici colorati sullo sfondo.", "macchinari": "Pressa ad iniezione industriale (marca MIR) con unità di controllo elettronica e schermo attivi sulla destra.", "presenze": "Due operatori di sesso maschile posizionati a ridosso della zona operativa del macchinario."}, "analisi_operatori": [{"posizione": "Sinistra", "attivita": "Manipola componenti all'interno della zona dello stampo della pressa.", "dpi_osservati": "Guanti protettivi blu.", "dpi_mancanti_visibili": "Assenza di elmetto protettivo (indossa cappellino con visiera) e occhiali di sicurezza."}, {"posizione": "Destra (primo piano)", "attivita": "Osserva l'operazione tenendo la mano guantata vicino alla struttura del macchinario.", "dpi_osservati": "Guanti protettivi blu."}], "condizioni_visibilita": {"stato": "Illuminazione interna sufficiente. L'inquadratura dall'alto limita la visuale della parte inferiore del corpo dei soggetti e dei dettagli interni della pressa."}, "analisi_rischi_sicurezza": {"dinamica_osservata": "Intervento manuale diretto nella zona di movimento della pressa mentre la macchina è potenzialmente alimentata.", "rischi_plausibili": "Schiacciamento o intrappolamento degli arti superiori in caso di attivazione imprevista del ciclo di stampaggio o cedimento dei blocchi di sicurezza.", "fattori_contribuenti": "Prossimità fisica di entrambi gli operatori all'area di pericolo e potenziale mancanza di coordinamento nell'uso dei comandi."}}</t>
        </is>
      </c>
      <c r="F13" s="7" t="n">
        <v>90</v>
      </c>
      <c r="G13" s="7" t="inlineStr">
        <is>
          <t>Il punteggio di 90 è giustificato dall'elevata criticità dell'operazione: un operatore interviene manualmente direttamente all'interno della zona dello stampo di una pressa ad iniezione potenzialmente alimentata, esponendosi al rischio gravissimo di schiacciamento o amputazione degli arti superiori. La presenza di un secondo operatore nelle immediate vicinanze aumenta il rischio di attivazione accidentale o di mancato coordinamento. Inoltre, si rileva il mancato utilizzo di DPI fondamentali come l'elmetto protettivo e gli occhiali di sicurezza.</t>
        </is>
      </c>
      <c r="H13" s="7" t="n">
        <v>84.19</v>
      </c>
      <c r="I13" s="8" t="inlineStr">
        <is>
          <t>rosso</t>
        </is>
      </c>
      <c r="J13" s="7" t="inlineStr">
        <is>
          <t>{"scene_state": "Interno di uno stabilimento industriale, reparto stampaggio materie plastiche.", "environmental_conditions": ["Illuminazione artificiale interna costante", "Presenza di materiale stoccato sullo sfondo"], "people": ["Operatore a sinistra con t-shirt rosa e cappellino nero", "Operatore a destra in primo piano, parzialmente inquadrato"], "objects": ["Sedie in plastica impilate (verdi, rosse, blu)", "Pannello di controllo digitale con schermo", "Supporto o tavolo bianco sotto la macchina"], "machines": ["Pressa industriale per stampaggio a iniezione (marca MIR)"], "observable_actions": ["L'operatore a sinistra lavora sulla parte laterale/barriera della macchina", "L'operatore a destra osserva l'area di lavoro tenendo la mano sulla struttura"], "visible_ppe": ["Guanti protettivi di colore blu per entrambi gli operatori"], "notes_visibility_limitations": "L'inquadratura ravvicinata taglia parzialmente il corpo dell'operatore a destra. La visuale interna della macchina è limitata dalla struttura stessa."}</t>
        </is>
      </c>
      <c r="K13" s="7" t="inlineStr">
        <is>
          <t>{"unsafe_behaviors": [], "vulnerable_elements": ["Operatore a sinistra con t-shirt rosa", "Operatore a destra in primo piano"], "risk_cues": {"S1_people_vehicle_interference": 0.0, "S2_visibility_attention_reduction": 0.25, "S3_non_compliant_behavior": 0.0, "S4_vehicle_infrastructure_interference": 0.0, "S5_storage_structural_instability": 0.0, "S6_access_to_moving_mechanical_parts": 0.25, "S7_manual_handling_heavy_unstable_loads": 0.0}, "cue_confidence": 0.85, "diagnostic_notes": "Gli operatori lavorano in prossimità di una pressa ad iniezione MIR. L'operatore a sinistra interviene sulla barriera laterale indossando guanti protettivi. La visibilità interna della macchina è parzialmente limitata dalla struttura (S2), ma non si rilevano comportamenti non conformi o pericoli immediati legati a organi in movimento non protetti o mezzi di movimentazione."}</t>
        </is>
      </c>
      <c r="L13" s="7" t="inlineStr">
        <is>
          <t>{"causal_chain_plausible": true, "causal_chain_text": "L'operatore a sinistra esegue un intervento manuale sulla barriera laterale della pressa MIR. La visibilità interna limitata (S2) e la prossimità a organi meccanici (S6) possono causare un contatto accidentale o un intrappolamento degli arti qualora la macchina non sia in uno stato di arresto sicuro o si attivi inaspettatamente.", "near_miss_or_incident_scenario": "Schiacciamento o intrappolamento della mano o del braccio dell'operatore a sinistra all'interno della zona di movimento della pressa ad iniezione.", "contributing_factors": ["Limitata visibilità interna della macchina dovuta alla struttura stessa", "Intervento manuale diretto sulla parte laterale/barriera della pressa", "Prossimità fisica degli operatori a una macchina industriale per stampaggio attiva o potenzialmente attiva"]}</t>
        </is>
      </c>
      <c r="M13" s="7" t="n">
        <v>20</v>
      </c>
      <c r="N13" s="7" t="inlineStr">
        <is>
          <t>Il livello di rischio è basso poiché gli operatori indossano i DPI necessari e non mostrano comportamenti non conformi. Permane un rischio residuo minimo dovuto alla prossimità alla pressa industriale e alla visibilità parzialmente limitata della zona di lavoro.</t>
        </is>
      </c>
      <c r="O13" s="7" t="n">
        <v>20.13</v>
      </c>
      <c r="P13" s="11" t="inlineStr">
        <is>
          <t>verde</t>
        </is>
      </c>
      <c r="Q13" s="7" t="n">
        <v>14.55</v>
      </c>
      <c r="R13" s="7" t="n">
        <v>14.2</v>
      </c>
      <c r="S13" s="11" t="inlineStr">
        <is>
          <t>verde</t>
        </is>
      </c>
      <c r="T13" s="7" t="n">
        <v>0.85</v>
      </c>
      <c r="U13" s="7" t="inlineStr">
        <is>
          <t>Gli operatori lavorano in prossimità di una pressa ad iniezione MIR. L'operatore a sinistra interviene sulla barriera laterale indossando guanti protettivi. La visibilità interna della macchina è parzialmente limitata dalla struttura (S2), ma non si rilevano comportamenti non conformi o pericoli immediati legati a organi in movimento non protetti o mezzi di movimentazione.</t>
        </is>
      </c>
      <c r="V13" s="7" t="n">
        <v>0</v>
      </c>
      <c r="W13" s="7" t="n">
        <v>0</v>
      </c>
      <c r="X13" s="7" t="n">
        <v>0.1109</v>
      </c>
      <c r="Y13" s="7" t="n">
        <v>0</v>
      </c>
      <c r="Z13" s="7" t="n">
        <v>0</v>
      </c>
      <c r="AA13" s="7" t="n">
        <v>0.25</v>
      </c>
      <c r="AB13" s="7" t="n">
        <v>0.5553</v>
      </c>
      <c r="AC13" s="7" t="n">
        <v>0.037</v>
      </c>
      <c r="AD13" s="7" t="n">
        <v>2.0546</v>
      </c>
      <c r="AE13" s="7" t="n">
        <v>14.12</v>
      </c>
      <c r="AF13" s="7" t="n">
        <v>0</v>
      </c>
      <c r="AG13" s="7" t="n">
        <v>0.0293</v>
      </c>
      <c r="AH13" s="7" t="n">
        <v>0.0549</v>
      </c>
      <c r="AI13" s="7" t="n">
        <v>0.1609</v>
      </c>
      <c r="AJ13" s="7" t="n">
        <v>1.11</v>
      </c>
      <c r="AK13" s="7" t="n">
        <v>0</v>
      </c>
      <c r="AL13" s="7" t="n">
        <v>0.008200000000000001</v>
      </c>
      <c r="AM13" s="7" t="n">
        <v>0.1538</v>
      </c>
      <c r="AN13" s="7" t="n">
        <v>0.1261</v>
      </c>
      <c r="AO13" s="7" t="n">
        <v>0.87</v>
      </c>
      <c r="AP13" s="7" t="n">
        <v>0</v>
      </c>
      <c r="AQ13" s="7" t="n">
        <v>0</v>
      </c>
      <c r="AR13" s="7" t="n">
        <v>0.2228</v>
      </c>
      <c r="AS13" s="7" t="n">
        <v>0</v>
      </c>
      <c r="AT13" s="7" t="n">
        <v>0</v>
      </c>
      <c r="AU13" s="7" t="n">
        <v>0.25</v>
      </c>
      <c r="AV13" s="7" t="n">
        <v>0.3543</v>
      </c>
      <c r="AW13" s="7" t="n">
        <v>0.3447</v>
      </c>
      <c r="AX13" s="7" t="n">
        <v>12.2127</v>
      </c>
      <c r="AY13" s="7" t="n">
        <v>83.94</v>
      </c>
      <c r="AZ13" s="7" t="n">
        <v>0</v>
      </c>
      <c r="BA13" s="7" t="n">
        <v>0</v>
      </c>
      <c r="BB13" s="7" t="n">
        <v>0.0759</v>
      </c>
      <c r="BC13" s="7" t="n">
        <v>0</v>
      </c>
      <c r="BD13" s="7" t="n">
        <v>0</v>
      </c>
    </row>
    <row r="14" ht="34" customHeight="1">
      <c r="A14" s="7" t="n">
        <v>12</v>
      </c>
      <c r="B14" s="7" t="n">
        <v>24</v>
      </c>
      <c r="C14" s="7" t="n">
        <v>28</v>
      </c>
      <c r="D14" s="7" t="n">
        <v>4</v>
      </c>
      <c r="E14" s="7" t="inlineStr">
        <is>
          <t>{"analisi_temporale": {"inizio_s": 24.0, "fine_s": 28.0, "durata_s": 4.0}, "descrizione_scena": {"contesto": "Reparto industriale per lo stampaggio di materie plastiche.", "macchinari": "Pressa ad iniezione MIR dotata di unità di controllo con schermo.", "oggetti": "Sedie e contenitori in plastica impilati sullo sfondo, terminale di supporto bianco."}, "personale_e_dpi": {"operatori_presenti": 2, "operatore_sinistra": "Uomo con t-shirt rosa e cappellino nero, indossa guanti blu.", "operatore_destra": "Uomo in primo piano, visibile parzialmente, indossa guanti blu.", "dpi_rilevati": ["Guanti protettivi"], "dpi_assenti_visibili": "Mancanza di occhiali di sicurezza e protezione per il capo."}, "azioni_e_condizioni": {"attivita": "Presidio e controllo manuale nei pressi della zona di stampaggio.", "condizioni_ambientali": "Illuminazione artificiale interna, visibilità generale buona.", "limitazioni_visive": "Inquadratura ravvicinata che occlude parzialmente i movimenti dell'operatore di destra e l'interno macchina."}, "analisi_sicurezza": {"valutazione_rischio": "Moderata (3 su 5)", "dinamiche_rischiose": "Presenza delle mani degli operatori vicino alle aree di movimento della pressa.", "sviluppi_plausibili": "Rischio di schiacciamento o cesoiamento degli arti in caso di avvio imprevisto del ciclo di chiusura.", "fattori_contribuenti": "Distanza di sicurezza ridotta rispetto agli organi lavoratori del macchinario."}}</t>
        </is>
      </c>
      <c r="F14" s="7" t="n">
        <v>60</v>
      </c>
      <c r="G14" s="7" t="inlineStr">
        <is>
          <t>Il punteggio di 60 riflette un livello di rischio moderato ma significativo. Gli operatori lavorano a distanza ridotta dagli organi in movimento della pressa ad iniezione, esponendo le mani a potenziali rischi di schiacciamento o cesoiamento in caso di avvio imprevisto del ciclo. Sebbene utilizzino guanti protettivi, si rileva la mancanza di altri DPI importanti come occhiali di sicurezza e protezione per il capo in un ambiente.</t>
        </is>
      </c>
      <c r="H14" s="7" t="n">
        <v>69.68000000000001</v>
      </c>
      <c r="I14" s="9" t="inlineStr">
        <is>
          <t>arancione</t>
        </is>
      </c>
      <c r="J14" s="7" t="inlineStr">
        <is>
          <t>{"scene_state": "Interno di un impianto industriale, presumibilmente per lo stampaggio di materie plastiche.", "environmental_conditions": ["Illuminazione artificiale interna", "Ambiente di lavoro industriale"], "people": ["Operatore a sinistra con maglietta rosa e cappellino nero", "Operatore a destra in primo piano con maglietta grigia"], "objects": ["Ceste di plastica colorate impilate sullo sfondo", "Bobina o rotolo nero a sinistra", "Pannello di controllo con schermo e tastiera"], "machines": ["Grande pressa a iniezione industriale di colore arancione e grigio"], "observable_actions": ["L'operatore a sinistra osserva l'area di lavoro della macchina", "L'operatore a destra guarda verso l'alto in direzione del macchinario"], "visible_ppe": ["Guanti protettivi blu indossati da entrambi gli operatori"], "notes_visibility_limitations": "Inquadratura ravvicinata che taglia la parte inferiore del corpo dei soggetti; l'operatore in primo piano ostruisce parzialmente la visuale."}</t>
        </is>
      </c>
      <c r="K14" s="7" t="inlineStr">
        <is>
          <t>{"unsafe_behaviors": [], "vulnerable_elements": ["Operatore a sinistra vicino all'area di lavoro della pressa", "Operatore a destra in primo piano"], "risk_cues": {"S1_people_vehicle_interference": 0.0, "S2_visibility_attention_reduction": 0.25, "S3_non_compliant_behavior": 0.0, "S4_vehicle_infrastructure_interference": 0.0, "S5_storage_structural_instability": 0.0, "S6_access_to_moving_mechanical_parts": 0.25, "S7_manual_handling_heavy_unstable_loads": 0.0}, "cue_confidence": 0.85, "diagnostic_notes": "Gli operatori si trovano in prossimità di una pressa a iniezione industriale. Entrambi indossano guanti protettivi e si limitano a osservare il macchinario, senza eseguire interventi manuali diretti o mostrare comportamenti non conformi. La visibilità è parzialmente limitata dall'inquadratura stretta."}</t>
        </is>
      </c>
      <c r="L14" s="7" t="inlineStr">
        <is>
          <t>{"causal_chain_plausible": true, "causal_chain_text": "La prossimità degli operatori alla pressa a iniezione, combinata con l'osservazione ravvicinata del macchinario, può causare un contatto involontario con organi in movimento in caso di distrazione o movimento improvviso.", "near_miss_or_incident_scenario": "Un operatore si avvicina eccessivamente alla zona di stampaggio della pressa attiva, rischiando lo schiacciamento o l'intrappolamento degli arti superiori.", "contributing_factors": ["Presenza di parti meccaniche in movimento della pressa a iniezione", "Distanza ravvicinata dei soggetti all'area di pericolo", "Limitazione della visibilità e potenziale riduzione dell'attenzione"]}</t>
        </is>
      </c>
      <c r="M14" s="7" t="n">
        <v>30</v>
      </c>
      <c r="N14" s="7" t="inlineStr">
        <is>
          <t>Il rischio è moderato a causa della stretta vicinanza degli operatori a una pressa a iniezione industriale in funzione. Pur non essendoci comportamenti scorretti e indossando i guanti protettivi, la prossimità a parti meccaniche in movimento richiede un livello di attenzione costante.</t>
        </is>
      </c>
      <c r="O14" s="7" t="n">
        <v>28.55</v>
      </c>
      <c r="P14" s="10" t="inlineStr">
        <is>
          <t>giallo</t>
        </is>
      </c>
      <c r="Q14" s="7" t="n">
        <v>14.55</v>
      </c>
      <c r="R14" s="7" t="n">
        <v>14.41</v>
      </c>
      <c r="S14" s="11" t="inlineStr">
        <is>
          <t>verde</t>
        </is>
      </c>
      <c r="T14" s="7" t="n">
        <v>0.85</v>
      </c>
      <c r="U14" s="7" t="inlineStr">
        <is>
          <t>Gli operatori si trovano in prossimità di una pressa a iniezione industriale. Entrambi indossano guanti protettivi e si limitano a osservare il macchinario, senza eseguire interventi manuali diretti o mostrare comportamenti non conformi. La visibilità è parzialmente limitata dall'inquadratura stretta.</t>
        </is>
      </c>
      <c r="V14" s="7" t="n">
        <v>0</v>
      </c>
      <c r="W14" s="7" t="n">
        <v>0</v>
      </c>
      <c r="X14" s="7" t="n">
        <v>0.1109</v>
      </c>
      <c r="Y14" s="7" t="n">
        <v>0</v>
      </c>
      <c r="Z14" s="7" t="n">
        <v>0</v>
      </c>
      <c r="AA14" s="7" t="n">
        <v>0.25</v>
      </c>
      <c r="AB14" s="7" t="n">
        <v>0.5553</v>
      </c>
      <c r="AC14" s="7" t="n">
        <v>0.037</v>
      </c>
      <c r="AD14" s="7" t="n">
        <v>2.0546</v>
      </c>
      <c r="AE14" s="7" t="n">
        <v>14.12</v>
      </c>
      <c r="AF14" s="7" t="n">
        <v>0</v>
      </c>
      <c r="AG14" s="7" t="n">
        <v>0.0293</v>
      </c>
      <c r="AH14" s="7" t="n">
        <v>0.0549</v>
      </c>
      <c r="AI14" s="7" t="n">
        <v>0.1609</v>
      </c>
      <c r="AJ14" s="7" t="n">
        <v>1.11</v>
      </c>
      <c r="AK14" s="7" t="n">
        <v>0</v>
      </c>
      <c r="AL14" s="7" t="n">
        <v>0.008200000000000001</v>
      </c>
      <c r="AM14" s="7" t="n">
        <v>0.1538</v>
      </c>
      <c r="AN14" s="7" t="n">
        <v>0.1261</v>
      </c>
      <c r="AO14" s="7" t="n">
        <v>0.87</v>
      </c>
      <c r="AP14" s="7" t="n">
        <v>0</v>
      </c>
      <c r="AQ14" s="7" t="n">
        <v>0</v>
      </c>
      <c r="AR14" s="7" t="n">
        <v>0.2228</v>
      </c>
      <c r="AS14" s="7" t="n">
        <v>0</v>
      </c>
      <c r="AT14" s="7" t="n">
        <v>0</v>
      </c>
      <c r="AU14" s="7" t="n">
        <v>0.25</v>
      </c>
      <c r="AV14" s="7" t="n">
        <v>0.3543</v>
      </c>
      <c r="AW14" s="7" t="n">
        <v>0.3447</v>
      </c>
      <c r="AX14" s="7" t="n">
        <v>12.2127</v>
      </c>
      <c r="AY14" s="7" t="n">
        <v>83.94</v>
      </c>
      <c r="AZ14" s="7" t="n">
        <v>0</v>
      </c>
      <c r="BA14" s="7" t="n">
        <v>0</v>
      </c>
      <c r="BB14" s="7" t="n">
        <v>0.0759</v>
      </c>
      <c r="BC14" s="7" t="n">
        <v>0</v>
      </c>
      <c r="BD14" s="7" t="n">
        <v>0</v>
      </c>
    </row>
    <row r="15" ht="34" customHeight="1">
      <c r="A15" s="7" t="n">
        <v>13</v>
      </c>
      <c r="B15" s="7" t="n">
        <v>26</v>
      </c>
      <c r="C15" s="7" t="n">
        <v>30</v>
      </c>
      <c r="D15" s="7" t="n">
        <v>4</v>
      </c>
      <c r="E15" s="7" t="inlineStr">
        <is>
          <t>{"contesto_ambientale": {"descrizione": "Interno di un impianto industriale, presumibilmente di stampaggio plastiche vista la presenza di prodotti finiti colorati sullo sfondo.", "illuminazione": "Artificiale e uniforme, tipica da fabbrica.", "limiti_visibilita": "Inquadratura fissa dall'alto che limita la visuale dettagliata della parte inferiore della macchina e dei lavoratori."}, "personale_e_dpi": [{"soggetto": "Operatore a sinistra", "dpi_osservati": "Nessuno. Indossa un cappellino sportivo non protettivo.", "nota": "Mancanza di elmetto e occhiali di protezione."}, {"soggetto": "Operatore a destra", "dpi_osservati": "Guanti protettivi di colore blu.", "nota": "Mancanza di elmetto e occhiali di protezione."}], "macchinari_e_oggetti": {"macchinario": "Pressa industriale per stampaggio a iniezione (marca MIR) con pannello di controllo elettronico attivo.", "oggetti": "Tavolo da lavoro bianco, pile di contenitori plastici colorati sullo sfondo."}, "analisi_dinamica_e_rischi": {"azioni_in_corso": "L'operatore di destra è posizionato vicino alla zona di stampaggio e al pannello, mentre l'altro osserva a breve distanza.", "fattori_contribuenti": "Presenza fisica molto ravvicinata alla zona operativa della pressa senza adeguate barriere visibili tra gli operatori e l'area di movimento.", "sviluppi_rischiosi_plausibili": "Rischio moderato di contatto accidentale con parti calde o in movimento. Possibile proiezione di frammenti in assenza di protezione oculare."}}</t>
        </is>
      </c>
      <c r="F15" s="7" t="n">
        <v>60</v>
      </c>
      <c r="G15" s="7" t="inlineStr">
        <is>
          <t>Il punteggio di 60 è giustificato dalla presenza di operatori che lavorano a distanza ravvicinata da una pressa industriale attiva senza i necessari DPI (elmetto e occhiali protettivi). La mancanza di barriere fisiche visibili tra i lavoratori e la zona di stampaggio, unita al rischio di contatto con parti calde o in movimento e alla possibile proiezione di frammenti, configura una situazione di rischio moderato-alto per la sicurezza.</t>
        </is>
      </c>
      <c r="H15" s="7" t="n">
        <v>63.87</v>
      </c>
      <c r="I15" s="9" t="inlineStr">
        <is>
          <t>arancione</t>
        </is>
      </c>
      <c r="J15" s="7" t="inlineStr">
        <is>
          <t>{"scene_state": "Interno di un'officina industriale o fabbrica di stampaggio plastica.", "environmental_conditions": ["Illuminazione artificiale costante", "Ambiente al chiuso"], "people": ["Operatore a sinistra con maglietta rosa e cappellino nero", "Operatore in primo piano a destra, parzialmente visibile", "Persona sullo sfondo che cammina"], "objects": ["Sedie di plastica colorate impilate sullo sfondo", "Rotoli di materiale plastico nero a sinistra", "Tavolo di supporto bianco"], "machines": ["Pressa per stampaggio a iniezione industriale di colore arancione e grigio con marchio MIR", "Pannello di controllo digitale con schermo e tastiera"], "observable_actions": ["L'operatore con la maglietta rosa si gira a guardare verso la macchina", "L'operatore in primo piano osserva il macchinario tenendo la mano destra vicino alla struttura", "Una persona attraversa l'area sullo sfondo"], "visible_ppe": ["Guanto protettivo di colore blu sulla mano destra dell'operatore in primo piano"], "notes_visibility_limitations": "L'inquadratura dall'alto e ravvicinata taglia la parte inferiore dei soggetti e limita la visuale completa dell'area circostante."}</t>
        </is>
      </c>
      <c r="K15" s="7" t="inlineStr">
        <is>
          <t>{"unsafe_behaviors": ["Posizionamento della mano dell'operatore in prossimità della struttura della pressa di stampaggio"], "vulnerable_elements": ["Operatore in primo piano a destra", "Operatore con maglietta rosa"], "risk_cues": {"S1_people_vehicle_interference": 0.0, "S2_visibility_attention_reduction": 0.25, "S3_non_compliant_behavior": 0.0, "S4_vehicle_infrastructure_interference": 0.0, "S5_storage_structural_instability": 0.0, "S6_access_to_moving_mechanical_parts": 0.5, "S7_manual_handling_heavy_unstable_loads": 0.0}, "cue_confidence": 0.8, "diagnostic_notes": "L'operatore in primo piano ha la mano destra (con guanto blu) vicino alla struttura della pressa MIR. Questo configura un potenziale rischio di accesso a parti calde o in movimento (S6), sebbene non siano visibili anomalie palesi. La limitazione dell'inquadratura riduce la visibilità periferica (S2). Non si rilevano mezzi in movimento o carichi instabili."}</t>
        </is>
      </c>
      <c r="L15" s="7" t="inlineStr">
        <is>
          <t>{"causal_chain_plausible": true, "causal_chain_text": "La vicinanza della mano dell'operatore alla struttura della pressa MIR, combinata con un potenziale movimento meccanico o ciclo di riscaldamento attivo, può causare un contatto involontario con elementi pericolosi.", "near_miss_or_incident_scenario": "Schiacciamento o ustione della mano destra dell'operatore a causa dell'accesso accidentale a parti in movimento o superfici calde della pressa per stampaggio a iniezione.", "contributing_factors": ["Posizionamento della mano dell'operatore in prossimità della struttura della pressa", "Limitazione della visibilità periferica e dell'area circostante", "Potenziale esposizione a organi meccanici in movimento o superfici ad alta temperatura"]}</t>
        </is>
      </c>
      <c r="M15" s="7" t="n">
        <v>35</v>
      </c>
      <c r="N15" s="7" t="inlineStr">
        <is>
          <t>Il punteggio riflette un rischio moderato dovuto alla vicinanza della mano dell'operatore alla struttura della pressa, con potenziale esposizione a parti calde o in movimento. L'uso di guanti protettivi e l'assenza di comportamenti palesemente scorretti mantengono il livello di pericolo sotto la soglia critica.</t>
        </is>
      </c>
      <c r="O15" s="7" t="n">
        <v>33.67</v>
      </c>
      <c r="P15" s="10" t="inlineStr">
        <is>
          <t>giallo</t>
        </is>
      </c>
      <c r="Q15" s="7" t="n">
        <v>33.94</v>
      </c>
      <c r="R15" s="7" t="n">
        <v>30.98</v>
      </c>
      <c r="S15" s="10" t="inlineStr">
        <is>
          <t>giallo</t>
        </is>
      </c>
      <c r="T15" s="7" t="n">
        <v>0.8</v>
      </c>
      <c r="U15" s="7" t="inlineStr">
        <is>
          <t>L'operatore in primo piano ha la mano destra (con guanto blu) vicino alla struttura della pressa MIR. Questo configura un potenziale rischio di accesso a parti calde o in movimento (S6), sebbene non siano visibili anomalie palesi. La limitazione dell'inquadratura riduce la visibilità periferica (S2). Non si rilevano mezzi in movimento o carichi instabili.</t>
        </is>
      </c>
      <c r="V15" s="7" t="n">
        <v>0</v>
      </c>
      <c r="W15" s="7" t="n">
        <v>0</v>
      </c>
      <c r="X15" s="7" t="n">
        <v>0.1109</v>
      </c>
      <c r="Y15" s="7" t="n">
        <v>0</v>
      </c>
      <c r="Z15" s="7" t="n">
        <v>0</v>
      </c>
      <c r="AA15" s="7" t="n">
        <v>0.25</v>
      </c>
      <c r="AB15" s="7" t="n">
        <v>0.5553</v>
      </c>
      <c r="AC15" s="7" t="n">
        <v>0.037</v>
      </c>
      <c r="AD15" s="7" t="n">
        <v>2.0546</v>
      </c>
      <c r="AE15" s="7" t="n">
        <v>6.05</v>
      </c>
      <c r="AF15" s="7" t="n">
        <v>0</v>
      </c>
      <c r="AG15" s="7" t="n">
        <v>0.0293</v>
      </c>
      <c r="AH15" s="7" t="n">
        <v>0.0549</v>
      </c>
      <c r="AI15" s="7" t="n">
        <v>0.1609</v>
      </c>
      <c r="AJ15" s="7" t="n">
        <v>0.47</v>
      </c>
      <c r="AK15" s="7" t="n">
        <v>0</v>
      </c>
      <c r="AL15" s="7" t="n">
        <v>0.008200000000000001</v>
      </c>
      <c r="AM15" s="7" t="n">
        <v>0.1538</v>
      </c>
      <c r="AN15" s="7" t="n">
        <v>0.1261</v>
      </c>
      <c r="AO15" s="7" t="n">
        <v>0.37</v>
      </c>
      <c r="AP15" s="7" t="n">
        <v>0</v>
      </c>
      <c r="AQ15" s="7" t="n">
        <v>0</v>
      </c>
      <c r="AR15" s="7" t="n">
        <v>0.2228</v>
      </c>
      <c r="AS15" s="7" t="n">
        <v>0</v>
      </c>
      <c r="AT15" s="7" t="n">
        <v>0</v>
      </c>
      <c r="AU15" s="7" t="n">
        <v>0.5</v>
      </c>
      <c r="AV15" s="7" t="n">
        <v>0.9167999999999999</v>
      </c>
      <c r="AW15" s="7" t="n">
        <v>0.3447</v>
      </c>
      <c r="AX15" s="7" t="n">
        <v>31.6021</v>
      </c>
      <c r="AY15" s="7" t="n">
        <v>93.11</v>
      </c>
      <c r="AZ15" s="7" t="n">
        <v>0</v>
      </c>
      <c r="BA15" s="7" t="n">
        <v>0</v>
      </c>
      <c r="BB15" s="7" t="n">
        <v>0.0759</v>
      </c>
      <c r="BC15" s="7" t="n">
        <v>0</v>
      </c>
      <c r="BD15" s="7" t="n">
        <v>0</v>
      </c>
    </row>
    <row r="16" ht="34" customHeight="1">
      <c r="A16" s="7" t="n">
        <v>14</v>
      </c>
      <c r="B16" s="7" t="n">
        <v>28</v>
      </c>
      <c r="C16" s="7" t="n">
        <v>32</v>
      </c>
      <c r="D16" s="7" t="n">
        <v>4</v>
      </c>
      <c r="E16" s="7" t="inlineStr">
        <is>
          <t>{"analisi_scena": {"contesto": "Ambiente industriale, presumibilmente stampaggio materie plastiche.", "descrizione_generale": "Tre operatori vicino a una pressa a iniezione industriale in funzione.", "condizioni_ambientali": "Illuminazione interna artificiale, presenza di materiale stoccato sullo sfondo."}, "soggetti_e_dpi": {"operatori_presenti": 3, "dettagli_persone": [{"id": 1, "posizione": "Primo piano sinistra", "abbigliamento": "T-shirt rosa, cappellino nero", "azione": "Manipola un dispositivo portatile."}, {"id": 2, "posizione": "Primo piano destra", "abbigliamento": "Parzialmente visibile, guanti blu", "azione": "Indica o interagisce con il pannello di controllo."}, {"id": 3, "posizione": "Sfondo sinistra", "abbigliamento": "T-shirt a righe", "azione": "Cammina verso l'area di lavoro."}], "dpi_rilevati": "Guanti protettivi blu sull'operatore a destra. Non si rilevano elmetti o occhiali di protezione."}, "macchinari_e_oggetti": {"macchinari": "Pressa a iniezione MIR con pannello di controllo digitale attivo.", "oggetti": "Pile di sedie/cestini in plastica colorata, tavolo di supporto bianco, dispositivo portatile."}, "analisi_sicurezza": {"limiti_visivi": "Inquadratura ravvicinata che limita la visuale degli arti inferiori e dei dettagli circostanti.", "fattori_rischio_osservati": "Mancanza di DPI visibili (occhiali, elmetti) in prossimità di macchinari pesanti. Terzo operatore che accede all'area senza apparente equipaggiamento protettivo.", "sviluppi_rischiosi_plausibili": "Possibile contatto accidentale con parti in movimento o superfici calde della pressa; rischio di distrazione dovuto all'uso del dispositivo portatile vicino alla macchina."}}</t>
        </is>
      </c>
      <c r="F16" s="7" t="n">
        <v>60</v>
      </c>
      <c r="G16" s="7" t="inlineStr">
        <is>
          <t>Il punteggio di 60 è giustificato dalla presenza di una pressa a iniezione attiva in concomitanza con evidenti lacune di sicurezza. Si rileva la mancanza di DPI essenziali (come occhiali protettivi ed elmetti) per gli operatori esposti a macchinari pesanti. Inoltre, l'uso di un dispositivo portatile da parte di un operatore in prossimità della macchina introduce un fattore di distrazione, aumentando il rischio di contatti accidentali con parti in movimento o superfici calde.</t>
        </is>
      </c>
      <c r="H16" s="7" t="n">
        <v>61.55</v>
      </c>
      <c r="I16" s="9" t="inlineStr">
        <is>
          <t>arancione</t>
        </is>
      </c>
      <c r="J16" s="7" t="inlineStr">
        <is>
          <t>{"scene_state": "Interno di un impianto industriale, presumibilmente per la produzione di materie plastiche.", "environmental_conditions": ["Illuminazione artificiale interna", "Ambiente di lavoro con presenza di attrezzature e prodotti stoccati"], "people": ["Uomo in primo piano a sinistra con maglietta rosa e cappellino nero", "Uomo parzialmente visibile in primo piano a destra", "Uomo sullo sfondo a sinistra con maglietta a righe che entra nella scena"], "objects": ["Sedie o ceste di plastica colorate (rosse, verdi, blu) impilate sullo sfondo", "Tavolo bianco di supporto", "Dispositivo elettronico portatile (palmare/scanner)"], "machines": ["Grande pressa a iniezione industriale (marchio MIR) con pannello di controllo e schermo attivi"], "observable_actions": ["L'uomo in maglietta rosa manipola un dispositivo portatile vicino alla macchina", "L'uomo a destra osserva il pannello di controllo della pressa", "L'uomo sullo sfondo cammina verso l'area di lavoro"], "visible_ppe": ["Guanti protettivi di colore blu indossati dall'uomo a destra"], "notes_visibility_limitations": "L'operatore a destra è visibile solo parzialmente (inquadratura ravvicinata di testa e braccio)."}</t>
        </is>
      </c>
      <c r="K16" s="7" t="inlineStr">
        <is>
          <t>{"unsafe_behaviors": ["Possibile distrazione dell'operatore durante l'uso del dispositivo portatile vicino alla macchina", "Mancanza di DPI visibili (es. elmetto, protezione acustica o visiva) per gli operatori presenti, eccetto i guanti dell'operatore a destra"], "vulnerable_elements": ["Operatore in maglietta rosa vicino alla pressa", "Operatore parzialmente visibile a destra", "Operatore sullo sfondo che accede all'area"], "risk_cues": {"S1_people_vehicle_interference": 0.0, "S2_visibility_attention_reduction": 0.25, "S3_non_compliant_behavior": 0.25, "S4_vehicle_infrastructure_interference": 0.0, "S5_storage_structural_instability": 0.0, "S6_access_to_moving_mechanical_parts": 0.25, "S7_manual_handling_heavy_unstable_loads": 0.0}, "cue_confidence": 0.8, "diagnostic_notes": "L'analisi evidenzia un ambiente di lavoro stabile. Non sono presenti mezzi in movimento o movimentazione di carichi. Si rileva una potenziale riduzione dell'attenzione dovuta all'uso del palmare vicino alla pressa attiva. La parziale visibilità di alcuni soggetti limita la verifica completa dei DPI."}</t>
        </is>
      </c>
      <c r="L16" s="7" t="inlineStr">
        <is>
          <t>{"causal_chain_plausible": true, "causal_chain_text": "L'operatore in maglietta rosa, distratto dall'uso del palmare vicino alla pressa attiva, riduce la propria attenzione situazionale. In caso di anomalia della macchina o movimento imprevisto, la mancata reazione tempestiva, unita all'assenza di DPI visibili (occhiali, elmetto), può causare un infortunio.", "near_miss_or_incident_scenario": "Contatto accidentale con parti calde o in movimento della pressa a iniezione, o impatto con materiale plastico proiettato a causa di un'anomalia non monitorata per via della distrazione dell'operatore.", "contributing_factors": ["Distrazione dell'operatore dovuta all'uso del dispositivo portatile vicino alla macchina attiva", "Mancanza di DPI visibili adeguati per il rischio industriale specifico (es. protezione visiva)", "Presenza di più persone nell'area operativa senza apparente delimitazione di sicurezza"]}</t>
        </is>
      </c>
      <c r="M16" s="7" t="n">
        <v>30</v>
      </c>
      <c r="N16" s="7" t="inlineStr">
        <is>
          <t>Il rischio è moderato a causa della potenziale distrazione dell'operatore che utilizza un dispositivo portatile vicino alla pressa a iniezione attiva e della mancanza di DPI visibili adeguati per l'area industriale. Non si rilevano pericoli immediati legati a mezzi in movimento o carichi sospesi.</t>
        </is>
      </c>
      <c r="O16" s="7" t="n">
        <v>31.47</v>
      </c>
      <c r="P16" s="10" t="inlineStr">
        <is>
          <t>giallo</t>
        </is>
      </c>
      <c r="Q16" s="7" t="n">
        <v>15.87</v>
      </c>
      <c r="R16" s="7" t="n">
        <v>21.91</v>
      </c>
      <c r="S16" s="11" t="inlineStr">
        <is>
          <t>verde</t>
        </is>
      </c>
      <c r="T16" s="7" t="n">
        <v>0.8</v>
      </c>
      <c r="U16" s="7" t="inlineStr">
        <is>
          <t>L'analisi evidenzia un ambiente di lavoro stabile. Non sono presenti mezzi in movimento o movimentazione di carichi. Si rileva una potenziale riduzione dell'attenzione dovuta all'uso del palmare vicino alla pressa attiva. La parziale visibilità di alcuni soggetti limita la verifica completa dei DPI.</t>
        </is>
      </c>
      <c r="V16" s="7" t="n">
        <v>0</v>
      </c>
      <c r="W16" s="7" t="n">
        <v>0</v>
      </c>
      <c r="X16" s="7" t="n">
        <v>0.1109</v>
      </c>
      <c r="Y16" s="7" t="n">
        <v>0</v>
      </c>
      <c r="Z16" s="7" t="n">
        <v>0</v>
      </c>
      <c r="AA16" s="7" t="n">
        <v>0.25</v>
      </c>
      <c r="AB16" s="7" t="n">
        <v>0.5553</v>
      </c>
      <c r="AC16" s="7" t="n">
        <v>0.037</v>
      </c>
      <c r="AD16" s="7" t="n">
        <v>2.0546</v>
      </c>
      <c r="AE16" s="7" t="n">
        <v>12.95</v>
      </c>
      <c r="AF16" s="7" t="n">
        <v>0.25</v>
      </c>
      <c r="AG16" s="7" t="n">
        <v>0.2689</v>
      </c>
      <c r="AH16" s="7" t="n">
        <v>0.0549</v>
      </c>
      <c r="AI16" s="7" t="n">
        <v>1.4763</v>
      </c>
      <c r="AJ16" s="7" t="n">
        <v>9.300000000000001</v>
      </c>
      <c r="AK16" s="7" t="n">
        <v>0</v>
      </c>
      <c r="AL16" s="7" t="n">
        <v>0.008200000000000001</v>
      </c>
      <c r="AM16" s="7" t="n">
        <v>0.1538</v>
      </c>
      <c r="AN16" s="7" t="n">
        <v>0.1261</v>
      </c>
      <c r="AO16" s="7" t="n">
        <v>0.79</v>
      </c>
      <c r="AP16" s="7" t="n">
        <v>0</v>
      </c>
      <c r="AQ16" s="7" t="n">
        <v>0</v>
      </c>
      <c r="AR16" s="7" t="n">
        <v>0.2228</v>
      </c>
      <c r="AS16" s="7" t="n">
        <v>0</v>
      </c>
      <c r="AT16" s="7" t="n">
        <v>0</v>
      </c>
      <c r="AU16" s="7" t="n">
        <v>0.25</v>
      </c>
      <c r="AV16" s="7" t="n">
        <v>0.3543</v>
      </c>
      <c r="AW16" s="7" t="n">
        <v>0.3447</v>
      </c>
      <c r="AX16" s="7" t="n">
        <v>12.2127</v>
      </c>
      <c r="AY16" s="7" t="n">
        <v>76.95</v>
      </c>
      <c r="AZ16" s="7" t="n">
        <v>0</v>
      </c>
      <c r="BA16" s="7" t="n">
        <v>0</v>
      </c>
      <c r="BB16" s="7" t="n">
        <v>0.0759</v>
      </c>
      <c r="BC16" s="7" t="n">
        <v>0</v>
      </c>
      <c r="BD16" s="7" t="n">
        <v>0</v>
      </c>
    </row>
    <row r="17" ht="34" customHeight="1">
      <c r="A17" s="7" t="n">
        <v>15</v>
      </c>
      <c r="B17" s="7" t="n">
        <v>30</v>
      </c>
      <c r="C17" s="7" t="n">
        <v>34</v>
      </c>
      <c r="D17" s="7" t="n">
        <v>4</v>
      </c>
      <c r="E17" s="7" t="inlineStr">
        <is>
          <t>{"metadati": {"intervallo_temporale": "00:00 - 00:03", "durata_secondi": 4.0}, "descrizione_scena": {"contesto": "Ambiente industriale, presumibilmente un impianto di stampaggio a iniezione di materie plastiche, evidenziato da pile di manufatti plastici colorati sullo sfondo.", "macchinari": "Grande pressa ad iniezione per plastica (marca MIR parzialmente visibile) dotata di pannello di controllo elettronico sul lato destro.", "oggetti": "Dispositivo di controllo palmare o tablet tenuto da uno degli operatori, pile di prodotti plastici finiti (rosso, verde, blu) a sinistra."}, "personale_e_attivita": {"operatore_1_primo_piano_sinistra": "Uomo con maglietta rosa e cappellino nero, intento a guardare o interagire con un dispositivo palmare.", "operatore_2_primo_piano_destra": "Uomo con maglietta grigia e guanti blu, osserva l'area interna della macchina o il pannello di controllo.", "operatore_3_sfondo": "Uomo con maglietta a righe e cappellino che si allontana verso sinistra all'inizio della clip."}, "dispositivi_protezione_individuale": {"rilevati": "Guanti protettivi blu indossati dall'operatore di destra.", "non_rilevati_o_assenti": "Mancanza di elmetti di protezione, occhiali di sicurezza o protezioni acustiche visibili, nonostante la prossimità a macchinari industriali pesanti."}, "analisi_sicurezza_e_rischi": {"condizioni_ambientali": "Illuminazione interna artificiale standard, spazio di lavoro parzialmente ingombro sullo sfondo.", "limitazioni_visive": "Inquadratura dall'alto che occulta la parte inferiore del corpo degli operatori e i dettagli interni della pressa.", "dinamiche_e_rischi_potenziali": "L'operatore in maglietta rosa appare distratto dal dispositivo palmare vicino alla macchina. La stretta vicinanza alla pressa ad iniezione senza adeguati DPI (come occhiali protettivi o elmetti) espone i lavoratori a rischi di proiezione di frammenti caldi, ustioni o contatti accidentali con parti meccaniche in movimento in caso di anomalie o movimenti improvvisi."}}</t>
        </is>
      </c>
      <c r="F17" s="7" t="n">
        <v>65</v>
      </c>
      <c r="G17" s="7" t="inlineStr">
        <is>
          <t>Il punteggio di 65 riflette un rischio medio-alto dovuto alla presenza di operatori a stretto contatto con una pressa ad iniezione senza i DPI necessari (occhiali di sicurezza, elmetti) e con un operatore palesemente distratto da un dispositivo palmare. La combinazione di distrazione e mancanza di protezione aumenta significativamente la probabilità e la gravità di potenziali infortuni (ustioni, proiezioni di materiale caldo, contatti accidentali).</t>
        </is>
      </c>
      <c r="H17" s="7" t="n">
        <v>64.87</v>
      </c>
      <c r="I17" s="9" t="inlineStr">
        <is>
          <t>arancione</t>
        </is>
      </c>
      <c r="J17" s="7" t="inlineStr">
        <is>
          <t>{"scene_state": "Ambiente industriale, reparto stampaggio materie plastiche.", "environmental_conditions": ["Illuminazione artificiale interna", "Ambiente di fabbrica"], "people": ["Operatore in maglietta rosa e cappellino nero", "Operatore in maglietta grigia in primo piano", "Operatore in maglietta a righe sullo sfondo"], "objects": ["Sedie di plastica impilate", "Dispositivo portatile/scanner", "Pannello di controllo con schermo"], "machines": ["Pressa industriale per stampaggio a iniezione"], "observable_actions": ["L'operatore in maglietta rosa consulta un dispositivo portatile", "L'operatore in maglietta grigia osserva e interagisce con il pannello di controllo", "L'operatore sullo sfondo cammina verso sinistra uscendo dal campo visivo"], "visible_ppe": ["Guanti protettivi blu (indossati dall'operatore in maglietta grigia)"], "notes_visibility_limitations": "Inquadratura fissa dall'alto; parziale occlusione dei dettagli operativi sul macchinario."}</t>
        </is>
      </c>
      <c r="K17" s="7" t="inlineStr">
        <is>
          <t>{"unsafe_behaviors": ["Possibile distrazione dell'operatore in maglietta rosa durante la consultazione del dispositivo portatile vicino alla pressa"], "vulnerable_elements": ["Operatore in maglietta rosa", "Operatore in maglietta grigia"], "risk_cues": {"S1_people_vehicle_interference": 0.0, "S2_visibility_attention_reduction": 0.5, "S3_non_compliant_behavior": 0.25, "S4_vehicle_infrastructure_interference": 0.0, "S5_storage_structural_instability": 0.25, "S6_access_to_moving_mechanical_parts": 0.25, "S7_manual_handling_heavy_unstable_loads": 0.0}, "cue_confidence": 0.8, "diagnostic_notes": "L'uso del dispositivo portatile da parte dell'operatore in rosa introduce una potenziale riduzione dell'attenzione (S2). La presenza di sedie impilate rappresenta un debole intralcio (S5). L'occlusione parziale della pressa limita la visibilità dettagliata sulle parti in movimento (S6), ma l'interazione avviene principalmente tramite pannello di controllo. Non si registrano mezzi o movimentazione carichi."}</t>
        </is>
      </c>
      <c r="L17" s="7" t="inlineStr">
        <is>
          <t>{"causal_chain_plausible": true, "causal_chain_text": "La distrazione dell'operatore in maglietta rosa dovuta all'uso del dispositivo portatile riduce la sua consapevolezza situazionale. In caso di movimento imprevisto o di necessità di reazione rapida, la ridotta attenzione e la presenza di ostacoli a terra (sedie impilate) possono causare una perdita di equilibrio o un contatto accidentale con la pressa.", "near_miss_or_incident_scenario": "L'operatore distratto dal dispositivo portatile inciampa nelle sedie impilate vicino alla zona di transito o urta inavvertitamente parti calde o in movimento della pressa industriale.", "contributing_factors": ["Riduzione dell'attenzione causata dall'uso del dispositivo portatile", "Presenza di ostacoli (sedie impilate) nell'area di lavoro", "Prossimità operativa a una pressa industriale per stampaggio a iniezione"]}</t>
        </is>
      </c>
      <c r="M17" s="7" t="n">
        <v>35</v>
      </c>
      <c r="N17" s="7" t="inlineStr">
        <is>
          <t>Il livello di rischio è moderato a causa della potenziale distrazione dell'operatore che consulta il dispositivo portatile in prossimità della pressa industriale. La presenza di sedie impilate nell'area di lavoro costituisce un ulteriore elemento di intralcio che potrebbe causare inciampi.</t>
        </is>
      </c>
      <c r="O17" s="7" t="n">
        <v>34.84</v>
      </c>
      <c r="P17" s="10" t="inlineStr">
        <is>
          <t>giallo</t>
        </is>
      </c>
      <c r="Q17" s="7" t="n">
        <v>17.64</v>
      </c>
      <c r="R17" s="7" t="n">
        <v>19.79</v>
      </c>
      <c r="S17" s="11" t="inlineStr">
        <is>
          <t>verde</t>
        </is>
      </c>
      <c r="T17" s="7" t="n">
        <v>0.8</v>
      </c>
      <c r="U17" s="7" t="inlineStr">
        <is>
          <t>L'uso del dispositivo portatile da parte dell'operatore in rosa introduce una potenziale riduzione dell'attenzione (S2). La presenza di sedie impilate rappresenta un debole intralcio (S5). L'occlusione parziale della pressa limita la visibilità dettagliata sulle parti in movimento (S6), ma l'interazione avviene principalmente tramite pannello di controllo. Non si registrano mezzi o movimentazione carichi.</t>
        </is>
      </c>
      <c r="V17" s="7" t="n">
        <v>0</v>
      </c>
      <c r="W17" s="7" t="n">
        <v>0</v>
      </c>
      <c r="X17" s="7" t="n">
        <v>0.1109</v>
      </c>
      <c r="Y17" s="7" t="n">
        <v>0</v>
      </c>
      <c r="Z17" s="7" t="n">
        <v>0</v>
      </c>
      <c r="AA17" s="7" t="n">
        <v>0.5</v>
      </c>
      <c r="AB17" s="7" t="n">
        <v>0.8176</v>
      </c>
      <c r="AC17" s="7" t="n">
        <v>0.037</v>
      </c>
      <c r="AD17" s="7" t="n">
        <v>3.0251</v>
      </c>
      <c r="AE17" s="7" t="n">
        <v>17.15</v>
      </c>
      <c r="AF17" s="7" t="n">
        <v>0.25</v>
      </c>
      <c r="AG17" s="7" t="n">
        <v>0.2689</v>
      </c>
      <c r="AH17" s="7" t="n">
        <v>0.0549</v>
      </c>
      <c r="AI17" s="7" t="n">
        <v>1.4763</v>
      </c>
      <c r="AJ17" s="7" t="n">
        <v>8.369999999999999</v>
      </c>
      <c r="AK17" s="7" t="n">
        <v>0</v>
      </c>
      <c r="AL17" s="7" t="n">
        <v>0.008200000000000001</v>
      </c>
      <c r="AM17" s="7" t="n">
        <v>0.1538</v>
      </c>
      <c r="AN17" s="7" t="n">
        <v>0.1261</v>
      </c>
      <c r="AO17" s="7" t="n">
        <v>0.71</v>
      </c>
      <c r="AP17" s="7" t="n">
        <v>0.25</v>
      </c>
      <c r="AQ17" s="7" t="n">
        <v>0.0359</v>
      </c>
      <c r="AR17" s="7" t="n">
        <v>0.2228</v>
      </c>
      <c r="AS17" s="7" t="n">
        <v>0.7999000000000001</v>
      </c>
      <c r="AT17" s="7" t="n">
        <v>4.53</v>
      </c>
      <c r="AU17" s="7" t="n">
        <v>0.25</v>
      </c>
      <c r="AV17" s="7" t="n">
        <v>0.3543</v>
      </c>
      <c r="AW17" s="7" t="n">
        <v>0.3447</v>
      </c>
      <c r="AX17" s="7" t="n">
        <v>12.2127</v>
      </c>
      <c r="AY17" s="7" t="n">
        <v>69.23</v>
      </c>
      <c r="AZ17" s="7" t="n">
        <v>0</v>
      </c>
      <c r="BA17" s="7" t="n">
        <v>0</v>
      </c>
      <c r="BB17" s="7" t="n">
        <v>0.0759</v>
      </c>
      <c r="BC17" s="7" t="n">
        <v>0</v>
      </c>
      <c r="BD17" s="7" t="n">
        <v>0</v>
      </c>
    </row>
    <row r="18" ht="34" customHeight="1">
      <c r="A18" s="7" t="n">
        <v>16</v>
      </c>
      <c r="B18" s="7" t="n">
        <v>32</v>
      </c>
      <c r="C18" s="7" t="n">
        <v>36</v>
      </c>
      <c r="D18" s="7" t="n">
        <v>4</v>
      </c>
      <c r="E18" s="7" t="inlineStr">
        <is>
          <t>{"metadati": {"finestra_temporale": "32.0s - 36.0s", "durata_s": 4.0}, "descrizione_scena": {"contesto": "Interno di un impianto industriale, presumibilmente stampaggio materie plastiche.", "condizioni_ambientali": "Illuminazione artificiale standard, presenza di segnaletica a terra (linea gialla). Sfondo parzialmente ingombro di prodotti finiti.", "limitazioni_visive": "Inquadratura fissa dall'alto. Parziale occlusione dei dettagli interni del macchinario e dei soggetti ai margini."}, "elementi_rilevati": {"persone": [{"id": "operatore_1", "descrizione": "Uomo con maglietta rosa e cappellino nero in primo piano.", "dpi": "Nessun DPI visibile (mancanza di elmetto, occhiali o guanti)."}, {"id": "operatore_2", "descrizione": "Uomo anziano in basso a destra, parzialmente visibile.", "dpi": "Guanti protettivi blu."}, {"id": "operatore_3", "descrizione": "Uomo parzialmente visibile sul margine sinistro."}], "macchinari_e_oggetti": ["Pressa a iniezione industriale (marca MIR) con pannello di controllo digitale attivo.", "Pile di sedie in plastica colorate sullo sfondo.", "Sacchi industriali bianchi."]}, "dinamica_e_sicurezza": {"azioni_osservate": "L'operatore in maglietta rosa si avvicina e interagisce con la zona operativa della pressa, mentre l'operatore con i guanti indica o tocca un'area adiacente al meccanismo.", "analisi_rischio": {"valutazione_sintetica": 4, "fattori_contribuenti": "Prossimità fisica alle parti in movimento del macchinario senza barriere fisiche attive visibili. Mancanza di DPI completi per l'operatore in rosa.", "sviluppi_rischiosi_plausibili": "Rischio moderato di schiacciamento o intrappolamento degli arti superiori qualora il ciclo della pressa si avviasse inaspettatamente durante l'interazione manuale."}}}</t>
        </is>
      </c>
      <c r="F18" s="7" t="n">
        <v>75</v>
      </c>
      <c r="G18" s="7" t="inlineStr">
        <is>
          <t>Il punteggio di 75 è giustificato dall'interazione diretta dell'operatore principale con la zona operativa di una pressa a iniezione attiva in totale assenza di DPI visibili (come guanti o protezioni per gli arti). La prossimità fisica alle parti meccaniche in movimento, combinata con la mancanza di barriere di sicurezza attive visibili, genera un rischio concreto e immediato di schiacciamento o intrappolamento delle mani.</t>
        </is>
      </c>
      <c r="H18" s="7" t="n">
        <v>73.45</v>
      </c>
      <c r="I18" s="9" t="inlineStr">
        <is>
          <t>arancione</t>
        </is>
      </c>
      <c r="J18" s="7" t="inlineStr">
        <is>
          <t>{"scene_state": "Ambiente industriale, reparto stampaggio materie plastiche.", "environmental_conditions": ["Illuminazione artificiale interna", "Spazio di lavoro industriale"], "people": ["Operatore con maglietta rosa e cappellino nero", "Operatore con capelli grigi in primo piano", "Persona parzialmente visibile a sinistra"], "objects": ["Sedie di plastica impilate sullo sfondo", "Sacchi bianchi", "Pannello di controllo della macchina"], "machines": ["Pressa per stampaggio a iniezione (marca MIR)"], "observable_actions": ["L'operatore con il cappellino si avvicina all'area di lavoro della macchina", "L'operatore con i capelli grigi tocca un componente della macchina con la mano guantata"], "visible_ppe": ["Guanto protettivo blu (indossato dall'operatore con i capelli grigi)"], "notes_visibility_limitations": "Inquadratura parziale dei soggetti; l'operatore a sinistra è quasi totalmente escluso dal campo visivo."}</t>
        </is>
      </c>
      <c r="K18" s="7" t="inlineStr">
        <is>
          <t>{"unsafe_behaviors": ["Interazione manuale diretta con componenti della pressa senza evidente verifica dello stato di isolamento o arresto della macchina"], "vulnerable_elements": ["Operatore con capelli grigi in primo piano", "Operatore con maglietta rosa e cappellino nero"], "risk_cues": {"S1_people_vehicle_interference": 0.0, "S2_visibility_attention_reduction": 0.25, "S3_non_compliant_behavior": 0.25, "S4_vehicle_infrastructure_interference": 0.0, "S5_storage_structural_instability": 0.0, "S6_access_to_moving_mechanical_parts": 0.5, "S7_manual_handling_heavy_unstable_loads": 0.0}, "cue_confidence": 0.75, "diagnostic_notes": "L'operatore con i capelli grigi esegue un intervento manuale toccando un componente della pressa MIR. Sebbene indossi un guanto protettivo, l'azione comporta un potenziale rischio di contatto con organi in movimento o superfici calde (S6), la cui gravità è mitigata o accentuata dallo stato operativo della macchina (non interamente verificabile a causa dell'inquadratura parziale). Non si rilevano interferenze con mezzi (S1, S4) o problematiche di stoccaggio (S5)."}</t>
        </is>
      </c>
      <c r="L18" s="7" t="inlineStr">
        <is>
          <t>{"causal_chain_plausible": true, "causal_chain_text": "L'operatore esegue un intervento manuale diretto su un componente della pressa MIR. In assenza di una procedura verificata di isolamento energetico (LOTO), un movimento imprevisto della macchina o la presenza di calore residuo può portare al contatto pericoloso con l'arto dell'operatore.", "near_miss_or_incident_scenario": "Schiacciamento o intrappolamento della mano dell'operatore tra gli organi in movimento della pressa, o ustione da contatto con superfici ad alta temperatura non protette.", "contributing_factors": ["Interazione manuale diretta con componenti della macchina senza evidente isolamento o arresto di sicurezza", "Accesso ad aree con potenziali parti meccaniche in movimento o superfici calde", "Presenza di più persone nell'area di lavoro che può generare distrazione o coordinamento errato"]}</t>
        </is>
      </c>
      <c r="M18" s="7" t="n">
        <v>55</v>
      </c>
      <c r="N18" s="7" t="inlineStr">
        <is>
          <t>Il punteggio riflette un rischio significativo dovuto all'interazione manuale diretta con la pressa MIR senza evidenza di procedure di isolamento energetico (LOTO). Questo comportamento espone l'operatore a potenziali pericoli di schiacciamento o ustione in caso di attivazione accidentale della macchina.</t>
        </is>
      </c>
      <c r="O18" s="7" t="n">
        <v>51.94</v>
      </c>
      <c r="P18" s="9" t="inlineStr">
        <is>
          <t>arancione</t>
        </is>
      </c>
      <c r="Q18" s="7" t="n">
        <v>35.26</v>
      </c>
      <c r="R18" s="7" t="n">
        <v>33.48</v>
      </c>
      <c r="S18" s="10" t="inlineStr">
        <is>
          <t>giallo</t>
        </is>
      </c>
      <c r="T18" s="7" t="n">
        <v>0.75</v>
      </c>
      <c r="U18" s="7" t="inlineStr">
        <is>
          <t>L'operatore con i capelli grigi esegue un intervento manuale toccando un componente della pressa MIR. Sebbene indossi un guanto protettivo, l'azione comporta un potenziale rischio di contatto con organi in movimento o superfici calde (S6), la cui gravità è mitigata o accentuata dallo stato operativo della macchina (non interamente verificabile a causa dell'inquadratura parziale). Non si rilevano interferenze con mezzi (S1, S4) o problematiche di stoccaggio (S5).</t>
        </is>
      </c>
      <c r="V18" s="7" t="n">
        <v>0</v>
      </c>
      <c r="W18" s="7" t="n">
        <v>0</v>
      </c>
      <c r="X18" s="7" t="n">
        <v>0.1109</v>
      </c>
      <c r="Y18" s="7" t="n">
        <v>0</v>
      </c>
      <c r="Z18" s="7" t="n">
        <v>0</v>
      </c>
      <c r="AA18" s="7" t="n">
        <v>0.25</v>
      </c>
      <c r="AB18" s="7" t="n">
        <v>0.5553</v>
      </c>
      <c r="AC18" s="7" t="n">
        <v>0.037</v>
      </c>
      <c r="AD18" s="7" t="n">
        <v>2.0546</v>
      </c>
      <c r="AE18" s="7" t="n">
        <v>5.83</v>
      </c>
      <c r="AF18" s="7" t="n">
        <v>0.25</v>
      </c>
      <c r="AG18" s="7" t="n">
        <v>0.2689</v>
      </c>
      <c r="AH18" s="7" t="n">
        <v>0.0549</v>
      </c>
      <c r="AI18" s="7" t="n">
        <v>1.4763</v>
      </c>
      <c r="AJ18" s="7" t="n">
        <v>4.19</v>
      </c>
      <c r="AK18" s="7" t="n">
        <v>0</v>
      </c>
      <c r="AL18" s="7" t="n">
        <v>0.008200000000000001</v>
      </c>
      <c r="AM18" s="7" t="n">
        <v>0.1538</v>
      </c>
      <c r="AN18" s="7" t="n">
        <v>0.1261</v>
      </c>
      <c r="AO18" s="7" t="n">
        <v>0.36</v>
      </c>
      <c r="AP18" s="7" t="n">
        <v>0</v>
      </c>
      <c r="AQ18" s="7" t="n">
        <v>0</v>
      </c>
      <c r="AR18" s="7" t="n">
        <v>0.2228</v>
      </c>
      <c r="AS18" s="7" t="n">
        <v>0</v>
      </c>
      <c r="AT18" s="7" t="n">
        <v>0</v>
      </c>
      <c r="AU18" s="7" t="n">
        <v>0.5</v>
      </c>
      <c r="AV18" s="7" t="n">
        <v>0.9167999999999999</v>
      </c>
      <c r="AW18" s="7" t="n">
        <v>0.3447</v>
      </c>
      <c r="AX18" s="7" t="n">
        <v>31.6021</v>
      </c>
      <c r="AY18" s="7" t="n">
        <v>89.63</v>
      </c>
      <c r="AZ18" s="7" t="n">
        <v>0</v>
      </c>
      <c r="BA18" s="7" t="n">
        <v>0</v>
      </c>
      <c r="BB18" s="7" t="n">
        <v>0.0759</v>
      </c>
      <c r="BC18" s="7" t="n">
        <v>0</v>
      </c>
      <c r="BD18" s="7" t="n">
        <v>0</v>
      </c>
    </row>
    <row r="19" ht="34" customHeight="1">
      <c r="A19" s="7" t="n">
        <v>17</v>
      </c>
      <c r="B19" s="7" t="n">
        <v>34</v>
      </c>
      <c r="C19" s="7" t="n">
        <v>38</v>
      </c>
      <c r="D19" s="7" t="n">
        <v>4</v>
      </c>
      <c r="E19" s="7" t="inlineStr">
        <is>
          <t>{"analisi_scena": {"contesto": "Reparto industriale di stampaggio materie plastiche.", "persone_presenti": "Due operatori maschi nell'area di lavoro.", "macchinari_presenti": "Pressa ad iniezione di grandi dimensioni con pannello di controllo elettronico attivo.", "oggetti_presenti": "Sedie di plastica impilate, sacchi industriali bianchi e componenti cilindrici neri."}, "analisi_comportamentale_dpi": {"azioni_osservabili": "L'operatore in primo piano interagisce con il macchinario vicino alla zona di chiusura. Il secondo operatore, in maglietta rosa, si appoggia alla struttura della pressa osservando l'area.", "dpi_rilevati": "Guanti protettivi blu indossati dall'operatore in primo piano. Assenza di altri DPI visibili (occhiali di protezione, elmetti) su entrambi i soggetti.", "condizioni_ambientali": "Ambiente chiuso, illuminato, con spazi di passaggio parzialmente occupati da materiali stoccati."}, "valutazione_rischi_sicurezza": {"limitazioni_visive": "L'inquadratura ravvicinata limita la visuale completa dei movimenti della pressa e della postura inferiore dei soggetti.", "ragionamento_prudenziale": "La vicinanza fisica del secondo operatore alle parti mobili del macchinario, combinata con una postura di appoggio rilassata, riduce i tempi di reazione in caso di anomalia.", "sviluppi_rischiosi_plausibili": "Potenziale rischio di schiacciamento o intrappolamento degli arti superiori qualora la pressa esegua un ciclo di chiusura non previsto o non coordinato.", "fattori_contribuenti": "Mancanza di DPI specifici per il secondo operatore e stazionamento non necessario all'interno del raggio d'azione del macchinario."}}</t>
        </is>
      </c>
      <c r="F19" s="7" t="n">
        <v>75</v>
      </c>
      <c r="G19" s="7" t="inlineStr">
        <is>
          <t>Il punteggio di 75 è motivato dalla presenza di un operatore appoggiato direttamente alla struttura di una pressa ad iniezione attiva in una postura rilassata, che riduce i tempi di reazione. La vicinanza alla zona di chiusura del macchinario, combinata con la mancanza di DPI specifici (come occhiali di protezione ed elmetti) per entrambi i soggetti, genera un rischio concreto di schiacciamento o intrappolamento degli arti superiori in caso di anomalie o cicli non coordinati.</t>
        </is>
      </c>
      <c r="H19" s="7" t="n">
        <v>74.38</v>
      </c>
      <c r="I19" s="8" t="inlineStr">
        <is>
          <t>rosso</t>
        </is>
      </c>
      <c r="J19" s="7" t="inlineStr">
        <is>
          <t>{"scene_state": "Ambiente industriale interno, reparto stampaggio materie plastiche.", "environmental_conditions": ["Illuminazione artificiale interna stabile", "Spazio di lavoro con materiali stoccati sullo sfondo"], "people": ["Un operatore giovane con maglietta rosa e cappellino nero", "Un operatore in primo piano, visibile parzialmente"], "objects": ["Sedie in plastica colorate impilate sullo sfondo", "Sacchi bianchi industriali", "Pannello di controllo digitale del macchinario", "Tavolo di supporto bianco in basso a sinistra"], "machines": ["Pressa per stampaggio a iniezione industriale di colore arancione e grigio"], "observable_actions": ["L'operatore con la maglietta rosa si avvicina alla zona stampo della pressa, poi si gira a guardare l'altro operatore", "L'operatore in primo piano tiene la mano destra (con guanto blu) vicino alla zona di lavoro della macchina"], "visible_ppe": ["Guanto protettivo di colore blu"], "notes_visibility_limitations": "L'operatore in primo piano è visibile solo parzialmente. La visuale interna della pressa è parzialmente ostruita dalla struttura della macchina stessa."}</t>
        </is>
      </c>
      <c r="K19" s="7" t="inlineStr">
        <is>
          <t>{"unsafe_behaviors": ["Operatore con la mano destra posizionata vicino alla zona di lavoro della pressa", "Operatore che si gira a guardare il collega mentre si trova in prossimità della zona stampo"], "vulnerable_elements": ["Operatore in primo piano", "Operatore con maglietta rosa"], "risk_cues": {"S1_people_vehicle_interference": 0.0, "S2_visibility_attention_reduction": 0.5, "S3_non_compliant_behavior": 0.5, "S4_vehicle_infrastructure_interference": 0.0, "S5_storage_structural_instability": 0.0, "S6_access_to_moving_mechanical_parts": 0.75, "S7_manual_handling_heavy_unstable_loads": 0.0}, "cue_confidence": 0.8, "diagnostic_notes": "Si rileva una forte evidenza di rischio legata all'accesso a organi meccanici (S6), data la presenza della mano dell'operatore vicino alla zona di lavoro della pressa. Si osserva inoltre una potenziale riduzione dell'attenzione (S2) quando l'operatore in maglietta rosa si gira verso il collega mentre è vicino alla zona stampo. La parziale ostruzione della visuale interna della pressa non permette di verificare con assoluta certezza lo stato di isolamento della macchina."}</t>
        </is>
      </c>
      <c r="L19" s="7" t="inlineStr">
        <is>
          <t>{"causal_chain_plausible": true, "causal_chain_text": "La prossimità della mano dell'operatore alla zona di lavoro della pressa, combinata con la distrazione del secondo operatore che si gira verso il collega vicino allo stampo, crea una condizione di vulnerabilità. Un movimento imprevisto della macchina o un'azione involontaria possono portare al contatto con gli organi in movimento.", "near_miss_or_incident_scenario": "Schiacciamento o intrappolamento dell'arto superiore dell'operatore all'interno della zona stampo della pressa a iniezione durante una fase di distrazione operativa.", "contributing_factors": ["Presenza della mano dell'operatore vicino alla zona di lavoro della pressa", "Distrazione dell'operatore che distoglie lo sguardo dalla zona di pericolo", "Mancanza di barriere di sicurezza visibili a protezione della zona stampo"]}</t>
        </is>
      </c>
      <c r="M19" s="7" t="n">
        <v>72</v>
      </c>
      <c r="N19" s="7" t="inlineStr">
        <is>
          <t>Il punteggio riflette un rischio significativo dovuto alla presenza della mano dell'operatore in prossimità della zona di stampaggio della pressa, aggravato dalla distrazione del collega che distoglie lo sguardo dall'area di pericolo. La potenziale gravità di un infortunio da schiacciamento in questa zona richiede un monitoraggio immediato.</t>
        </is>
      </c>
      <c r="O19" s="7" t="n">
        <v>68.23</v>
      </c>
      <c r="P19" s="9" t="inlineStr">
        <is>
          <t>arancione</t>
        </is>
      </c>
      <c r="Q19" s="7" t="n">
        <v>41.95</v>
      </c>
      <c r="R19" s="7" t="n">
        <v>40.23</v>
      </c>
      <c r="S19" s="10" t="inlineStr">
        <is>
          <t>giallo</t>
        </is>
      </c>
      <c r="T19" s="7" t="n">
        <v>0.8</v>
      </c>
      <c r="U19" s="7" t="inlineStr">
        <is>
          <t>Si rileva una forte evidenza di rischio legata all'accesso a organi meccanici (S6), data la presenza della mano dell'operatore vicino alla zona di lavoro della pressa. Si osserva inoltre una potenziale riduzione dell'attenzione (S2) quando l'operatore in maglietta rosa si gira verso il collega mentre è vicino alla zona stampo. La parziale ostruzione della visuale interna della pressa non permette di verificare con assoluta certezza lo stato di isolamento della macchina.</t>
        </is>
      </c>
      <c r="V19" s="7" t="n">
        <v>0</v>
      </c>
      <c r="W19" s="7" t="n">
        <v>0</v>
      </c>
      <c r="X19" s="7" t="n">
        <v>0.1109</v>
      </c>
      <c r="Y19" s="7" t="n">
        <v>0</v>
      </c>
      <c r="Z19" s="7" t="n">
        <v>0</v>
      </c>
      <c r="AA19" s="7" t="n">
        <v>0.5</v>
      </c>
      <c r="AB19" s="7" t="n">
        <v>0.8176</v>
      </c>
      <c r="AC19" s="7" t="n">
        <v>0.037</v>
      </c>
      <c r="AD19" s="7" t="n">
        <v>3.0251</v>
      </c>
      <c r="AE19" s="7" t="n">
        <v>7.21</v>
      </c>
      <c r="AF19" s="7" t="n">
        <v>0.5</v>
      </c>
      <c r="AG19" s="7" t="n">
        <v>0.8176</v>
      </c>
      <c r="AH19" s="7" t="n">
        <v>0.0549</v>
      </c>
      <c r="AI19" s="7" t="n">
        <v>4.4886</v>
      </c>
      <c r="AJ19" s="7" t="n">
        <v>10.7</v>
      </c>
      <c r="AK19" s="7" t="n">
        <v>0</v>
      </c>
      <c r="AL19" s="7" t="n">
        <v>0.008200000000000001</v>
      </c>
      <c r="AM19" s="7" t="n">
        <v>0.1538</v>
      </c>
      <c r="AN19" s="7" t="n">
        <v>0.1261</v>
      </c>
      <c r="AO19" s="7" t="n">
        <v>0.3</v>
      </c>
      <c r="AP19" s="7" t="n">
        <v>0</v>
      </c>
      <c r="AQ19" s="7" t="n">
        <v>0</v>
      </c>
      <c r="AR19" s="7" t="n">
        <v>0.2228</v>
      </c>
      <c r="AS19" s="7" t="n">
        <v>0</v>
      </c>
      <c r="AT19" s="7" t="n">
        <v>0</v>
      </c>
      <c r="AU19" s="7" t="n">
        <v>0.75</v>
      </c>
      <c r="AV19" s="7" t="n">
        <v>0.9955000000000001</v>
      </c>
      <c r="AW19" s="7" t="n">
        <v>0.3447</v>
      </c>
      <c r="AX19" s="7" t="n">
        <v>34.3149</v>
      </c>
      <c r="AY19" s="7" t="n">
        <v>81.8</v>
      </c>
      <c r="AZ19" s="7" t="n">
        <v>0</v>
      </c>
      <c r="BA19" s="7" t="n">
        <v>0</v>
      </c>
      <c r="BB19" s="7" t="n">
        <v>0.0759</v>
      </c>
      <c r="BC19" s="7" t="n">
        <v>0</v>
      </c>
      <c r="BD19" s="7" t="n">
        <v>0</v>
      </c>
    </row>
    <row r="20" ht="34" customHeight="1">
      <c r="A20" s="7" t="n">
        <v>18</v>
      </c>
      <c r="B20" s="7" t="n">
        <v>36</v>
      </c>
      <c r="C20" s="7" t="n">
        <v>40</v>
      </c>
      <c r="D20" s="7" t="n">
        <v>4</v>
      </c>
      <c r="E20" s="7" t="inlineStr">
        <is>
          <t>{"analisi_scena": {"contesto": "Stabilimento industriale, presumibilmente per lo stampaggio di materie plastiche.", "descrizione_generale": "Due operatori si trovano in prossimità di una pressa a iniezione industriale in funzione."}, "soggetti_e_oggetti": {"persone": [{"id": 1, "ruolo": "Operatore principale", "dettagli": "Indossa una t-shirt rosa, cappellino nero e un guanto protettivo blu sulla mano sinistra."}, {"id": 2, "ruolo": "Secondo operatore", "dettagli": "Visibile parzialmente in primo piano di spalle, osserva la scena."}], "macchinari": "Pressa ad iniezione MIR con pannello di controllo digitale attivo.", "oggetti": "Sacchi bianchi di materia prima e pile di sedie in plastica colorate sullo sfondo."}, "dinamiche_e_ambiente": {"azioni_osservabili": "L'operatore in t-shirt rosa si appoggia alla struttura della pressa e si sporge verso la zona interna dello stampo per effettuare un controllo visivo.", "condizioni_ambientali": "Illuminazione interna sufficiente; area di lavoro circostante sgombra.", "limiti_visibilita": "La presenza del secondo operatore in primo piano ostruisce parzialmente la visuale della parte inferiore della macchina e del pannello."}, "safety_analysis": {"dpi_rilevati": "Guanto protettivo sulla mano sinistra. Non si osservano occhiali di protezione, elmetto o protezioni acustiche.", "fattori_contribuenti": "Posizione ravvicinata dell'operatore alle parti meccaniche interne della pressa durante la fase operativa.", "rischi_potenziali": "Rischio moderato di contatto accidentale con parti calde o in movimento (schiacciamento/ustione) qualora i sistemi di interblocco non fossero pienamente efficienti o attivi."}}</t>
        </is>
      </c>
      <c r="F20" s="7" t="n">
        <v>65</v>
      </c>
      <c r="G20" s="7" t="inlineStr">
        <is>
          <t>L'operatore si sporge verso la zona interna dello stampo di una pressa a iniezione attiva per effettuare un controllo visivo. L'avvicinamento a parti potenzialmente calde o in movimento, combinato con la mancanza di DPI adeguati (assenza di occhiali protettivi e presenza di un solo guanto), determina un rischio moderato-alto di schiacciamento o ustione in caso di mancato funzionamento dei sistemi di interblocco.</t>
        </is>
      </c>
      <c r="H20" s="7" t="n">
        <v>68.75</v>
      </c>
      <c r="I20" s="9" t="inlineStr">
        <is>
          <t>arancione</t>
        </is>
      </c>
      <c r="J20" s="7" t="inlineStr">
        <is>
          <t>{"scene_state": "Area di produzione industriale con macchinari per lo stampaggio di materie plastiche.", "environmental_conditions": ["Illuminazione artificiale interna", "Ambiente di fabbrica"], "people": ["Un operatore con maglietta rosa e cappellino nero", "Un secondo uomo parzialmente visibile in primo piano a destra", "Una terza persona parzialmente visibile sul lato sinistro"], "objects": ["Sedie di plastica colorate impilate sullo sfondo", "Sacchi bianchi", "Pannello di controllo della macchina"], "machines": ["Pressa per stampaggio a iniezione di colore arancione e grigio"], "observable_actions": ["L'operatore con la maglietta rosa interagisce con la pressa, inserendo la mano sinistra guantata all'interno della zona stampo", "L'uomo in primo piano osserva l'operazione"], "visible_ppe": ["Un guanto protettivo blu sulla mano sinistra dell'operatore con maglietta rosa"], "notes_visibility_limitations": "La visuale dell'interno della macchina è parzialmente ostruita dalla struttura stessa. L'uomo in primo piano copre parzialmente la visuale inferiore destra."}</t>
        </is>
      </c>
      <c r="K20" s="7" t="inlineStr">
        <is>
          <t>{"unsafe_behaviors": ["Inserimento della mano sinistra all'interno della zona stampo della pressa a iniezione senza evidente verifica di isolamento energetico o blocco di sicurezza (LOTO)."], "vulnerable_elements": ["Operatore con maglietta rosa (esposto a rischio di schiacciamento, intrappolamento o ustione dell'arto superiore sinistro)."], "risk_cues": {"S1_people_vehicle_interference": 0.0, "S2_visibility_attention_reduction": 0.25, "S3_non_compliant_behavior": 0.75, "S4_vehicle_infrastructure_interference": 0.0, "S5_storage_structural_instability": 0.0, "S6_access_to_moving_mechanical_parts": 0.75, "S7_manual_handling_heavy_unstable_loads": 0.0}, "cue_confidence": 0.8, "diagnostic_notes": "L'operatore inserisce la mano nella zona dello stampo della pressa (S6). Sebbene indossi un guanto protettivo, l'accesso diretto a organi meccanici potenzialmente attivi rappresenta un comportamento non conforme ad alto rischio (S3). La visibilità interna limitata dalla struttura della macchina (S2) aumenta l'ambiguità sullo stato di sicurezza effettivo del macchinario durante l'intervento."}</t>
        </is>
      </c>
      <c r="L20" s="7" t="inlineStr">
        <is>
          <t>{"causal_chain_plausible": true, "causal_chain_text": "L'operatore inserisce la mano sinistra nella zona stampo della pressa senza apparente isolamento energetico. Un avvio intempestivo del ciclo o un guasto ai sistemi di sicurezza può causare la chiusura dello stampo sull'arto.", "near_miss_or_incident_scenario": "Grave infortunio con schiacciamento o amputazione della mano sinistra dell'operatore all'interno della pressa a iniezione.", "contributing_factors": ["Accesso manuale diretto alla zona pericolosa dello stampo", "Mancanza di evidenza di procedure di isolamento energetico (LOTO)", "Uso di DPI (guanto) inadeguati a proteggere da forze di schiacciamento meccanico"]}</t>
        </is>
      </c>
      <c r="M20" s="7" t="n">
        <v>80</v>
      </c>
      <c r="N20" s="7" t="inlineStr">
        <is>
          <t>L'inserimento della mano all'interno della zona stampo di una pressa a iniezione senza evidenza di isolamento energetico (LOTO) espone l'operatore a un rischio critico di schiacciamento e amputazione. Il guanto indossato non offre alcuna protezione contro le forze meccaniche della macchina in caso di avvio intempestivo.</t>
        </is>
      </c>
      <c r="O20" s="7" t="n">
        <v>77.29000000000001</v>
      </c>
      <c r="P20" s="8" t="inlineStr">
        <is>
          <t>rosso</t>
        </is>
      </c>
      <c r="Q20" s="7" t="n">
        <v>41.89</v>
      </c>
      <c r="R20" s="7" t="n">
        <v>41.23</v>
      </c>
      <c r="S20" s="10" t="inlineStr">
        <is>
          <t>giallo</t>
        </is>
      </c>
      <c r="T20" s="7" t="n">
        <v>0.8</v>
      </c>
      <c r="U20" s="7" t="inlineStr">
        <is>
          <t>L'operatore inserisce la mano nella zona dello stampo della pressa (S6). Sebbene indossi un guanto protettivo, l'accesso diretto a organi meccanici potenzialmente attivi rappresenta un comportamento non conforme ad alto rischio (S3). La visibilità interna limitata dalla struttura della macchina (S2) aumenta l'ambiguità sullo stato di sicurezza effettivo del macchinario durante l'intervento.</t>
        </is>
      </c>
      <c r="V20" s="7" t="n">
        <v>0</v>
      </c>
      <c r="W20" s="7" t="n">
        <v>0</v>
      </c>
      <c r="X20" s="7" t="n">
        <v>0.1109</v>
      </c>
      <c r="Y20" s="7" t="n">
        <v>0</v>
      </c>
      <c r="Z20" s="7" t="n">
        <v>0</v>
      </c>
      <c r="AA20" s="7" t="n">
        <v>0.25</v>
      </c>
      <c r="AB20" s="7" t="n">
        <v>0.5553</v>
      </c>
      <c r="AC20" s="7" t="n">
        <v>0.037</v>
      </c>
      <c r="AD20" s="7" t="n">
        <v>2.0546</v>
      </c>
      <c r="AE20" s="7" t="n">
        <v>4.9</v>
      </c>
      <c r="AF20" s="7" t="n">
        <v>0.75</v>
      </c>
      <c r="AG20" s="7" t="n">
        <v>0.982</v>
      </c>
      <c r="AH20" s="7" t="n">
        <v>0.0549</v>
      </c>
      <c r="AI20" s="7" t="n">
        <v>5.3912</v>
      </c>
      <c r="AJ20" s="7" t="n">
        <v>12.87</v>
      </c>
      <c r="AK20" s="7" t="n">
        <v>0</v>
      </c>
      <c r="AL20" s="7" t="n">
        <v>0.008200000000000001</v>
      </c>
      <c r="AM20" s="7" t="n">
        <v>0.1538</v>
      </c>
      <c r="AN20" s="7" t="n">
        <v>0.1261</v>
      </c>
      <c r="AO20" s="7" t="n">
        <v>0.3</v>
      </c>
      <c r="AP20" s="7" t="n">
        <v>0</v>
      </c>
      <c r="AQ20" s="7" t="n">
        <v>0</v>
      </c>
      <c r="AR20" s="7" t="n">
        <v>0.2228</v>
      </c>
      <c r="AS20" s="7" t="n">
        <v>0</v>
      </c>
      <c r="AT20" s="7" t="n">
        <v>0</v>
      </c>
      <c r="AU20" s="7" t="n">
        <v>0.75</v>
      </c>
      <c r="AV20" s="7" t="n">
        <v>0.9955000000000001</v>
      </c>
      <c r="AW20" s="7" t="n">
        <v>0.3447</v>
      </c>
      <c r="AX20" s="7" t="n">
        <v>34.3149</v>
      </c>
      <c r="AY20" s="7" t="n">
        <v>81.92</v>
      </c>
      <c r="AZ20" s="7" t="n">
        <v>0</v>
      </c>
      <c r="BA20" s="7" t="n">
        <v>0</v>
      </c>
      <c r="BB20" s="7" t="n">
        <v>0.0759</v>
      </c>
      <c r="BC20" s="7" t="n">
        <v>0</v>
      </c>
      <c r="BD20" s="7" t="n">
        <v>0</v>
      </c>
    </row>
    <row r="21" ht="34" customHeight="1">
      <c r="A21" s="7" t="n">
        <v>19</v>
      </c>
      <c r="B21" s="7" t="n">
        <v>38</v>
      </c>
      <c r="C21" s="7" t="n">
        <v>42</v>
      </c>
      <c r="D21" s="7" t="n">
        <v>4</v>
      </c>
      <c r="E21" s="7" t="inlineStr">
        <is>
          <t>{"descrizione_generale": "Tre operatori lavorano attorno a una pressa a iniezione industriale in un impianto di produzione.", "contesto": "Settore manifatturiero, probabilmente stampaggio di materie plastiche (presenza di sedie in plastica sullo sfondo).", "soggetti_coinvolti": ["Operatore 1: indossa maglia rosa e cappellino nero, opera fisicamente dentro la macchina.", "Operatore 2: indossa maglia blu/bianca, posizionato vicino al pannello di controllo.", "Operatore 3: indossa maglia a righe e cappellino al contrario, si avvicina con un utensile."], "macchinari_e_oggetti": {"macchinario_principale": "Pressa a iniezione MIR con pannello di controllo digitale attivo.", "oggetti_rilevanti": "Utensile manuale metallico (chiave), sacchi industriali bianchi, pile di sedie plastiche."}, "azioni_osservate": "L'operatore in rosa inserisce le mani nell'area di stampaggio aperta. L'operatore 2 si trova vicino alla console di comando. L'operatore 3 si avvicina per supportare l'intervento con un attrezzo.", "condizioni_ambientali": "Illuminazione interna artificiale standard. Spazio di lavoro ristretto attorno al macchinario.", "limiti_visivi": "La posizione della telecamera non permette di vedere con precisione il punto di contatto delle mani dell'operatore dentro la pressa.", "analisi_sicurezza": {"dpi_rilevati": "Uso di guanti da parte dell'operatore 2. Assenza di elmetti di protezione, occhiali di sicurezza o protezione acustica visibile.", "fattori_contribuenti": "Intervento manuale diretto in zona pericolosa senza apparente isolamento energetico (LOTO) visibile e con un collega vicino ai comandi.", "rischi_potenziali": "Rischio moderato-alto di schiacciamento degli arti superiori in caso di attivazione accidentale o ciclo automatico della pressa."}}</t>
        </is>
      </c>
      <c r="F21" s="7" t="n">
        <v>85</v>
      </c>
      <c r="G21" s="7" t="inlineStr">
        <is>
          <t>Il punteggio di 85 riflette un rischio molto elevato. Un operatore sta lavorando con le mani direttamente all'interno della zona di stampaggio di una pressa a iniezione senza evidenza di procedure di isolamento energetico (LOTO). La presenza di un secondo operatore vicino al pannello di controllo aumenta drasticamente il rischio di attivazione accidentale del macchinario, con conseguente pericolo di schiacciamento o amputazione degli arti superiori. Si rileva inoltre una carenza di DPI adeguati.</t>
        </is>
      </c>
      <c r="H21" s="7" t="n">
        <v>83.5</v>
      </c>
      <c r="I21" s="8" t="inlineStr">
        <is>
          <t>rosso</t>
        </is>
      </c>
      <c r="J21" s="7" t="inlineStr">
        <is>
          <t>{"scene_state": "Attività di manutenzione o configurazione di un macchinario industriale in un impianto di stampaggio plastica.", "environmental_conditions": ["Illuminazione artificiale interna", "Ambiente di fabbrica con materiali stoccati sullo sfondo"], "people": ["Operatore con maglietta rosa e cappellino nero", "Operatore in primo piano di spalle con maglietta blu", "Operatore che sopraggiunge da sinistra con maglietta a righe"], "objects": ["Sedie in plastica impilate", "Grandi sacchi bianchi", "Rotoli o cilindri neri", "Attrezzo manuale metallico"], "machines": ["Pressa ad iniezione industriale MIR con schermo di controllo acceso"], "observable_actions": ["L'operatore in rosa lavora vicino alla zona stampo", "L'operatore in primo piano agisce sul pannello di controllo", "L'operatore a righe si avvicina portando un attrezzo"], "visible_ppe": ["Guanto protettivo blu sulla mano destra dell'operatore al pannello"], "notes_visibility_limitations": "La presenza fisica degli operatori ostruisce parzialmente la vista dei dettagli interni del macchinario."}</t>
        </is>
      </c>
      <c r="K21" s="7" t="inlineStr">
        <is>
          <t>{"unsafe_behaviors": ["Intervento manuale nella zona stampo con macchina potenzialmente alimentata", "Mancanza di evidenza di procedure di Lockout/Tagout (LOTO) durante la manutenzione", "Mancanza di DPI visibili completi per tutti gli operatori esposti"], "vulnerable_elements": ["Operatore con maglietta rosa vicino alla zona stampo", "Operatore con maglietta a righe in prossimità dell'area di lavoro"], "risk_cues": {"S1_people_vehicle_interference": 0.0, "S2_visibility_attention_reduction": 0.5, "S3_non_compliant_behavior": 0.5, "S4_vehicle_infrastructure_interference": 0.0, "S5_storage_structural_instability": 0.25, "S6_access_to_moving_mechanical_parts": 0.75, "S7_manual_handling_heavy_unstable_loads": 0.25}, "cue_confidence": 0.8, "diagnostic_notes": "Il rischio principale (S6) è legato alla presenza dell'operatore in rosa vicino alla zona stampo della pressa ad iniezione mentre un altro operatore agisce sul pannello di controllo acceso. Questa configurazione espone a gravi rischi di schiacciamento in assenza di un isolamento energetico sicuro (LOTO). La visibilità interna è parzialmente ostruita dalla presenza fisica dei lavoratori."}</t>
        </is>
      </c>
      <c r="L21" s="7" t="inlineStr">
        <is>
          <t>{"causal_chain_plausible": true, "causal_chain_text": "L'operatore al pannello di controllo attivo potrebbe avviare accidentalmente un ciclo di pressatura mentre l'operatore in rosa lavora nella zona stampo non isolata energeticamente (assenza di LOTO), provocando un grave infortunio.", "near_miss_or_incident_scenario": "Schiacciamento degli arti superiori dell'operatore in maglietta rosa all'interno della pressa ad iniezione a causa dell'attivazione involontaria del macchinario.", "contributing_factors": ["Mancata applicazione delle procedure di Lockout/Tagout (LOTO) per l'isolamento della pressa.", "Presenza di un operatore nella zona stampo con macchina alimentata e pannello di controllo attivo.", "Mancanza di DPI visibili e completi per tutti i soggetti esposti."]}</t>
        </is>
      </c>
      <c r="M21" s="7" t="n">
        <v>85</v>
      </c>
      <c r="N21" s="7" t="inlineStr">
        <is>
          <t>Il punteggio elevato è giustificato dal gravissimo rischio di schiacciamento degli arti per l'operatore che lavora nella zona stampo senza l'applicazione visibile delle procedure di Lockout/Tagout (LOTO), mentre un altro agisce sul pannello di controllo attivo. La potenziale attivazione accidentale della pressa ad iniezione configura una situazione di imminente pericolo di infortunio grave.</t>
        </is>
      </c>
      <c r="O21" s="7" t="n">
        <v>83.17</v>
      </c>
      <c r="P21" s="8" t="inlineStr">
        <is>
          <t>rosso</t>
        </is>
      </c>
      <c r="Q21" s="7" t="n">
        <v>43.11</v>
      </c>
      <c r="R21" s="7" t="n">
        <v>42.66</v>
      </c>
      <c r="S21" s="10" t="inlineStr">
        <is>
          <t>giallo</t>
        </is>
      </c>
      <c r="T21" s="7" t="n">
        <v>0.8</v>
      </c>
      <c r="U21" s="7" t="inlineStr">
        <is>
          <t>Il rischio principale (S6) è legato alla presenza dell'operatore in rosa vicino alla zona stampo della pressa ad iniezione mentre un altro operatore agisce sul pannello di controllo acceso. Questa configurazione espone a gravi rischi di schiacciamento in assenza di un isolamento energetico sicuro (LOTO). La visibilità interna è parzialmente ostruita dalla presenza fisica dei lavoratori.</t>
        </is>
      </c>
      <c r="V21" s="7" t="n">
        <v>0</v>
      </c>
      <c r="W21" s="7" t="n">
        <v>0</v>
      </c>
      <c r="X21" s="7" t="n">
        <v>0.1109</v>
      </c>
      <c r="Y21" s="7" t="n">
        <v>0</v>
      </c>
      <c r="Z21" s="7" t="n">
        <v>0</v>
      </c>
      <c r="AA21" s="7" t="n">
        <v>0.5</v>
      </c>
      <c r="AB21" s="7" t="n">
        <v>0.8176</v>
      </c>
      <c r="AC21" s="7" t="n">
        <v>0.037</v>
      </c>
      <c r="AD21" s="7" t="n">
        <v>3.0251</v>
      </c>
      <c r="AE21" s="7" t="n">
        <v>7.02</v>
      </c>
      <c r="AF21" s="7" t="n">
        <v>0.5</v>
      </c>
      <c r="AG21" s="7" t="n">
        <v>0.8176</v>
      </c>
      <c r="AH21" s="7" t="n">
        <v>0.0549</v>
      </c>
      <c r="AI21" s="7" t="n">
        <v>4.4886</v>
      </c>
      <c r="AJ21" s="7" t="n">
        <v>10.41</v>
      </c>
      <c r="AK21" s="7" t="n">
        <v>0</v>
      </c>
      <c r="AL21" s="7" t="n">
        <v>0.008200000000000001</v>
      </c>
      <c r="AM21" s="7" t="n">
        <v>0.1538</v>
      </c>
      <c r="AN21" s="7" t="n">
        <v>0.1261</v>
      </c>
      <c r="AO21" s="7" t="n">
        <v>0.29</v>
      </c>
      <c r="AP21" s="7" t="n">
        <v>0.25</v>
      </c>
      <c r="AQ21" s="7" t="n">
        <v>0.0359</v>
      </c>
      <c r="AR21" s="7" t="n">
        <v>0.2228</v>
      </c>
      <c r="AS21" s="7" t="n">
        <v>0.7999000000000001</v>
      </c>
      <c r="AT21" s="7" t="n">
        <v>1.86</v>
      </c>
      <c r="AU21" s="7" t="n">
        <v>0.75</v>
      </c>
      <c r="AV21" s="7" t="n">
        <v>0.9955000000000001</v>
      </c>
      <c r="AW21" s="7" t="n">
        <v>0.3447</v>
      </c>
      <c r="AX21" s="7" t="n">
        <v>34.3149</v>
      </c>
      <c r="AY21" s="7" t="n">
        <v>79.59999999999999</v>
      </c>
      <c r="AZ21" s="7" t="n">
        <v>0.25</v>
      </c>
      <c r="BA21" s="7" t="n">
        <v>0.0474</v>
      </c>
      <c r="BB21" s="7" t="n">
        <v>0.0759</v>
      </c>
      <c r="BC21" s="7" t="n">
        <v>0.3598</v>
      </c>
      <c r="BD21" s="7" t="n">
        <v>0.83</v>
      </c>
    </row>
    <row r="22" ht="34" customHeight="1">
      <c r="A22" s="7" t="n">
        <v>20</v>
      </c>
      <c r="B22" s="7" t="n">
        <v>40</v>
      </c>
      <c r="C22" s="7" t="n">
        <v>44</v>
      </c>
      <c r="D22" s="7" t="n">
        <v>4</v>
      </c>
      <c r="E22" s="7" t="inlineStr">
        <is>
          <t>{"scena_generale": {"contesto": "Interno di uno stabilimento industriale, presumibilmente per lo stampaggio di materie plastiche, data la presenza di una pressa a iniezione e sedie in plastica impilate sullo sfondo.", "luminosita": "Buona, illuminazione artificiale tipica da fabbrica."}, "personale_presente": [{"id": "Operatore 1", "posizione": "Sinistra, vicino a un carrello bianco", "abbigliamento": "T-shirt a righe, cappellino con visiera all'indietro", "attivita": "Osserva gli altri colleghi, tiene in mano un utensile (chiave inglese)."}, {"id": "Operatore 2", "posizione": "Centro, davanti alla pressa", "abbigliamento": "T-shirt rosa/pesca, cappellino nero", "attivita": "Si sporge verso la zona stampo della macchina e successivamente si china profondamente verso il basso."}, {"id": "Operatore 3", "posizione": "Destra, vicino al pannello di controllo", "abbigliamento": "Maglia blu e bianca, capelli rasati", "attivita": "Interagisce con il pannello di controllo della pressa."}], "macchinari_e_oggetti": {"macchinari": "Pressa a iniezione industriale per plastica (marca MIR parzialmente visibile) con pannello di controllo digitale attivo.", "oggetti": "Sedie di plastica colorate impilate, sacchi bianchi di materia prima, carrello di servizio bianco con utensili."}, "dpi_rilevati": {"presenti": "Guanti protettivi blu indossati dall'Operatore 3.", "assenti_critici": "Mancanza di elmetti protettivi, occhiali di sicurezza e calzature di sicurezza evidenti per tutti i presenti."}, "analisi_sicurezza": {"comportamenti_a_rischio": "L'Operatore 2 si sporge e si china all'interno dell'area operativa della pressa mentre l'Operatore 3 è vicino al pannello di comando. Questo crea un rischio di attivazione accidentale del ciclo di stampaggio.", "rischi_potenziali": "Schiacciamento degli arti superiori o intrappolamento nella pressa; lesioni da movimento imprevisto del macchinario; rischi ergonomici dovuti alla postura incongrua dell'Operatore 2.", "fattori_contribuenti": "Prossimità fisica eccessiva alla zona di pericolo senza barriere fisiche visibili attive o procedure di Lockout/Tagout (LOTO) evidenti durante l'ispezione/intervento manuale."}}</t>
        </is>
      </c>
      <c r="F22" s="7" t="n">
        <v>92</v>
      </c>
      <c r="G22" s="7" t="inlineStr">
        <is>
          <t>Il punteggio di rischio è estremamente elevato (92) a causa della presenza dell'Operatore 2 parzialmente all'interno della zona stampo della pressa a iniezione mentre l'Operatore 3 agisce sul pannello di controllo. Questa configurazione, in assenza di procedure LOTO (Lockout/Tagout) visibili o barriere di sicurezza attive, espone l'operatore a un rischio imminente di schiacciamento o intrappolamento grave in caso di attivazione accidentale del macchinario. Si rileva inoltre la quasi totale assenza di DPI fondamentali (elmetti, occhiali, calzature di sicurezza).</t>
        </is>
      </c>
      <c r="H22" s="7" t="n">
        <v>90.34999999999999</v>
      </c>
      <c r="I22" s="8" t="inlineStr">
        <is>
          <t>rosso</t>
        </is>
      </c>
      <c r="J22" s="7" t="inlineStr">
        <is>
          <t>{"scene_state": "Ambiente industriale, reparto stampaggio materie plastiche.", "environmental_conditions": ["Illuminazione artificiale interna", "Ambiente di lavoro al coperto"], "people": ["Tre operatori maschi presenti vicino al macchinario."], "objects": ["Pannello di controllo", "Attrezzo manuale (chiave o leva)", "Sedie di plastica impilate sullo sfondo", "Sacchi bianchi"], "machines": ["Pressa per stampaggio a iniezione di grandi dimensioni con pannello di controllo digitale"], "observable_actions": ["Un operatore interagisce con il pannello di controllo digitale.", "Un secondo operatore in maglietta rosa si china vicino alla pressa.", "Un terzo operatore con maglietta a righe osserva tenendo in mano un attrezzo."], "visible_ppe": ["Guanti protettivi blu indossati dall'operatore al pannello di controllo."], "notes_visibility_limitations": "Inquadratura fissa dall'alto (telecamera di sicurezza), alcune parti interne del macchinario sono parzialmente nascoste alla vista."}</t>
        </is>
      </c>
      <c r="K22" s="7" t="inlineStr">
        <is>
          <t>{"unsafe_behaviors": ["Operatore chinato vicino alla pressa in zona potenzialmente pericolosa", "Mancato utilizzo visibile di DPI completi (es. elmetto, protezione occhi/udito) in presenza di macchinari industriali attivi"], "vulnerable_elements": ["Operatore con maglietta rosa chinato vicino alla pressa", "Operatore con maglietta a righe in prossimità della zona di stampaggio"], "risk_cues": {"S1_people_vehicle_interference": 0.0, "S2_visibility_attention_reduction": 0.25, "S3_non_compliant_behavior": 0.5, "S4_vehicle_infrastructure_interference": 0.0, "S5_storage_structural_instability": 0.0, "S6_access_to_moving_mechanical_parts": 0.5, "S7_manual_handling_heavy_unstable_loads": 0.0}, "cue_confidence": 0.75, "diagnostic_notes": "La vicinanza degli operatori alla pressa per stampaggio a iniezione solleva potenziali rischi di accesso a organi meccanici o parti calde (S6). L'operatore chinato ha una visibilità ridotta sull'ambiente circostante (S2). Si rileva una potenziale non conformità legata alla mancanza di DPI visibili oltre ai guanti (S3). Non sono presenti mezzi di movimentazione (S1, S4) o carichi instabili (S5, S7)."}</t>
        </is>
      </c>
      <c r="L22" s="7" t="inlineStr">
        <is>
          <t>{"causal_chain_plausible": true, "causal_chain_text": "L'operatore al pannello di controllo potrebbe azionare la pressa mentre il secondo operatore è chinato vicino ad essa in una zona a visibilità ridotta, portando a un contatto accidentale con organi in movimento o parti calde.", "near_miss_or_incident_scenario": "Schiacciamento o ustione di un arto dell'operatore chinato a causa dell'avvio intempestivo della pressa da parte del collega al pannello.", "contributing_factors": ["Posizione chinata dell'operatore in maglietta rosa vicino alla pressa", "Interazione contemporanea di un altro operatore con il pannello di controllo", "Mancanza di DPI visibili completi per la protezione da rischi meccanici e termici", "Visibilità e attenzione ridotte dell'operatore chinato rispetto alle azioni dei colleghi"]}</t>
        </is>
      </c>
      <c r="M22" s="7" t="n">
        <v>60</v>
      </c>
      <c r="N22" s="7" t="inlineStr">
        <is>
          <t>Il punteggio riflette un rischio significativo dovuto alla presenza di un operatore chinato vicino alla pressa mentre un altro agisce sul pannello di controllo, con pericolo di avviamento accidentale. La situazione è aggravata dalla mancanza di DPI visibili completi e dalla ridotta visibilità dell'operatore esposto.</t>
        </is>
      </c>
      <c r="O22" s="7" t="n">
        <v>69.27</v>
      </c>
      <c r="P22" s="9" t="inlineStr">
        <is>
          <t>arancione</t>
        </is>
      </c>
      <c r="Q22" s="7" t="n">
        <v>38.27</v>
      </c>
      <c r="R22" s="7" t="n">
        <v>40.03</v>
      </c>
      <c r="S22" s="10" t="inlineStr">
        <is>
          <t>giallo</t>
        </is>
      </c>
      <c r="T22" s="7" t="n">
        <v>0.75</v>
      </c>
      <c r="U22" s="7" t="inlineStr">
        <is>
          <t>La vicinanza degli operatori alla pressa per stampaggio a iniezione solleva potenziali rischi di accesso a organi meccanici o parti calde (S6). L'operatore chinato ha una visibilità ridotta sull'ambiente circostante (S2). Si rileva una potenziale non conformità legata alla mancanza di DPI visibili oltre ai guanti (S3). Non sono presenti mezzi di movimentazione (S1, S4) o carichi instabili (S5, S7).</t>
        </is>
      </c>
      <c r="V22" s="7" t="n">
        <v>0</v>
      </c>
      <c r="W22" s="7" t="n">
        <v>0</v>
      </c>
      <c r="X22" s="7" t="n">
        <v>0.1109</v>
      </c>
      <c r="Y22" s="7" t="n">
        <v>0</v>
      </c>
      <c r="Z22" s="7" t="n">
        <v>0</v>
      </c>
      <c r="AA22" s="7" t="n">
        <v>0.25</v>
      </c>
      <c r="AB22" s="7" t="n">
        <v>0.5553</v>
      </c>
      <c r="AC22" s="7" t="n">
        <v>0.037</v>
      </c>
      <c r="AD22" s="7" t="n">
        <v>2.0546</v>
      </c>
      <c r="AE22" s="7" t="n">
        <v>5.37</v>
      </c>
      <c r="AF22" s="7" t="n">
        <v>0.5</v>
      </c>
      <c r="AG22" s="7" t="n">
        <v>0.8176</v>
      </c>
      <c r="AH22" s="7" t="n">
        <v>0.0549</v>
      </c>
      <c r="AI22" s="7" t="n">
        <v>4.4886</v>
      </c>
      <c r="AJ22" s="7" t="n">
        <v>11.73</v>
      </c>
      <c r="AK22" s="7" t="n">
        <v>0</v>
      </c>
      <c r="AL22" s="7" t="n">
        <v>0.008200000000000001</v>
      </c>
      <c r="AM22" s="7" t="n">
        <v>0.1538</v>
      </c>
      <c r="AN22" s="7" t="n">
        <v>0.1261</v>
      </c>
      <c r="AO22" s="7" t="n">
        <v>0.33</v>
      </c>
      <c r="AP22" s="7" t="n">
        <v>0</v>
      </c>
      <c r="AQ22" s="7" t="n">
        <v>0</v>
      </c>
      <c r="AR22" s="7" t="n">
        <v>0.2228</v>
      </c>
      <c r="AS22" s="7" t="n">
        <v>0</v>
      </c>
      <c r="AT22" s="7" t="n">
        <v>0</v>
      </c>
      <c r="AU22" s="7" t="n">
        <v>0.5</v>
      </c>
      <c r="AV22" s="7" t="n">
        <v>0.9167999999999999</v>
      </c>
      <c r="AW22" s="7" t="n">
        <v>0.3447</v>
      </c>
      <c r="AX22" s="7" t="n">
        <v>31.6021</v>
      </c>
      <c r="AY22" s="7" t="n">
        <v>82.58</v>
      </c>
      <c r="AZ22" s="7" t="n">
        <v>0</v>
      </c>
      <c r="BA22" s="7" t="n">
        <v>0</v>
      </c>
      <c r="BB22" s="7" t="n">
        <v>0.0759</v>
      </c>
      <c r="BC22" s="7" t="n">
        <v>0</v>
      </c>
      <c r="BD22" s="7" t="n">
        <v>0</v>
      </c>
    </row>
    <row r="23" ht="34" customHeight="1">
      <c r="A23" s="7" t="n">
        <v>21</v>
      </c>
      <c r="B23" s="7" t="n">
        <v>42</v>
      </c>
      <c r="C23" s="7" t="n">
        <v>46</v>
      </c>
      <c r="D23" s="7" t="n">
        <v>4</v>
      </c>
      <c r="E23" s="7" t="inlineStr">
        <is>
          <t>{"metadati": {"intervallo_temporale": "42.0s - 46.0s", "durata_s": 4.0}, "descrizione_generale": "Tre operatori lavorano nei pressi di una pressa a iniezione industriale in un impianto di stampaggio plastica.", "contesto_industriale": "Area di produzione con macchinari pesanti e stoccaggio di prodotti plastici finiti.", "persone_presenti": [{"id": "operatore_1", "posizione": "Sinistra, in piedi", "abbigliamento": "T-shirt a righe, cappellino"}, {"id": "operatore_2", "posizione": "Centro, chino", "abbigliamento": "Maglia rosa"}, {"id": "operatore_3", "posizione": "Destra, in primo piano", "abbigliamento": "Maglia blu"}], "macchinari_e_oggetti": {"macchinari": "Pressa a iniezione per plastica (marca MIR) con pannello di controllo attivo.", "oggetti": "Attrezzo metallico su ripiano bianco, prodotti plastici impilati sullo sfondo."}, "azioni_osservate": "L'operatore a sinistra osserva mentre gli altri due sono chini ed effettuano interventi manuali nella parte inferiore o interna del macchinario.", "condizioni_ambientali": "Illuminazione artificiale interna sufficiente; spazio di manovra ristretto attorno alla macchina.", "limiti_visibilita": "La visuale sui dettagli dell'intervento dei due operatori chini è parzialmente ostruita dai loro stessi corpi e dalla struttura della macchina.", "dpi_rilevati": {"presenti": "Nessuno chiaramente visibile.", "assenti_raccomandati": "Mancanza di elmetti protettivi, occhiali di sicurezza e guanti da lavoro."}, "analisi_rischi_prudenziale": {"dinamica_in_corso": "Intervento manuale a macchina potenzialmente attiva (pannello acceso) senza barriere di sicurezza visibili.", "sviluppi_rischiosi": "Rischio di schiacciamento degli arti o intrappolamento in caso di avvio accidentale della pressa. Rischio di urti alla testa per gli operatori chini.", "fattori_contribuenti": "Mancato uso di DPI idonei e potenziale assenza di procedure di Lockout/Tagout (LOTO) visibili durante la regolazione."}}</t>
        </is>
      </c>
      <c r="F23" s="7" t="n">
        <v>90</v>
      </c>
      <c r="G23" s="7" t="inlineStr">
        <is>
          <t>Il punteggio di 90 è giustificato dall'elevata criticità dell'intervento manuale all'interno di una pressa a iniezione potenzialmente attiva (pannello acceso) senza evidenza di procedure di Lockout/Tagout (LOTO). La totale assenza di DPI visibili (elmetti, guanti, occhiali) e lo spazio di manovra ristretto espongono gli operatori a rischi severi di schiacciamento, intrappolamento e urti alla testa.</t>
        </is>
      </c>
      <c r="H23" s="7" t="n">
        <v>90.14</v>
      </c>
      <c r="I23" s="8" t="inlineStr">
        <is>
          <t>rosso</t>
        </is>
      </c>
      <c r="J23" s="7" t="inlineStr">
        <is>
          <t>{"scene_state": "Ambiente industriale interno, area di lavoro adiacente a un macchinario di stampaggio.", "environmental_conditions": ["Illuminazione interna artificiale", "Presenza di prodotti plastici impilati sullo sfondo"], "people": ["Uomo con maglietta a righe e cappellino nero, in piedi a sinistra.", "Uomo con maglietta rosa, chinato al centro.", "Uomo con maglietta blu, chinato a destra."], "objects": ["Tavolo di supporto bianco", "Chiave metallica sul tavolo", "Sedie e ceste in plastica impilate"], "machines": ["Pressa industriale per stampaggio a iniezione (marca MIR) con pannello di controllo digitale"], "observable_actions": ["L'uomo a sinistra osserva l'attività degli altri due.", "I due operatori chinati lavorano vicino alla base del macchinario o del tavolo."], "visible_ppe": ["Nessun dispositivo di protezione individuale visibile sui soggetti"], "notes_visibility_limitations": "La posizione chinata dei due operatori e l'inquadratura dall'alto limitano la visibilità dettagliata delle loro mani e delle operazioni precise che stanno compiendo."}</t>
        </is>
      </c>
      <c r="K23" s="7" t="inlineStr">
        <is>
          <t>{"unsafe_behaviors": ["Mancato utilizzo di DPI visibili durante l'intervento vicino alla pressa", "Postura incongrua prolungata dei due operatori chinati"], "vulnerable_elements": ["I due operatori chinati alla base del macchinario", "L'operatore in piedi privo di DPI nell'area di lavoro"], "risk_cues": {"S1_people_vehicle_interference": 0.0, "S2_visibility_attention_reduction": 0.5, "S3_non_compliant_behavior": 0.75, "S4_vehicle_infrastructure_interference": 0.0, "S5_storage_structural_instability": 0.25, "S6_access_to_moving_mechanical_parts": 0.5, "S7_manual_handling_heavy_unstable_loads": 0.25}, "cue_confidence": 0.8, "diagnostic_notes": "Assenza totale di DPI visibili in un'area con pressa industriale (S3). La postura chinata riduce l'attenzione e la visibilità degli operatori (S2). Possibile interazione con parti meccaniche della pressa MIR (S6), sebbene la visuale limitata non permetta di verificare l'effettivo movimento degli organi o la movimentazione di carichi pesanti (S7)."}</t>
        </is>
      </c>
      <c r="L23" s="7" t="inlineStr">
        <is>
          <t>{"causal_chain_plausible": true, "causal_chain_text": "La mancanza di DPI unita alla postura chinata e alla ridotta visibilità degli operatori vicino alla base della pressa MIR può causare un contatto accidentale con parti calde, taglienti o in movimento, o la caduta di utensili (come la chiave sul tavolo) sui lavoratori non protetti.", "near_miss_or_incident_scenario": "Un operatore subisce un trauma da schiacciamento o taglio alle mani o ai piedi, oppure una lesione oculare, a causa dell'assenza di DPI protettivi durante l'intervento vicino alla pressa.", "contributing_factors": ["Assenza totale di DPI visibili (guanti, occhiali, calzature di sicurezza)", "Postura incongrua e chinata che riduce il campo visivo e l'attenzione", "Prossimità operativa a una pressa industriale per stampaggio a iniezione", "Presenza di utensili metallici sul tavolo di supporto soggetti a caduta"]}</t>
        </is>
      </c>
      <c r="M23" s="7" t="n">
        <v>65</v>
      </c>
      <c r="N23" s="7" t="inlineStr">
        <is>
          <t>Il punteggio riflette un rischio significativo dovuto alla totale assenza di DPI visibili durante un intervento operativo in prossimità di una pressa industriale. Inoltre, le posture incongrue e la ridotta visibilità dei lavoratori aumentano la probabilità di infortuni o contatti accidentali con parti pericolose.</t>
        </is>
      </c>
      <c r="O23" s="7" t="n">
        <v>67.95999999999999</v>
      </c>
      <c r="P23" s="9" t="inlineStr">
        <is>
          <t>arancione</t>
        </is>
      </c>
      <c r="Q23" s="7" t="n">
        <v>41.3</v>
      </c>
      <c r="R23" s="7" t="n">
        <v>41.55</v>
      </c>
      <c r="S23" s="10" t="inlineStr">
        <is>
          <t>giallo</t>
        </is>
      </c>
      <c r="T23" s="7" t="n">
        <v>0.8</v>
      </c>
      <c r="U23" s="7" t="inlineStr">
        <is>
          <t>Assenza totale di DPI visibili in un'area con pressa industriale (S3). La postura chinata riduce l'attenzione e la visibilità degli operatori (S2). Possibile interazione con parti meccaniche della pressa MIR (S6), sebbene la visuale limitata non permetta di verificare l'effettivo movimento degli organi o la movimentazione di carichi pesanti (S7).</t>
        </is>
      </c>
      <c r="V23" s="7" t="n">
        <v>0</v>
      </c>
      <c r="W23" s="7" t="n">
        <v>0</v>
      </c>
      <c r="X23" s="7" t="n">
        <v>0.1109</v>
      </c>
      <c r="Y23" s="7" t="n">
        <v>0</v>
      </c>
      <c r="Z23" s="7" t="n">
        <v>0</v>
      </c>
      <c r="AA23" s="7" t="n">
        <v>0.5</v>
      </c>
      <c r="AB23" s="7" t="n">
        <v>0.8176</v>
      </c>
      <c r="AC23" s="7" t="n">
        <v>0.037</v>
      </c>
      <c r="AD23" s="7" t="n">
        <v>3.0251</v>
      </c>
      <c r="AE23" s="7" t="n">
        <v>7.32</v>
      </c>
      <c r="AF23" s="7" t="n">
        <v>0.75</v>
      </c>
      <c r="AG23" s="7" t="n">
        <v>0.982</v>
      </c>
      <c r="AH23" s="7" t="n">
        <v>0.0549</v>
      </c>
      <c r="AI23" s="7" t="n">
        <v>5.3912</v>
      </c>
      <c r="AJ23" s="7" t="n">
        <v>13.05</v>
      </c>
      <c r="AK23" s="7" t="n">
        <v>0</v>
      </c>
      <c r="AL23" s="7" t="n">
        <v>0.008200000000000001</v>
      </c>
      <c r="AM23" s="7" t="n">
        <v>0.1538</v>
      </c>
      <c r="AN23" s="7" t="n">
        <v>0.1261</v>
      </c>
      <c r="AO23" s="7" t="n">
        <v>0.31</v>
      </c>
      <c r="AP23" s="7" t="n">
        <v>0.25</v>
      </c>
      <c r="AQ23" s="7" t="n">
        <v>0.0359</v>
      </c>
      <c r="AR23" s="7" t="n">
        <v>0.2228</v>
      </c>
      <c r="AS23" s="7" t="n">
        <v>0.7999000000000001</v>
      </c>
      <c r="AT23" s="7" t="n">
        <v>1.94</v>
      </c>
      <c r="AU23" s="7" t="n">
        <v>0.5</v>
      </c>
      <c r="AV23" s="7" t="n">
        <v>0.9167999999999999</v>
      </c>
      <c r="AW23" s="7" t="n">
        <v>0.3447</v>
      </c>
      <c r="AX23" s="7" t="n">
        <v>31.6021</v>
      </c>
      <c r="AY23" s="7" t="n">
        <v>76.52</v>
      </c>
      <c r="AZ23" s="7" t="n">
        <v>0.25</v>
      </c>
      <c r="BA23" s="7" t="n">
        <v>0.0474</v>
      </c>
      <c r="BB23" s="7" t="n">
        <v>0.0759</v>
      </c>
      <c r="BC23" s="7" t="n">
        <v>0.3598</v>
      </c>
      <c r="BD23" s="7" t="n">
        <v>0.87</v>
      </c>
    </row>
    <row r="24" ht="34" customHeight="1">
      <c r="A24" s="7" t="n">
        <v>22</v>
      </c>
      <c r="B24" s="7" t="n">
        <v>44</v>
      </c>
      <c r="C24" s="7" t="n">
        <v>48</v>
      </c>
      <c r="D24" s="7" t="n">
        <v>4</v>
      </c>
      <c r="E24" s="7" t="inlineStr">
        <is>
          <t>{"descrizione_generale": "La scena si svolge all'interno di un ambiente industriale, presumibilmente un impianto di stampaggio di materie plastiche, caratterizzato dalla presenza di macchinari pesanti e prodotti finiti.", "contesto_industriale": "Stabilimento di produzione manifatturiera con una pressa ad iniezione per plastica di grandi dimensioni e pile di sedie in plastica colorata stoccate sullo sfondo.", "persone_presenti": [{"id": 1, "posizione": "Sinistra della scena", "abbigliamento": "T-shirt a righe orizzontali con scritta 'VINTAGE CAMPING', cappellino nero visiera all'indietro.", "dpi_rilevati": "Nessun DPI visibile (assenza di elmetto, occhiali di protezione o protezioni acustiche)."}, {"id": 2, "posizione": "In basso al centro/destra", "dettagli": "Uomo parzialmente visibile, chinato vicino alla parte inferiore del macchinario.", "dpi_rilevati": "Nessun DPI visibile."}], "macchinari_e_oggetti": {"macchinari": "Pressa ad iniezione per plastica marca 'MIR' dotata di pannello di controllo elettronico attivo sulla destra.", "oggetti": "Un piccolo carrello di servizio bianco posizionato davanti all'operatore di sinistra, sul quale è appoggiato un utensile metallico (chiave di manovra). Pile di sedie in plastica (rosse, verdi, blu) sullo sfondo."}, "azioni_osservabili": "L'operatore a sinistra osserva l'altro lavoratore che si trova in posizione chinata, intento a effettuare un'operazione non chiaramente visibile nella parte inferiore o interna del macchinario.", "condizioni_ambientali": "Illuminazione artificiale interna apparentemente adeguata. Spazio di lavoro che presenta elementi di ingombro sullo sfondo (sedie impilate).", "limiti_visibilita": "L'operatore chinato è fortemente occluso dal bordo inferiore dell'inquadratura e dalla struttura stessa della macchina, limitando la comprensione esatta della sua attività.", "analisi_rischi_prudenziale": {"dinamiche_in_corso": "Intervento manuale o ispezione in prossimità di un macchinario industriale potenzialmente attivo o in fase di manutenzione.", "fattori_contribuenti": "Mancato utilizzo di dispositivi di protezione individuale (DPI) di base come occhiali di sicurezza e casco protettivo in un'area di produzione attiva.", "sviluppi_rischiosi_plausibili": "Rischio di lesioni oculari o facciali dovute a proiezioni accidentali di materiale o fluidi durante l'ispezione della pressa; rischio di urti alla testa per l'operatore chinato in caso di movimenti repentini vicino alle parti metalliche della macchina."}}</t>
        </is>
      </c>
      <c r="F24" s="7" t="n">
        <v>80</v>
      </c>
      <c r="G24" s="7" t="inlineStr">
        <is>
          <t>Il punteggio di 80 è giustificato dalla presenza di un operatore chinato intento a effettuare un intervento manuale o ispezione su un macchinario industriale pesante (pressa ad iniezione) potenzialmente attivo, in totale assenza di Dispositivi di Protezione Individuale (DPI) come elmetto e occhiali di sicurezza. Questa condizione espone i lavoratori a rischi concreti di lesioni oculari per proiezione di materiali e traumi cranici da urto contro le parti metalliche della macchina.</t>
        </is>
      </c>
      <c r="H24" s="7" t="n">
        <v>84.06</v>
      </c>
      <c r="I24" s="8" t="inlineStr">
        <is>
          <t>rosso</t>
        </is>
      </c>
      <c r="J24" s="7" t="inlineStr">
        <is>
          <t>{"scene_state": "Interno di un'officina industriale con macchinari per lo stampaggio a iniezione.", "environmental_conditions": ["Illuminazione artificiale costante", "Ambiente al chiuso"], "people": ["Un uomo giovane con maglietta a righe e cappellino nero girato all'indietro sulla sinistra", "Un uomo con capelli grigi parzialmente visibile in basso a destra"], "objects": ["Sedie di plastica colorate impilate sullo sfondo", "Un piccolo banco di supporto bianco", "Un attrezzo metallico appoggiato sul banco bianco", "Bobina o cilindro nero a sinistra"], "machines": ["Grande pressa a iniezione industriale arancione e grigia con pannello di controllo digitale"], "observable_actions": ["L'uomo a sinistra è in piedi vicino al macchinario e guarda verso destra", "L'uomo in basso a destra osserva la scena"], "visible_ppe": ["Nessun DPI visibile"], "notes_visibility_limitations": "L'operatore sulla destra è visibile solo parzialmente a causa del taglio dell'inquadratura."}</t>
        </is>
      </c>
      <c r="K24" s="7" t="inlineStr">
        <is>
          <t>{"unsafe_behaviors": ["Mancato utilizzo dei DPI (Dispositivi di Protezione Individuale) in prossimità di macchinari industriali attivi"], "vulnerable_elements": ["Operatore a sinistra vicino alla pressa", "Operatore parzialmente visibile in basso a destra"], "risk_cues": {"S1_people_vehicle_interference": 0.0, "S2_visibility_attention_reduction": 0.25, "S3_non_compliant_behavior": 0.75, "S4_vehicle_infrastructure_interference": 0.0, "S5_storage_structural_instability": 0.0, "S6_access_to_moving_mechanical_parts": 0.0, "S7_manual_handling_heavy_unstable_loads": 0.0}, "cue_confidence": 0.85, "diagnostic_notes": "La principale non-conformità rilevata riguarda l'assenza di DPI visibili (come occhiali protettivi o protezione acustica) per il personale presente vicino alla pressa a iniezione. L'operatore a destra è visibile solo parzialmente, limitando la valutazione completa del suo stato. Non sono presenti mezzi di movimentazione o carichi sospesi nella scena."}</t>
        </is>
      </c>
      <c r="L24" s="7" t="inlineStr">
        <is>
          <t>{"causal_chain_plausible": true, "causal_chain_text": "La presenza di operatori a ridosso di una pressa a iniezione attiva senza DPI espone i soggetti a rischi fisici diretti. In caso di malfunzionamento del macchinario, anomalie di pressione o espulsione incontrollata di materiale plastico fuso, l'assenza di protezione oculare e facciale determina un impatto diretto di detriti o sostanze ad alta temperatura sul corpo dei lavoratori.", "near_miss_or_incident_scenario": "Proiezione di micro-frammenti di plastica surriscaldata o bave metalliche dalla pressa in funzione, che colpiscono il viso o gli occhi dell'operatore sprovvisto di occhiali protettivi, causando ustioni o lesioni oculari.", "contributing_factors": ["Mancato utilizzo dei DPI (occhiali di sicurezza, protezione acustica)", "Presenza degli operatori nell'area di influenza diretta del macchinario attivo", "Assenza di barriere fisiche o schermi di protezione tra l'area di stampaggio e gli operatori"]}</t>
        </is>
      </c>
      <c r="M24" s="7" t="n">
        <v>65</v>
      </c>
      <c r="N24" s="7" t="inlineStr">
        <is>
          <t>Il punteggio riflette un rischio significativo dovuto alla presenza di operatori a ridosso di una pressa a iniezione attiva senza alcun DPI visibile, in particolare occhiali protettivi. Questa non-conformità espone i lavoratori a gravi lesioni oculari o ustioni in caso di proiezione accidentale di materiale plastico fuso o detriti.</t>
        </is>
      </c>
      <c r="O24" s="7" t="n">
        <v>66.18000000000001</v>
      </c>
      <c r="P24" s="9" t="inlineStr">
        <is>
          <t>arancione</t>
        </is>
      </c>
      <c r="Q24" s="7" t="n">
        <v>8.49</v>
      </c>
      <c r="R24" s="7" t="n">
        <v>21.71</v>
      </c>
      <c r="S24" s="11" t="inlineStr">
        <is>
          <t>verde</t>
        </is>
      </c>
      <c r="T24" s="7" t="n">
        <v>0.85</v>
      </c>
      <c r="U24" s="7" t="inlineStr">
        <is>
          <t>La principale non-conformità rilevata riguarda l'assenza di DPI visibili (come occhiali protettivi o protezione acustica) per il personale presente vicino alla pressa a iniezione. L'operatore a destra è visibile solo parzialmente, limitando la valutazione completa del suo stato. Non sono presenti mezzi di movimentazione o carichi sospesi nella scena.</t>
        </is>
      </c>
      <c r="V24" s="7" t="n">
        <v>0</v>
      </c>
      <c r="W24" s="7" t="n">
        <v>0</v>
      </c>
      <c r="X24" s="7" t="n">
        <v>0.1109</v>
      </c>
      <c r="Y24" s="7" t="n">
        <v>0</v>
      </c>
      <c r="Z24" s="7" t="n">
        <v>0</v>
      </c>
      <c r="AA24" s="7" t="n">
        <v>0.25</v>
      </c>
      <c r="AB24" s="7" t="n">
        <v>0.5553</v>
      </c>
      <c r="AC24" s="7" t="n">
        <v>0.037</v>
      </c>
      <c r="AD24" s="7" t="n">
        <v>2.0546</v>
      </c>
      <c r="AE24" s="7" t="n">
        <v>24.2</v>
      </c>
      <c r="AF24" s="7" t="n">
        <v>0.75</v>
      </c>
      <c r="AG24" s="7" t="n">
        <v>0.982</v>
      </c>
      <c r="AH24" s="7" t="n">
        <v>0.0549</v>
      </c>
      <c r="AI24" s="7" t="n">
        <v>5.3912</v>
      </c>
      <c r="AJ24" s="7" t="n">
        <v>63.5</v>
      </c>
      <c r="AK24" s="7" t="n">
        <v>0</v>
      </c>
      <c r="AL24" s="7" t="n">
        <v>0.008200000000000001</v>
      </c>
      <c r="AM24" s="7" t="n">
        <v>0.1538</v>
      </c>
      <c r="AN24" s="7" t="n">
        <v>0.1261</v>
      </c>
      <c r="AO24" s="7" t="n">
        <v>1.49</v>
      </c>
      <c r="AP24" s="7" t="n">
        <v>0</v>
      </c>
      <c r="AQ24" s="7" t="n">
        <v>0</v>
      </c>
      <c r="AR24" s="7" t="n">
        <v>0.2228</v>
      </c>
      <c r="AS24" s="7" t="n">
        <v>0</v>
      </c>
      <c r="AT24" s="7" t="n">
        <v>0</v>
      </c>
      <c r="AU24" s="7" t="n">
        <v>0</v>
      </c>
      <c r="AV24" s="7" t="n">
        <v>0.0266</v>
      </c>
      <c r="AW24" s="7" t="n">
        <v>0.3447</v>
      </c>
      <c r="AX24" s="7" t="n">
        <v>0.9169</v>
      </c>
      <c r="AY24" s="7" t="n">
        <v>10.8</v>
      </c>
      <c r="AZ24" s="7" t="n">
        <v>0</v>
      </c>
      <c r="BA24" s="7" t="n">
        <v>0</v>
      </c>
      <c r="BB24" s="7" t="n">
        <v>0.0759</v>
      </c>
      <c r="BC24" s="7" t="n">
        <v>0</v>
      </c>
      <c r="BD24" s="7" t="n">
        <v>0</v>
      </c>
    </row>
    <row r="25" ht="34" customHeight="1">
      <c r="A25" s="7" t="n">
        <v>23</v>
      </c>
      <c r="B25" s="7" t="n">
        <v>46</v>
      </c>
      <c r="C25" s="7" t="n">
        <v>50</v>
      </c>
      <c r="D25" s="7" t="n">
        <v>4</v>
      </c>
      <c r="E25" s="7" t="inlineStr">
        <is>
          <t>{"scena_e_contesto": {"descrizione_generale": "Area di produzione industriale, presumibilmente stampaggio di materie plastiche, caratterizzata dalla presenza di un grande macchinario industriale e pile di prodotti finiti (sedie in plastica) sullo sfondo.", "contesto": "Fabbrica / impianto di stampaggio a iniezione."}, "personale_presente": [{"id": "Operatore 1", "descrizione": "Uomo giovane con maglietta a righe e cappellino nero al contrario.", "ruolo_apparente": "Operatore o manutentore che interagisce con il macchinario o spiega una procedura."}, {"id": "Operatore 2", "descrizione": "Uomo di mezza età con capelli grigi, visibile parzialmente sul lato destro inferiore.", "ruolo_apparente": "Interlocutore, possibile supervisore o collega."}, {"id": "Persona 3", "descrizione": "Testa di una terza persona che appare brevemente dal basso al secondo 00:03.", "ruolo_apparente": "Non determinabile."}], "macchinari_e_oggetti": {"macchinario_principale": "Pressa per stampaggio a iniezione marca 'MIR' con pannello di controllo digitale attivo e barriere di protezione arancioni.", "oggetti_background": "Pile di sedie di plastica colorate (verdi, rosse, blu), sacchi bianchi di materia prima, un tavolino bianco con documenti/strumenti davanti alla macchina."}, "azioni_osservabili": {"descrizione": "L'Operatore 1 parla con l'Operatore 2 e, al secondo 00:02, indica con il braccio sinistro l'area interna o di chiusura della pressa, illustrando una dinamica o un problema legato al macchinario."}, "condizioni_ambientali_e_visibilita": {"illuminazione": "Buona, tipica di un ambiente industriale interno.", "limiti_visibilita": "Inquadratura fissa da telecamera di sicurezza. La parte inferiore dei corpi e l'area retrostante il pannello sono parzialmente occluse."}, "analisi_sicurezza": {"dpi_rilevati": "Nessun Dispositivo di Protezione Individuale (DPI) visibile. Entrambi i soggetti non indossano occhiali di protezione, elmetti, protezioni acustiche o abbigliamento ad alta visibilità.", "fattori_di_rischio_osservati": "Interazione ravvicinata con un macchinario pesante potenzialmente attivo senza DPI adeguati.", "sviluppi_rischiosi_plausibili": "Rischio di schiacciamento o ustione in caso di malfunzionamento delle barriere o avvio accidentale durante l'ispezione visiva ravvicinata; rischio di lesioni oculari per assenza di occhiali protettivi in prossimità della pressa."}}</t>
        </is>
      </c>
      <c r="F25" s="7" t="n">
        <v>70</v>
      </c>
      <c r="G25" s="7" t="inlineStr">
        <is>
          <t>Il punteggio di 70 riflette una situazione di rischio medio-alto. Gli operatori interagiscono a distanza ravvicinata con una pressa per stampaggio a iniezione attiva (pannello di controllo acceso) e indicano l'area di chiusura senza indossare alcun Dispositivo di Protezione Individuale (DPI) essenziale, come occhiali protettivi, elmetti o abbigliamento da lavoro idoneo. L'assenza di DPI in prossimità di parti in movimento e ad alta temperatura configura una chiara violazione delle norme di sicurezza e un potenziale pericolo di infortunio (schiacciamento, ustioni o lesioni oculari).</t>
        </is>
      </c>
      <c r="H25" s="7" t="n">
        <v>75.62</v>
      </c>
      <c r="I25" s="8" t="inlineStr">
        <is>
          <t>rosso</t>
        </is>
      </c>
      <c r="J25" s="7" t="inlineStr">
        <is>
          <t>{"scene_state": "Ambiente industriale di stampaggio plastico.", "environmental_conditions": ["Illuminazione artificiale interna", "Ambiente di fabbrica"], "people": ["Un giovane uomo con maglietta a righe e cappellino nero", "Un uomo anziano con capelli grigi", "Una terza persona parzialmente visibile in basso alla fine della clip"], "objects": ["Sedie di plastica impilate sullo sfondo", "Sacchi di materiale", "Rotoli neri", "Tavolino bianco con documenti"], "machines": ["Pressa a iniezione per plastica (marca MIR) con pannello di controllo"], "observable_actions": ["Il giovane uomo parla e indica la macchina all'operatore anziano"], "visible_ppe": ["Nessun DPI visibile"], "notes_visibility_limitations": "Inquadratura fissa dall'alto; l'operatore anziano è parzialmente coperto dal pannello di controllo."}</t>
        </is>
      </c>
      <c r="K25" s="7" t="inlineStr">
        <is>
          <t>{"unsafe_behaviors": ["Mancato utilizzo di DPI visibili in un'area di stampaggio plastico", "Potenziale distrazione dell'operatore dovuta all'interazione verbale e gestuale in prossimità della macchina"], "vulnerable_elements": ["Operatore anziano", "Giovane uomo"], "risk_cues": {"S1_people_vehicle_interference": 0.0, "S2_visibility_attention_reduction": 0.25, "S3_non_compliant_behavior": 0.5, "S4_vehicle_infrastructure_interference": 0.0, "S5_storage_structural_instability": 0.0, "S6_access_to_moving_mechanical_parts": 0.25, "S7_manual_handling_heavy_unstable_loads": 0.0}, "cue_confidence": 0.8, "diagnostic_notes": "I soggetti interagiscono vicino a una pressa a iniezione MIR senza DPI visibili. L'ostruzione parziale causata dal pannello di controllo limita la visibilità dettagliata delle mani dell'operatore e della zona di stampaggio, rendendo prudenziale la valutazione dei rischi legati agli organi in movimento."}</t>
        </is>
      </c>
      <c r="L25" s="7" t="inlineStr">
        <is>
          <t>{"causal_chain_plausible": true, "causal_chain_text": "L'interazione verbale e la gestualità del giovane uomo distraggono l'operatore anziano intento a lavorare presso la pressa a iniezione. La distrazione, unita alla mancanza di DPI e alla vicinanza agli organi in movimento della macchina, può portare a un contatto accidentale con parti calde o in movimento.", "near_miss_or_incident_scenario": "L'operatore si distrae per guardare il punto indicato dal collega e avvicina involontariamente la mano alla zona di stampaggio della pressa MIR durante il ciclo operativo, rischiando lo schiacciamento o un'ustione.", "contributing_factors": ["Mancato utilizzo di DPI idonei nell'area di stampaggio", "Distrazione dell'operatore dovuta all'interazione ravvicinata", "Prossimità fisica a una macchina industriale con parti in movimento senza adeguate distanze di sicurezza"]}</t>
        </is>
      </c>
      <c r="M25" s="7" t="n">
        <v>45</v>
      </c>
      <c r="N25" s="7" t="inlineStr">
        <is>
          <t>Il punteggio riflette un rischio moderato dovuto alla totale assenza di DPI visibili in un'area di stampaggio e alla potenziale distrazione dell'operatore vicino alla pressa MIR. La vicinanza a parti meccaniche in movimento aumenta la probabilità di infortuni in caso di contatto accidentale.</t>
        </is>
      </c>
      <c r="O25" s="7" t="n">
        <v>53.47</v>
      </c>
      <c r="P25" s="9" t="inlineStr">
        <is>
          <t>arancione</t>
        </is>
      </c>
      <c r="Q25" s="7" t="n">
        <v>18.88</v>
      </c>
      <c r="R25" s="7" t="n">
        <v>22.61</v>
      </c>
      <c r="S25" s="11" t="inlineStr">
        <is>
          <t>verde</t>
        </is>
      </c>
      <c r="T25" s="7" t="n">
        <v>0.8</v>
      </c>
      <c r="U25" s="7" t="inlineStr">
        <is>
          <t>I soggetti interagiscono vicino a una pressa a iniezione MIR senza DPI visibili. L'ostruzione parziale causata dal pannello di controllo limita la visibilità dettagliata delle mani dell'operatore e della zona di stampaggio, rendendo prudenziale la valutazione dei rischi legati agli organi in movimento.</t>
        </is>
      </c>
      <c r="V25" s="7" t="n">
        <v>0</v>
      </c>
      <c r="W25" s="7" t="n">
        <v>0</v>
      </c>
      <c r="X25" s="7" t="n">
        <v>0.1109</v>
      </c>
      <c r="Y25" s="7" t="n">
        <v>0</v>
      </c>
      <c r="Z25" s="7" t="n">
        <v>0</v>
      </c>
      <c r="AA25" s="7" t="n">
        <v>0.25</v>
      </c>
      <c r="AB25" s="7" t="n">
        <v>0.5553</v>
      </c>
      <c r="AC25" s="7" t="n">
        <v>0.037</v>
      </c>
      <c r="AD25" s="7" t="n">
        <v>2.0546</v>
      </c>
      <c r="AE25" s="7" t="n">
        <v>10.88</v>
      </c>
      <c r="AF25" s="7" t="n">
        <v>0.5</v>
      </c>
      <c r="AG25" s="7" t="n">
        <v>0.8176</v>
      </c>
      <c r="AH25" s="7" t="n">
        <v>0.0549</v>
      </c>
      <c r="AI25" s="7" t="n">
        <v>4.4886</v>
      </c>
      <c r="AJ25" s="7" t="n">
        <v>23.77</v>
      </c>
      <c r="AK25" s="7" t="n">
        <v>0</v>
      </c>
      <c r="AL25" s="7" t="n">
        <v>0.008200000000000001</v>
      </c>
      <c r="AM25" s="7" t="n">
        <v>0.1538</v>
      </c>
      <c r="AN25" s="7" t="n">
        <v>0.1261</v>
      </c>
      <c r="AO25" s="7" t="n">
        <v>0.67</v>
      </c>
      <c r="AP25" s="7" t="n">
        <v>0</v>
      </c>
      <c r="AQ25" s="7" t="n">
        <v>0</v>
      </c>
      <c r="AR25" s="7" t="n">
        <v>0.2228</v>
      </c>
      <c r="AS25" s="7" t="n">
        <v>0</v>
      </c>
      <c r="AT25" s="7" t="n">
        <v>0</v>
      </c>
      <c r="AU25" s="7" t="n">
        <v>0.25</v>
      </c>
      <c r="AV25" s="7" t="n">
        <v>0.3543</v>
      </c>
      <c r="AW25" s="7" t="n">
        <v>0.3447</v>
      </c>
      <c r="AX25" s="7" t="n">
        <v>12.2127</v>
      </c>
      <c r="AY25" s="7" t="n">
        <v>64.69</v>
      </c>
      <c r="AZ25" s="7" t="n">
        <v>0</v>
      </c>
      <c r="BA25" s="7" t="n">
        <v>0</v>
      </c>
      <c r="BB25" s="7" t="n">
        <v>0.0759</v>
      </c>
      <c r="BC25" s="7" t="n">
        <v>0</v>
      </c>
      <c r="BD25" s="7" t="n">
        <v>0</v>
      </c>
    </row>
    <row r="26" ht="34" customHeight="1">
      <c r="A26" s="7" t="n">
        <v>24</v>
      </c>
      <c r="B26" s="7" t="n">
        <v>48</v>
      </c>
      <c r="C26" s="7" t="n">
        <v>52</v>
      </c>
      <c r="D26" s="7" t="n">
        <v>4</v>
      </c>
      <c r="E26" s="7" t="inlineStr">
        <is>
          <t>{"metadati": {"intervallo_temporale": "48.0 - 52.0 secondi", "durata": "4.0 secondi"}, "descrizione_generale": "Tre operatori si trovano nei pressi di una pressa ad iniezione per materie plastiche. Uno di essi si sporge pericolosamente all'interno della zona di stampaggio.", "contesto_industriale": "Stabilimento di produzione e stampaggio di materie plastiche, come suggerito dalle pile di manufatti plastici visibili sullo sfondo.", "personale_presente": [{"operatore": "Operatore 1", "abbigliamento": "T-shirt a righe, cappellino nero, guanti blu", "azione": "Inizialmente indica la macchina, poi assiste fisicamente l'operatore 2 tenendolo per un braccio o per la schiena."}, {"operatore": "Operatore 2", "abbigliamento": "T-shirt rosa, cappellino nero", "azione": "Si introduce con la parte superiore del corpo e le braccia direttamente all'interno della zona di chiusura dello stampo."}, {"operatore": "Operatore 3", "abbigliamento": "Giacca blu e bianca", "azione": "Osserva l'operazione a distanza ravvicinata, posizionato vicino al pannello di controllo della macchina."}], "macchinari_e_oggetti": {"macchinario_principale": "Pressa ad iniezione industriale con telaio arancione e stampo aperto", "interfaccia": "Pannello di controllo elettronico con schermo e tastiera sul lato destro", "oggetti_sfondo": "Sacchi bianchi di materia prima, pile di sedie e contenitori in plastica"}, "condizioni_ambientali": "Illuminazione interna di tipo industriale, spazi di passaggio parzialmente ristretti a causa dello stoccaggio di materiali.", "limiti_osservativi": "La telecamera fissa non permette di verificare se la macchina sia stata effettivamente spenta o messa in sicurezza (LOTO) prima dell'intervento manuale.", "analisi_sicurezza": {"comportamenti_a_rischio": "Accesso corporeo diretto all'interno della zona di pericolo (stampo) senza barriere di sicurezza attive o procedure visibili di blocco energetico.", "dpi_rilevati": "Presenza di guanti protettivi blu solo sull'operatore 1. Mancanza di elmetti, occhiali di protezione o protezione per le braccia per l'operatore 2 che esegue l'intervento.", "fattori_contribuenti": "Interazione fisica e vicinanza eccessiva tra i tre operatori in una zona ristretta, che aumenta il rischio di distrazione o azionamento accidentale dei comandi.", "sviluppi_rischiosi_plausibili": "Grave rischio di schiacciamento o cesoiamento degli arti superiori e del busto in caso di avviamento imprevisto del ciclo di stampaggio; rischio di ustioni da contatto con superfici calde."}}</t>
        </is>
      </c>
      <c r="F26" s="7" t="n">
        <v>95</v>
      </c>
      <c r="G26" s="7" t="inlineStr">
        <is>
          <t>Il punteggio di 95 riflette una situazione di imminente e gravissimo pericolo per l'incolumità dell'operatore. L'inserimento del busto e degli arti superiori direttamente nella zona di chiusura dello stampo di una pressa ad iniezione, in assenza di barriere di sicurezza attive o di una procedura di isolamento energetico (LOTO) verificata, espone il lavoratore a un rischio critico di schiacciamento, cesoiamento fatale o gravi ustioni. La presenza di un altro operatore vicino al pannello di controllo aumenta ulteriormente il rischio di un azionamento accidentale della macchina durante l'intervento manuale.</t>
        </is>
      </c>
      <c r="H26" s="7" t="n">
        <v>93.5</v>
      </c>
      <c r="I26" s="8" t="inlineStr">
        <is>
          <t>rosso</t>
        </is>
      </c>
      <c r="J26" s="7" t="inlineStr">
        <is>
          <t>{"scene_state": "Ambiente industriale interno, reparto di produzione o stampaggio plastica.", "environmental_conditions": ["Illuminazione interna costante", "Presenza di materiali e prodotti finiti sullo sfondo"], "people": ["Uomo con maglietta a righe orizzontali e cappellino nero", "Uomo con maglietta rosa e cappellino", "Uomo di profilo con giacca blu e strisce bianche"], "objects": ["Sedie in plastica colorate impilate", "Sacchi bianchi di materiale", "Pannello di controllo con display e pulsantiera"], "machines": ["Macchinario industriale per stampaggio a iniezione con struttura arancione"], "observable_actions": ["L'uomo con la maglietta a righe indica una parte del macchinario e parla con l'operatore in blu", "Un uomo con la maglietta rosa si interpone tra i due soggetti", "Gli operatori si muovono e interagiscono nei pressi del pannello di controllo"], "visible_ppe": ["Guanti da lavoro blu indossati dall'uomo con la maglietta rosa"], "notes_visibility_limitations": "I movimenti degli operatori ostruiscono parzialmente la visuale dettagliata del pannello di controllo e della zona operativa del macchinario."}</t>
        </is>
      </c>
      <c r="K26" s="7" t="inlineStr">
        <is>
          <t>{"unsafe_behaviors": ["Interazione ravvicinata con l'area operativa del macchinario senza DPI visibili completi", "Potenziale distrazione dovuta all'interazione di gruppo vicino al pannello di controllo"], "vulnerable_elements": ["Operatori nell'area di stampaggio"], "risk_cues": {"S1_people_vehicle_interference": 0.0, "S2_visibility_attention_reduction": 0.25, "S3_non_compliant_behavior": 0.25, "S4_vehicle_infrastructure_interference": 0.0, "S5_storage_structural_instability": 0.0, "S6_access_to_moving_mechanical_parts": 0.25, "S7_manual_handling_heavy_unstable_loads": 0.0}, "cue_confidence": 0.75, "diagnostic_notes": "Gli operatori lavorano vicino a una pressa a iniezione. Sebbene non si osservino violazioni gravi, l'interazione di gruppo e la parziale ostruzione visiva vicino alla zona operativa suggeriscono cautela riguardo a possibili distrazioni o accesso ad aree calde/in movimento."}</t>
        </is>
      </c>
      <c r="L26" s="7" t="inlineStr">
        <is>
          <t>{"causal_chain_plausible": true, "causal_chain_text": "L'interazione di gruppo e i movimenti ravvicinati attorno al pannello di controllo possono distrarre gli operatori. Questa distrazione, combinata con la parziale ostruzione della visuale e l'assenza di DPI completi, aumenta il rischio di contatto accidentale con le parti calde o in movimento della pressa a iniezione.", "near_miss_or_incident_scenario": "Un operatore, distratto dalla conversazione o ostacolato nei movimenti dalla presenza degli altri soggetti, attiva inavvertitamente un comando o avvicina la mano alla zona di stampaggio senza adeguata protezione, rischiando uno schiacciamento o un'ustione.", "contributing_factors": ["Interazione e potenziale distrazione di gruppo in prossimità del pannello di controllo", "Mancanza di DPI visibili completi per tutti i soggetti nell'area operativa", "Ostruzione parziale della visuale della zona di lavoro dovuta alla presenza fisica dei soggetti"]}</t>
        </is>
      </c>
      <c r="M26" s="7" t="n">
        <v>35</v>
      </c>
      <c r="N26" s="7" t="inlineStr">
        <is>
          <t>Il punteggio riflette un rischio moderato dovuto alla potenziale distrazione del gruppo di operatori in prossimità del pannello di controllo della pressa a iniezione. Inoltre, la mancanza di DPI completi visibili per tutti i soggetti aumenta la vulnerabilità in caso di contatto accidentale con parti calde o in movimento.</t>
        </is>
      </c>
      <c r="O26" s="7" t="n">
        <v>42.39</v>
      </c>
      <c r="P26" s="10" t="inlineStr">
        <is>
          <t>giallo</t>
        </is>
      </c>
      <c r="Q26" s="7" t="n">
        <v>15.87</v>
      </c>
      <c r="R26" s="7" t="n">
        <v>18.57</v>
      </c>
      <c r="S26" s="11" t="inlineStr">
        <is>
          <t>verde</t>
        </is>
      </c>
      <c r="T26" s="7" t="n">
        <v>0.75</v>
      </c>
      <c r="U26" s="7" t="inlineStr">
        <is>
          <t>Gli operatori lavorano vicino a una pressa a iniezione. Sebbene non si osservino violazioni gravi, l'interazione di gruppo e la parziale ostruzione visiva vicino alla zona operativa suggeriscono cautela riguardo a possibili distrazioni o accesso ad aree calde/in movimento.</t>
        </is>
      </c>
      <c r="V26" s="7" t="n">
        <v>0</v>
      </c>
      <c r="W26" s="7" t="n">
        <v>0</v>
      </c>
      <c r="X26" s="7" t="n">
        <v>0.1109</v>
      </c>
      <c r="Y26" s="7" t="n">
        <v>0</v>
      </c>
      <c r="Z26" s="7" t="n">
        <v>0</v>
      </c>
      <c r="AA26" s="7" t="n">
        <v>0.25</v>
      </c>
      <c r="AB26" s="7" t="n">
        <v>0.5553</v>
      </c>
      <c r="AC26" s="7" t="n">
        <v>0.037</v>
      </c>
      <c r="AD26" s="7" t="n">
        <v>2.0546</v>
      </c>
      <c r="AE26" s="7" t="n">
        <v>12.95</v>
      </c>
      <c r="AF26" s="7" t="n">
        <v>0.25</v>
      </c>
      <c r="AG26" s="7" t="n">
        <v>0.2689</v>
      </c>
      <c r="AH26" s="7" t="n">
        <v>0.0549</v>
      </c>
      <c r="AI26" s="7" t="n">
        <v>1.4763</v>
      </c>
      <c r="AJ26" s="7" t="n">
        <v>9.300000000000001</v>
      </c>
      <c r="AK26" s="7" t="n">
        <v>0</v>
      </c>
      <c r="AL26" s="7" t="n">
        <v>0.008200000000000001</v>
      </c>
      <c r="AM26" s="7" t="n">
        <v>0.1538</v>
      </c>
      <c r="AN26" s="7" t="n">
        <v>0.1261</v>
      </c>
      <c r="AO26" s="7" t="n">
        <v>0.79</v>
      </c>
      <c r="AP26" s="7" t="n">
        <v>0</v>
      </c>
      <c r="AQ26" s="7" t="n">
        <v>0</v>
      </c>
      <c r="AR26" s="7" t="n">
        <v>0.2228</v>
      </c>
      <c r="AS26" s="7" t="n">
        <v>0</v>
      </c>
      <c r="AT26" s="7" t="n">
        <v>0</v>
      </c>
      <c r="AU26" s="7" t="n">
        <v>0.25</v>
      </c>
      <c r="AV26" s="7" t="n">
        <v>0.3543</v>
      </c>
      <c r="AW26" s="7" t="n">
        <v>0.3447</v>
      </c>
      <c r="AX26" s="7" t="n">
        <v>12.2127</v>
      </c>
      <c r="AY26" s="7" t="n">
        <v>76.95</v>
      </c>
      <c r="AZ26" s="7" t="n">
        <v>0</v>
      </c>
      <c r="BA26" s="7" t="n">
        <v>0</v>
      </c>
      <c r="BB26" s="7" t="n">
        <v>0.0759</v>
      </c>
      <c r="BC26" s="7" t="n">
        <v>0</v>
      </c>
      <c r="BD26" s="7" t="n">
        <v>0</v>
      </c>
    </row>
    <row r="27" ht="34" customHeight="1">
      <c r="A27" s="7" t="n">
        <v>25</v>
      </c>
      <c r="B27" s="7" t="n">
        <v>50</v>
      </c>
      <c r="C27" s="7" t="n">
        <v>54</v>
      </c>
      <c r="D27" s="7" t="n">
        <v>4</v>
      </c>
      <c r="E27" s="7" t="inlineStr">
        <is>
          <t>{"descrizione_generale": "La scena si svolge all'interno di un impianto industriale, presumibilmente di stampaggio plastico, con tre operatori vicino a un grande macchinario.", "contesto": "Ambiente di produzione industriale con macchinari pesanti e stoccaggio di prodotti finiti (sedie in plastica colorate) sullo sfondo.", "personale": [{"id": 1, "abbigliamento": "T-shirt a righe grigie/verdi, cappellino nero al contrario", "ruolo_apparente": "Operatore"}, {"id": 2, "abbigliamento": "T-shirt rosa, guanti da lavoro blu", "ruolo_apparente": "Operatore"}, {"id": 3, "abbigliamento": "T-shirt blu con strisce bianche", "ruolo_apparente": "Operatore/Supervisore"}], "macchinari_e_oggetti": {"macchinari": "Pressa per stampaggio a iniezione con pannello di controllo digitale visibile sulla destra.", "oggetti": "Pile di sedie e contenitori in plastica colorati (rosso, verde, blu) su scaffalature sullo sfondo."}, "azioni_osservabili": "Nei primi secondi, l'operatore 1 e l'operatore 3 sembrano trattenere o assistere l'operatore 2 (in rosa). Successivamente, l'operatore 2 si allontana verso il fondo della scena, mentre l'operatore 3 rimane di spalle e l'operatore 1 si sposta in avanti toccandosi la testa.", "condizioni_ambientali_e_visibilita": {"illuminazione": "Sufficiente, tipica da interno industriale.", "limiti_visibilita": "Inquadratura fissa dall'alto (CAM04). Parziale occlusione reciproca tra i soggetti durante il contatto iniziale."}, "analisi_sicurezza": {"dpi_rilevati": "Guanti protettivi blu indossati solo dall'operatore in rosa. Assenza di elmetti protettivi, occhiali di sicurezza o protezioni acustiche visibili.", "ragionamento_causale": "Il contatto fisico iniziale tra i tre lavoratori suggerisce una possibile situazione di tensione, un malore o un coordinamento concitato, che distoglie l'attenzione dalle operazioni di sicurezza vicino al macchinario attivo.", "rischi_potenziali": "La distrazione dei lavoratori e il movimento instabile vicino alla pressa in funzione aumentano il rischio di urti accidentali, intrappolamento o contatto con parti calde/in movimento del macchinario.", "fattori_contribuenti": "Mancanza di DPI cranici/oculari e potenziale stato di alterazione o distrazione dei soggetti in prossimità dell'area operativa del macchinario."}}</t>
        </is>
      </c>
      <c r="F27" s="7" t="n">
        <v>80</v>
      </c>
      <c r="G27" s="7" t="inlineStr">
        <is>
          <t>Il punteggio riflette un rischio elevato dovuto alla combinazione di un'interazione fisica anomala (possibile malore o tensione) tra gli operatori in prossimità di una pressa a iniezione attiva, unita alla quasi totale assenza di DPI obbligatori (come elmetti e occhiali di sicurezza). La distrazione e l'instabilità dei soggetti vicino a parti calde o in movimento del macchinario aumentano significativamente la probabilità di gravi infortuni o contatti accidentali.</t>
        </is>
      </c>
      <c r="H27" s="7" t="n">
        <v>85.40000000000001</v>
      </c>
      <c r="I27" s="8" t="inlineStr">
        <is>
          <t>rosso</t>
        </is>
      </c>
      <c r="J27" s="7" t="inlineStr">
        <is>
          <t>{"scene_state": "Ambiente industriale interno con operatori vicino a un macchinario.", "environmental_conditions": ["Illuminazione interna costante", "Presenza di materiali e attrezzature sullo sfondo"], "people": ["Tre operatori maschi"], "objects": ["Sedie in plastica colorate impilate", "Pannello di controllo con schermo"], "machines": ["Pressa industriale per stampaggio a iniezione"], "observable_actions": ["Un operatore in maglietta rosa si sposta verso il fondo", "Un operatore in maglietta a righe tocca la spalla dell'operatore in rosa e poi si allontana", "Un operatore in maglietta blu rimane fermo vicino alla macchina"], "visible_ppe": ["Guanti da lavoro blu (indossati da un operatore)"], "notes_visibility_limitations": "Inquadratura fissa dall'alto, alcune occlusioni reciproche tra le persone."}</t>
        </is>
      </c>
      <c r="K27" s="7" t="inlineStr">
        <is>
          <t>{"unsafe_behaviors": ["Interazione fisica (tocco sulla spalla) che può causare distrazione in prossimità di macchinari industriali attivi", "Mancato utilizzo di DPI completi visibili (es. elmetti o abbigliamento ad alta visibilità), ad eccezione dei guanti da lavoro per un solo operatore"], "vulnerable_elements": ["Tre operatori presenti nell'area di lavoro della pressa industriale"], "risk_cues": {"S1_people_vehicle_interference": 0.0, "S2_visibility_attention_reduction": 0.25, "S3_non_compliant_behavior": 0.25, "S4_vehicle_infrastructure_interference": 0.0, "S5_storage_structural_instability": 0.0, "S6_access_to_moving_mechanical_parts": 0.0, "S7_manual_handling_heavy_unstable_loads": 0.0}, "cue_confidence": 0.8, "diagnostic_notes": "L'analisi evidenzia un ambiente di lavoro stabile senza la presenza di mezzi di movimentazione o carichi pesanti sospesi. Si rileva una potenziale distrazione dovuta al contatto fisico tra due operatori vicino alla pressa industriale. Le limitazioni visive sono dovute principalmente all'inquadratura fissa dall'alto e a lievi occlusioni reciproche."}</t>
        </is>
      </c>
      <c r="L27" s="7" t="inlineStr">
        <is>
          <t>{"causal_chain_plausible": true, "causal_chain_text": "L'interazione fisica (tocco sulla spalla) distrae l'operatore in prossimità della pressa a iniezione attiva. Questo calo di attenzione, combinato con la mancanza di DPI completi, può causare un movimento involontario o un posizionamento errato delle mani vicino alle parti calde o in movimento della macchina.", "near_miss_or_incident_scenario": "Un operatore si distrae a causa del contatto fisico e tocca accidentalmente una parte pericolosa o calda della pressa industriale, rischiando un'ustione o uno schiacciamento.", "contributing_factors": ["Distrazione causata da interazione fisica vicino a macchinari attivi", "Mancanza di DPI protettivi completi visibili", "Presenza ravvicinata all'area di lavoro della pressa"]}</t>
        </is>
      </c>
      <c r="M27" s="7" t="n">
        <v>30</v>
      </c>
      <c r="N27" s="7" t="inlineStr">
        <is>
          <t>Il rischio è moderato a causa della distrazione generata dal contatto fisico tra gli operatori in prossimità della pressa industriale attiva. Inoltre, il mancato utilizzo di DPI completi aumenta la vulnerabilità a potenziali infortuni in caso di contatto accidentale.</t>
        </is>
      </c>
      <c r="O27" s="7" t="n">
        <v>34.96</v>
      </c>
      <c r="P27" s="10" t="inlineStr">
        <is>
          <t>giallo</t>
        </is>
      </c>
      <c r="Q27" s="7" t="n">
        <v>4.57</v>
      </c>
      <c r="R27" s="7" t="n">
        <v>10.17</v>
      </c>
      <c r="S27" s="11" t="inlineStr">
        <is>
          <t>verde</t>
        </is>
      </c>
      <c r="T27" s="7" t="n">
        <v>0.8</v>
      </c>
      <c r="U27" s="7" t="inlineStr">
        <is>
          <t>L'analisi evidenzia un ambiente di lavoro stabile senza la presenza di mezzi di movimentazione o carichi pesanti sospesi. Si rileva una potenziale distrazione dovuta al contatto fisico tra due operatori vicino alla pressa industriale. Le limitazioni visive sono dovute principalmente all'inquadratura fissa dall'alto e a lievi occlusioni reciproche.</t>
        </is>
      </c>
      <c r="V27" s="7" t="n">
        <v>0</v>
      </c>
      <c r="W27" s="7" t="n">
        <v>0</v>
      </c>
      <c r="X27" s="7" t="n">
        <v>0.1109</v>
      </c>
      <c r="Y27" s="7" t="n">
        <v>0</v>
      </c>
      <c r="Z27" s="7" t="n">
        <v>0</v>
      </c>
      <c r="AA27" s="7" t="n">
        <v>0.25</v>
      </c>
      <c r="AB27" s="7" t="n">
        <v>0.5553</v>
      </c>
      <c r="AC27" s="7" t="n">
        <v>0.037</v>
      </c>
      <c r="AD27" s="7" t="n">
        <v>2.0546</v>
      </c>
      <c r="AE27" s="7" t="n">
        <v>44.96</v>
      </c>
      <c r="AF27" s="7" t="n">
        <v>0.25</v>
      </c>
      <c r="AG27" s="7" t="n">
        <v>0.2689</v>
      </c>
      <c r="AH27" s="7" t="n">
        <v>0.0549</v>
      </c>
      <c r="AI27" s="7" t="n">
        <v>1.4763</v>
      </c>
      <c r="AJ27" s="7" t="n">
        <v>32.3</v>
      </c>
      <c r="AK27" s="7" t="n">
        <v>0</v>
      </c>
      <c r="AL27" s="7" t="n">
        <v>0.008200000000000001</v>
      </c>
      <c r="AM27" s="7" t="n">
        <v>0.1538</v>
      </c>
      <c r="AN27" s="7" t="n">
        <v>0.1261</v>
      </c>
      <c r="AO27" s="7" t="n">
        <v>2.76</v>
      </c>
      <c r="AP27" s="7" t="n">
        <v>0</v>
      </c>
      <c r="AQ27" s="7" t="n">
        <v>0</v>
      </c>
      <c r="AR27" s="7" t="n">
        <v>0.2228</v>
      </c>
      <c r="AS27" s="7" t="n">
        <v>0</v>
      </c>
      <c r="AT27" s="7" t="n">
        <v>0</v>
      </c>
      <c r="AU27" s="7" t="n">
        <v>0</v>
      </c>
      <c r="AV27" s="7" t="n">
        <v>0.0266</v>
      </c>
      <c r="AW27" s="7" t="n">
        <v>0.3447</v>
      </c>
      <c r="AX27" s="7" t="n">
        <v>0.9169</v>
      </c>
      <c r="AY27" s="7" t="n">
        <v>20.06</v>
      </c>
      <c r="AZ27" s="7" t="n">
        <v>0</v>
      </c>
      <c r="BA27" s="7" t="n">
        <v>0</v>
      </c>
      <c r="BB27" s="7" t="n">
        <v>0.0759</v>
      </c>
      <c r="BC27" s="7" t="n">
        <v>0</v>
      </c>
      <c r="BD27" s="7" t="n">
        <v>0</v>
      </c>
    </row>
    <row r="28" ht="34" customHeight="1">
      <c r="A28" s="7" t="n">
        <v>26</v>
      </c>
      <c r="B28" s="7" t="n">
        <v>52</v>
      </c>
      <c r="C28" s="7" t="n">
        <v>56</v>
      </c>
      <c r="D28" s="7" t="n">
        <v>4</v>
      </c>
      <c r="E28" s="7" t="inlineStr">
        <is>
          <t>{"descrizione_generale": "La scena si svolge all'interno di uno stabilimento industriale, presumibilmente dedicato allo stampaggio di materie plastiche, data la presenza di una pressa ad iniezione e di pile di sedie in plastica colorata sullo sfondo.", "contesto_industriale": "Area di produzione e stampaggio termoplastico con macchinari pesanti in funzione o pronti all'uso.", "persone_presenti": [{"id": "operatore_1", "posizione": "Primo piano, sinistra", "abbigliamento": "Maglietta a righe orizzontali, cappellino scuro con visiera all'indietro", "dpi": "Nessun DPI visibile (mancanza di elmetto, occhiali di protezione o gilet ad alta visibilità)"}, {"id": "operatore_2", "posizione": "Centro, di spalle", "abbigliamento": "Maglietta blu con colletto bianco, jeans", "dpi": "Guanti da lavoro protettivi visibili sulle mani. Mancanza di elmetto e gilet ad alta visibilità"}, {"id": "operatore_3", "posizione": "Sfondo, in movimento verso sinistra", "abbigliamento": "Maglietta rosa, jeans", "dpi": "Nessun DPI visibile"}], "macchinari_e_oggetti": {"macchinario_principale": "Pressa ad iniezione per plastica con pannello di controllo digitale attivo sulla destra", "oggetti_vicini": "Un carrello o contenitore bianco posizionato davanti all'operatore in maglia blu", "sfondo": "Colonne di sedie e cesti in plastica impilati (colori verde, rosso, blu)"}, "azioni_osservabili": "L'operatore in maglia blu interagisce con il contenitore bianco posizionato davanti alla pressa, mentre l'operatore con la maglia a righe osserva la scena stando in piedi. L'operatore in maglia rosa si allontana verso il fondo del reparto.", "condizioni_ambientali": "Illuminazione artificiale interna tipica da capannone industriale. Spazio di lavoro parzialmente ingombrato da materiali e attrezzature.", "limiti_visibilita": "La telecamera è posizionata in alto e alle spalle degli operatori, limitando la visuale dettagliata sulle mani dell'operatore in maglia blu e sulla zona operativa interna della pressa.", "analisi_sicurezza": {"dpi_utilizzati": "Solo guanti protettivi per l'operatore al centro.", "fattori_contribuenti_rischio": "Mancanza di elmetti protettivi in prossimità di macchinari pesanti e potenziale assenza di calzature antinfortunistiche (non chiaramente verificabili). Presenza di più persone in un'area ristretta vicino alla macchina.", "sviluppi_rischiosi_plausibili": "Rischio di schiacciamento o intrappolamento degli arti superiori durante la manipolazione di oggetti vicino alla pressa; rischio di inciampo dovuto alla presenza del contenitore bianco a terra in una zona di passaggio."}}</t>
        </is>
      </c>
      <c r="F28" s="7" t="n">
        <v>60</v>
      </c>
      <c r="G28" s="7" t="inlineStr">
        <is>
          <t>Il punteggio di 60 indica un livello di rischio moderato-alto. Nonostante non vi siano incidenti in corso, si osserva una diffusa non conformità nell'uso dei DPI: tre operatori si trovano in prossimità di un macchinario pesante attivo (pressa ad iniezione) senza elmetto protettivo o gilet ad alta visibilità (solo uno indossa guanti). Inoltre, la presenza di un contenitore bianco a terra in una zona di transito e l'area parzialmente ingombrata aumentano il rischio di inciampo e caduta, mentre l'interazione ravvicinata con la pressa comporta un potenziale rischio di schiacciamento degli arti.</t>
        </is>
      </c>
      <c r="H28" s="7" t="n">
        <v>70.16</v>
      </c>
      <c r="I28" s="9" t="inlineStr">
        <is>
          <t>arancione</t>
        </is>
      </c>
      <c r="J28" s="7" t="inlineStr">
        <is>
          <t>{"scene_state": "Ambiente industriale interno, reparto stampaggio materie plastiche.", "environmental_conditions": ["Illuminazione artificiale interna", "Presenza di materiali stoccati sullo sfondo"], "people": ["Operatore con maglietta blu di spalle", "Operatore con maglietta a righe e cappellino a sinistra", "Operatore con maglietta rosa che si allontana sullo sfondo"], "objects": ["Sedie in plastica colorate impilate", "Contenitore o carrello bianco in primo piano"], "machines": ["Pressa ad iniezione per plastica con schermo di controllo acceso"], "observable_actions": ["L'operatore in rosa cammina verso il fondo", "L'operatore in blu si avvicina al carrello bianco", "L'operatore con cappellino rimane fermo sul lato sinistro"], "visible_ppe": ["Non si osservano DPI evidenti"], "notes_visibility_limitations": "La visuale è parzialmente ostruita dai macchinari per la parte inferiore dei corpi."}</t>
        </is>
      </c>
      <c r="K28" s="7" t="inlineStr">
        <is>
          <t>{"unsafe_behaviors": ["Mancato utilizzo visibile di DPI adeguati in area industriale attiva"], "vulnerable_elements": ["Operatore con maglietta blu", "Operatore con maglietta a righe", "Operatore con maglietta rosa"], "risk_cues": {"S1_people_vehicle_interference": 0.0, "S2_visibility_attention_reduction": 0.25, "S3_non_compliant_behavior": 0.5, "S4_vehicle_infrastructure_interference": 0.0, "S5_storage_structural_instability": 0.25, "S6_access_to_moving_mechanical_parts": 0.25, "S7_manual_handling_heavy_unstable_loads": 0.25}, "cue_confidence": 0.8, "diagnostic_notes": "La parziale ostruzione visiva dovuta ai macchinari limita la verifica dei DPI per gli arti inferiori. Non si rilevano mezzi in movimento o situazioni di instabilità strutturale immediata."}</t>
        </is>
      </c>
      <c r="L28" s="7" t="inlineStr">
        <is>
          <t>{"causal_chain_plausible": true, "causal_chain_text": "La mancanza di DPI visibili in un'area con pressa ad iniezione attiva e movimentazione di carrelli espone gli operatori a rischi fisici. L'avvicinamento dell'operatore in blu al carrello bianco, senza adeguate protezioni visibili, può causare lesioni in caso di contatto accidentale o caduta di oggetti.", "near_miss_or_incident_scenario": "Schiacciamento o impatto agli arti inferiori o superiori dell'operatore in maglietta blu durante l'interazione con il carrello bianco in prossimità della pressa ad iniezione.", "contributing_factors": ["Mancato utilizzo visibile di DPI idonei in area industriale attiva", "Operazioni di movimentazione/avvicinamento a carrelli senza protezione verificata", "Presenza di macchinari industriali operativi nel reparto"]}</t>
        </is>
      </c>
      <c r="M28" s="7" t="n">
        <v>35</v>
      </c>
      <c r="N28" s="7" t="inlineStr">
        <is>
          <t>Il punteggio riflette un rischio moderato dovuto al mancato utilizzo visibile di DPI idonei in un reparto produttivo attivo con presse ad iniezione. L'interazione dell'operatore con il carrello senza protezioni evidenti aumenta la probabilità di infortuni minori o schiacciamenti.</t>
        </is>
      </c>
      <c r="O28" s="7" t="n">
        <v>36.23</v>
      </c>
      <c r="P28" s="10" t="inlineStr">
        <is>
          <t>giallo</t>
        </is>
      </c>
      <c r="Q28" s="7" t="n">
        <v>20.04</v>
      </c>
      <c r="R28" s="7" t="n">
        <v>19.96</v>
      </c>
      <c r="S28" s="11" t="inlineStr">
        <is>
          <t>verde</t>
        </is>
      </c>
      <c r="T28" s="7" t="n">
        <v>0.8</v>
      </c>
      <c r="U28" s="7" t="inlineStr">
        <is>
          <t>La parziale ostruzione visiva dovuta ai macchinari limita la verifica dei DPI per gli arti inferiori. Non si rilevano mezzi in movimento o situazioni di instabilità strutturale immediata.</t>
        </is>
      </c>
      <c r="V28" s="7" t="n">
        <v>0</v>
      </c>
      <c r="W28" s="7" t="n">
        <v>0</v>
      </c>
      <c r="X28" s="7" t="n">
        <v>0.1109</v>
      </c>
      <c r="Y28" s="7" t="n">
        <v>0</v>
      </c>
      <c r="Z28" s="7" t="n">
        <v>0</v>
      </c>
      <c r="AA28" s="7" t="n">
        <v>0.25</v>
      </c>
      <c r="AB28" s="7" t="n">
        <v>0.5553</v>
      </c>
      <c r="AC28" s="7" t="n">
        <v>0.037</v>
      </c>
      <c r="AD28" s="7" t="n">
        <v>2.0546</v>
      </c>
      <c r="AE28" s="7" t="n">
        <v>10.25</v>
      </c>
      <c r="AF28" s="7" t="n">
        <v>0.5</v>
      </c>
      <c r="AG28" s="7" t="n">
        <v>0.8176</v>
      </c>
      <c r="AH28" s="7" t="n">
        <v>0.0549</v>
      </c>
      <c r="AI28" s="7" t="n">
        <v>4.4886</v>
      </c>
      <c r="AJ28" s="7" t="n">
        <v>22.4</v>
      </c>
      <c r="AK28" s="7" t="n">
        <v>0</v>
      </c>
      <c r="AL28" s="7" t="n">
        <v>0.008200000000000001</v>
      </c>
      <c r="AM28" s="7" t="n">
        <v>0.1538</v>
      </c>
      <c r="AN28" s="7" t="n">
        <v>0.1261</v>
      </c>
      <c r="AO28" s="7" t="n">
        <v>0.63</v>
      </c>
      <c r="AP28" s="7" t="n">
        <v>0.25</v>
      </c>
      <c r="AQ28" s="7" t="n">
        <v>0.0359</v>
      </c>
      <c r="AR28" s="7" t="n">
        <v>0.2228</v>
      </c>
      <c r="AS28" s="7" t="n">
        <v>0.7999000000000001</v>
      </c>
      <c r="AT28" s="7" t="n">
        <v>3.99</v>
      </c>
      <c r="AU28" s="7" t="n">
        <v>0.25</v>
      </c>
      <c r="AV28" s="7" t="n">
        <v>0.3543</v>
      </c>
      <c r="AW28" s="7" t="n">
        <v>0.3447</v>
      </c>
      <c r="AX28" s="7" t="n">
        <v>12.2127</v>
      </c>
      <c r="AY28" s="7" t="n">
        <v>60.94</v>
      </c>
      <c r="AZ28" s="7" t="n">
        <v>0.25</v>
      </c>
      <c r="BA28" s="7" t="n">
        <v>0.0474</v>
      </c>
      <c r="BB28" s="7" t="n">
        <v>0.0759</v>
      </c>
      <c r="BC28" s="7" t="n">
        <v>0.3598</v>
      </c>
      <c r="BD28" s="7" t="n">
        <v>1.8</v>
      </c>
    </row>
    <row r="29" ht="34" customHeight="1">
      <c r="A29" s="7" t="n">
        <v>27</v>
      </c>
      <c r="B29" s="7" t="n">
        <v>54</v>
      </c>
      <c r="C29" s="7" t="n">
        <v>58</v>
      </c>
      <c r="D29" s="7" t="n">
        <v>4</v>
      </c>
      <c r="E29" s="7" t="inlineStr">
        <is>
          <t>{"descrizione_scena": {"generale": "Inquadratura fissa di un'area di produzione industriale, caratterizzata dalla presenza di un grande macchinario industriale e diversi operatori in movimento.", "contesto": "Fabbrica di stampaggio o lavorazione di materie plastiche, evidenziata dalla presenza di pile di manufatti plastici colorati (sedie o contenitori) e sacchi di materia prima sullo sfondo."}, "soggetti_coinvolti": {"operatori": [{"id": "operatore_1", "posizione": "Primo piano, lato sinistro", "abbigliamento": "Maglietta a righe orizzontali grigie e nere, cappellino scuro, pantaloni scuri", "azione": "Inizialmente fermo di spalle, successivamente si gira e cammina verso il fondo della stanza"}, {"id": "operatore_2", "posizione": "Centro-sinistra, vicino al macchinario", "abbigliamento": "Maglietta blu, jeans, guanti da lavoro scuri", "azione": "Sposta manualmente un carrello o contenitore bianco verso sinistra"}, {"id": "operatore_3", "posizione": "Sfondo, lato sinistro", "abbigliamento": "Maglietta rosa/salmone, pantaloni scuri", "azione": "Cammina nell'area retrostante vicino alle pile di plastica"}]}, "elementi_materiali": {"macchinari": [{"tipo": "Pressa per stampaggio a iniezione", "marca_visibile": "MIR", "stato": "Accesa, con pannello di controllo digitale illuminato sul lato destro"}], "oggetti_stoccati": ["Pile verticali di sedie o cestini in plastica di colore rosso, verde e blu", "Grandi sacchi bianchi contenenti probabilmente granuli di plastica", "Un rotolo o pila di tubi neri flessibili sulla sinistra", "Un piccolo carrello o mobiletto bianco movimentato manualmente"]}, "analisi_sicurezza": {"condizioni_ambientali": "Illuminazione interna artificiale costante. Spazio di lavoro parzialmente ingombro di materiali che limitano le vie di fuga o di transito agevole.", "limiti_visibilita": "La telecamera offre una buona visuale del macchinario, ma l'area a sinistra presenta zone d'ombra e parziali occlusioni dovute ai materiali impilati.", "dpi_rilevati": {"presenti": "Guanti protettivi indossati dall'operatore con la maglia blu.", "assenti_visibili": "Mancanza di elmetti protettivi, calzature di sicurezza non chiaramente identificabili come antinfortunistiche, assenza di protezioni oculari o acustiche visibili."}, "ragionamento_causale_e_rischi": {"dinamica_in_corso": "L'operatore in blu movimenta un carico in uno spazio ristretto passando molto vicino all'operatore con la maglia a righe.", "rischi_plausibili": "Rischio di collisione o schiacciamento degli arti inferiori durante la movimentazione del carrello in spazi angusti. Rischio di inciampo dovuto alla presenza di oggetti e sacchi a terra. Rischio di caduta materiali dalle pile instabili sullo sfondo."}}}</t>
        </is>
      </c>
      <c r="F29" s="7" t="n">
        <v>50</v>
      </c>
      <c r="G29" s="7" t="inlineStr">
        <is>
          <t>Il punteggio di 50 indica un livello di rischio moderato. Pur non essendoci un incidente imminente, si rilevano diverse criticità per la sicurezza: l'area di lavoro è parzialmente ingombra di materiali che limitano le vie di transito e di fuga (rischio inciampo), si nota una carenza di DPI essenziali (mancanza di elmetti e protezioni oculari/acustiche visibili) e la movimentazione manuale del carrello avviene in uno spazio ristretto a ridosso di un altro operatore, aumentando il rischio di collisione o schiacciamento.</t>
        </is>
      </c>
      <c r="H29" s="7" t="n">
        <v>58.06</v>
      </c>
      <c r="I29" s="9" t="inlineStr">
        <is>
          <t>arancione</t>
        </is>
      </c>
      <c r="J29" s="7" t="inlineStr">
        <is>
          <t>{"scene_state": "Ambiente industriale attivo, reparto stampaggio materie plastiche.", "environmental_conditions": ["Illuminazione artificiale interna", "Spazio di lavoro parzialmente ingombro"], "people": ["Uomo con maglietta a righe e cappellino in primo piano a sinistra", "Uomo con maglietta blu e jeans che sposta un carrello bianco", "Uomo con maglietta rosa sullo sfondo vicino alle sedie impilate"], "objects": ["Sedie di plastica colorate (rosse, verdi, blu) impilate", "Sacchi bianchi", "Carrello bianco con coperchio rosa", "Tubo nero flessibile su supporto"], "machines": ["Grande pressa per stampaggio a iniezione di colore arancione e grigio con pannello di controllo a schermo blu"], "observable_actions": ["L'uomo in maglietta blu sposta un carrello bianco allontanandosi dalla macchina", "L'uomo con la maglietta a righe cammina verso lo sfondo", "L'uomo sullo sfondo si muove vicino alle sedie impilate"], "visible_ppe": ["Nessun DPI chiaramente visibile"], "notes_visibility_limitations": "La visuale dello sfondo è parzialmente ostruita dal grande macchinario industriale sulla destra."}</t>
        </is>
      </c>
      <c r="K29" s="7" t="inlineStr">
        <is>
          <t>{"unsafe_behaviors": ["Mancato utilizzo visibile di DPI adeguati in un'area di produzione attiva", "Transito di pedoni in aree di lavoro parzialmente ingombre e non chiaramente delimitate"], "vulnerable_elements": ["Operatore che movimenta manualmente il carrello bianco", "Pedoni che transitano in prossimità della pressa per stampaggio"], "risk_cues": {"S1_people_vehicle_interference": 0.25, "S2_visibility_attention_reduction": 0.25, "S3_non_compliant_behavior": 0.5, "S4_vehicle_infrastructure_interference": 0.0, "S5_storage_structural_instability": 0.25, "S6_access_to_moving_mechanical_parts": 0.0, "S7_manual_handling_heavy_unstable_loads": 0.25}, "cue_confidence": 0.8, "diagnostic_notes": "L'analisi evidenzia un potenziale rischio legato alla mancanza di DPI visibili in un reparto produttivo attivo con macchinari pesanti. La presenza di materiale parzialmente ingombrante (sedie impilate, sacchi) e la movimentazione manuale di un carrello in spazi condivisi aumentano il rischio di urti o inciampi. Non si rilevano interferenze critiche con mezzi semoventi o contatti con organi in movimento."}</t>
        </is>
      </c>
      <c r="L29" s="7" t="inlineStr">
        <is>
          <t>{"causal_chain_plausible": true, "causal_chain_text": "La presenza di spazi di lavoro parzialmente ingombri da sacchi e sedie impilate, unita alla movimentazione manuale di un carrello e al transito di pedoni senza DPI visibili, crea un rischio di interferenza. Un passo falso o una distrazione durante il transito vicino al carrello o agli ostacoli può causare una caduta o un urto.", "near_miss_or_incident_scenario": "Un operatore in transito urta il carrello bianco movimentato manualmente o inciampa nei sacchi/sedie depositati a terra, riportando contusioni favorite dall'assenza di DPI protettivi.", "contributing_factors": ["Spazio di lavoro parzialmente ingombro da materiali e sedie", "Mancanza di delimitazione chiara delle vie di transito pedonale", "Movimentazione manuale del carrello in prossimità di altri pedoni", "Mancato utilizzo visibile di dispositivi di protezione individuale (DPI)"]}</t>
        </is>
      </c>
      <c r="M29" s="7" t="n">
        <v>35</v>
      </c>
      <c r="N29" s="7" t="inlineStr">
        <is>
          <t>Il rischio è moderato a causa della presenza di ostacoli nell'area di lavoro e della movimentazione manuale di un carrello vicino a pedoni privi di DPI visibili. L'assenza di pericoli imminenti ad alta energia o di mezzi semoventi in transito evita una classificazione di rischio superiore.</t>
        </is>
      </c>
      <c r="O29" s="7" t="n">
        <v>35.49</v>
      </c>
      <c r="P29" s="10" t="inlineStr">
        <is>
          <t>giallo</t>
        </is>
      </c>
      <c r="Q29" s="7" t="n">
        <v>11.52</v>
      </c>
      <c r="R29" s="7" t="n">
        <v>14.9</v>
      </c>
      <c r="S29" s="11" t="inlineStr">
        <is>
          <t>verde</t>
        </is>
      </c>
      <c r="T29" s="7" t="n">
        <v>0.8</v>
      </c>
      <c r="U29" s="7" t="inlineStr">
        <is>
          <t>L'analisi evidenzia un potenziale rischio legato alla mancanza di DPI visibili in un reparto produttivo attivo con macchinari pesanti. La presenza di materiale parzialmente ingombrante (sedie impilate, sacchi) e la movimentazione manuale di un carrello in spazi condivisi aumentano il rischio di urti o inciampi. Non si rilevano interferenze critiche con mezzi semoventi o contatti con organi in movimento.</t>
        </is>
      </c>
      <c r="V29" s="7" t="n">
        <v>0.25</v>
      </c>
      <c r="W29" s="7" t="n">
        <v>0.25</v>
      </c>
      <c r="X29" s="7" t="n">
        <v>0.1109</v>
      </c>
      <c r="Y29" s="7" t="n">
        <v>2.7725</v>
      </c>
      <c r="Z29" s="7" t="n">
        <v>24.07</v>
      </c>
      <c r="AA29" s="7" t="n">
        <v>0.25</v>
      </c>
      <c r="AB29" s="7" t="n">
        <v>0.5553</v>
      </c>
      <c r="AC29" s="7" t="n">
        <v>0.037</v>
      </c>
      <c r="AD29" s="7" t="n">
        <v>2.0546</v>
      </c>
      <c r="AE29" s="7" t="n">
        <v>17.84</v>
      </c>
      <c r="AF29" s="7" t="n">
        <v>0.5</v>
      </c>
      <c r="AG29" s="7" t="n">
        <v>0.8176</v>
      </c>
      <c r="AH29" s="7" t="n">
        <v>0.0549</v>
      </c>
      <c r="AI29" s="7" t="n">
        <v>4.4886</v>
      </c>
      <c r="AJ29" s="7" t="n">
        <v>38.96</v>
      </c>
      <c r="AK29" s="7" t="n">
        <v>0</v>
      </c>
      <c r="AL29" s="7" t="n">
        <v>0.008200000000000001</v>
      </c>
      <c r="AM29" s="7" t="n">
        <v>0.1538</v>
      </c>
      <c r="AN29" s="7" t="n">
        <v>0.1261</v>
      </c>
      <c r="AO29" s="7" t="n">
        <v>1.09</v>
      </c>
      <c r="AP29" s="7" t="n">
        <v>0.25</v>
      </c>
      <c r="AQ29" s="7" t="n">
        <v>0.0359</v>
      </c>
      <c r="AR29" s="7" t="n">
        <v>0.2228</v>
      </c>
      <c r="AS29" s="7" t="n">
        <v>0.7999000000000001</v>
      </c>
      <c r="AT29" s="7" t="n">
        <v>6.94</v>
      </c>
      <c r="AU29" s="7" t="n">
        <v>0</v>
      </c>
      <c r="AV29" s="7" t="n">
        <v>0.0266</v>
      </c>
      <c r="AW29" s="7" t="n">
        <v>0.3447</v>
      </c>
      <c r="AX29" s="7" t="n">
        <v>0.9169</v>
      </c>
      <c r="AY29" s="7" t="n">
        <v>7.96</v>
      </c>
      <c r="AZ29" s="7" t="n">
        <v>0.25</v>
      </c>
      <c r="BA29" s="7" t="n">
        <v>0.0474</v>
      </c>
      <c r="BB29" s="7" t="n">
        <v>0.0759</v>
      </c>
      <c r="BC29" s="7" t="n">
        <v>0.3598</v>
      </c>
      <c r="BD29" s="7" t="n">
        <v>3.12</v>
      </c>
    </row>
    <row r="30" ht="34" customHeight="1">
      <c r="A30" s="7" t="n">
        <v>28</v>
      </c>
      <c r="B30" s="7" t="n">
        <v>56</v>
      </c>
      <c r="C30" s="7" t="n">
        <v>60</v>
      </c>
      <c r="D30" s="7" t="n">
        <v>4</v>
      </c>
      <c r="E30" s="7" t="inlineStr">
        <is>
          <t>{"analisi_scena": {"contesto": "Ambiente industriale, reparto stampaggio materie plastiche.", "personale": "Due operatori presenti nell'area di lavoro retrostante la macchina.", "macchinari": "Pressa ad iniezione di grandi dimensioni (marca MIR) con pannello di controllo attivo.", "oggetti": "Sacchi bianchi di materia prima, pile di sedie in plastica colorate, contenitori cilindrici."}, "dinamica_azioni": {"attivita": "Un operatore in maglia a righe si sposta dietro la macchina, l'altro in maglia blu si muove vicino alle sedie impilate.", "condizioni_ambientali": "Illuminazione interna sufficiente, spazi di passaggio ristretti tra macchinari e materiali stoccati."}, "sicurezza_dpi": {"dpi_rilevati": "Non si evidenziano DPI specifici come elmetti o indumenti ad alta visibilita; abbigliamento civile ordinario.", "limiti_visibilita": "Inquadratura dall'alto con parziale occlusione della zona di transito dei lavoratori dietro la pressa."}, "valutazione_rischi": {"fattori_contribuenti": "Presenza di ostacoli a terra (sacchi) e passaggi angusti vicino a macchinari operativi.", "sviluppi_rischiosi": "Rischio di inciampo o urto contro le strutture della pressa o i materiali stoccati durante i movimenti."}}</t>
        </is>
      </c>
      <c r="F30" s="7" t="n">
        <v>50</v>
      </c>
      <c r="G30" s="7" t="inlineStr">
        <is>
          <t>Il punteggio riflette un rischio moderato dovuto alla presenza di ostacoli a terra (sacchi) e passaggi angusti in prossimità di una pressa ad iniezione attiva. La mancanza di DPI visibili (come indumenti ad alta visibilità) e la parziale ostruzione visiva aumentano il rischio di inciampo o urto accidentale per gli operatori nell'area.</t>
        </is>
      </c>
      <c r="H30" s="7" t="n">
        <v>53.22</v>
      </c>
      <c r="I30" s="9" t="inlineStr">
        <is>
          <t>arancione</t>
        </is>
      </c>
      <c r="J30" s="7" t="inlineStr">
        <is>
          <t>{"scene_state": "Ambiente industriale, reparto stampaggio materie plastiche.", "environmental_conditions": ["Illuminazione artificiale interna", "Ambiente di lavoro al coperto"], "people": ["Un operatore con maglietta a righe e jeans", "Un operatore con maglietta blu"], "objects": ["Sacchi bianchi di materia prima", "Sedie di plastica colorate impilate", "Tavolo bianco in primo piano"], "machines": ["Grande pressa a iniezione per plastica con pannello di controllo"], "observable_actions": ["L'operatore con la maglia a righe si allontana verso sinistra", "L'operatore con la maglia blu si sposta sullo sfondo"], "visible_ppe": ["Non si osservano DPI evidenti"], "notes_visibility_limitations": "La visuale è parzialmente ostruita dal grande macchinario in primo piano."}</t>
        </is>
      </c>
      <c r="K30" s="7" t="inlineStr">
        <is>
          <t>{"unsafe_behaviors": ["Mancato utilizzo visibile di DPI idonei in un'area industriale con macchinari pesanti", "Spostamento in aree con visibilità parzialmente ostruita dal macchinario senza apparente coordinamento visivo"], "vulnerable_elements": ["Operatore con maglietta a righe", "Operatore con maglietta blu"], "risk_cues": {"S1_people_vehicle_interference": 0.0, "S2_visibility_attention_reduction": 0.25, "S3_non_compliant_behavior": 0.25, "S4_vehicle_infrastructure_interference": 0.0, "S5_storage_structural_instability": 0.0, "S6_access_to_moving_mechanical_parts": 0.0, "S7_manual_handling_heavy_unstable_loads": 0.0}, "cue_confidence": 0.8, "diagnostic_notes": "Gli operatori si muovono all'interno del reparto di stampaggio senza interagire direttamente con la pressa o movimentare carichi. La parziale ostruzione della visuale causata dal grande macchinario in primo piano introduce un lieve rischio di visibilità (S2). Si rileva l'assenza di DPI evidenti (S3) in un ambiente potenzialmente rumoroso o con rischi di schiacciamento/urto. Non si registrano interferenze con mezzi o instabilità di carichi."}</t>
        </is>
      </c>
      <c r="L30" s="7" t="inlineStr">
        <is>
          <t>{"causal_chain_plausible": true, "causal_chain_text": "La presenza di un grande macchinario che ostruisce parzialmente la visuale, combinata con lo spostamento degli operatori nell'area di lavoro senza DPI evidenti, può portare a collisioni accidentali o cadute. Un operatore potrebbe non avvedersi di un pericolo o di un ostacolo a causa della visuale ridotta, subendo un infortunio che l'assenza di DPI protettivi potrebbe aggravare.", "near_miss_or_incident_scenario": "Un operatore si sposta dietro la pressa a iniezione e, a causa della visibilità limitata e della presenza di ostacoli come sacchi o sedie, inciampa o urta una parte del macchinario, riportando lesioni personali non mitigate da DPI idonei.", "contributing_factors": ["Mancato utilizzo visibile di DPI idonei in area industriale", "Visibilità limitata causata dall'ingombro della pressa a iniezione", "Presenza di potenziali ostacoli fisici nell'area di transito"]}</t>
        </is>
      </c>
      <c r="M30" s="7" t="n">
        <v>30</v>
      </c>
      <c r="N30" s="7" t="inlineStr">
        <is>
          <t>Il rischio è moderato a causa del mancato utilizzo visibile di DPI in un reparto industriale e della visibilità parzialmente ostruita dal macchinario. Non si rilevano tuttavia interazioni dirette con organi in movimento o mezzi di trasporto che aumenterebbero la gravità.</t>
        </is>
      </c>
      <c r="O30" s="7" t="n">
        <v>32.2</v>
      </c>
      <c r="P30" s="10" t="inlineStr">
        <is>
          <t>giallo</t>
        </is>
      </c>
      <c r="Q30" s="7" t="n">
        <v>4.57</v>
      </c>
      <c r="R30" s="7" t="n">
        <v>8.699999999999999</v>
      </c>
      <c r="S30" s="11" t="inlineStr">
        <is>
          <t>verde</t>
        </is>
      </c>
      <c r="T30" s="7" t="n">
        <v>0.8</v>
      </c>
      <c r="U30" s="7" t="inlineStr">
        <is>
          <t>Gli operatori si muovono all'interno del reparto di stampaggio senza interagire direttamente con la pressa o movimentare carichi. La parziale ostruzione della visuale causata dal grande macchinario in primo piano introduce un lieve rischio di visibilità (S2). Si rileva l'assenza di DPI evidenti (S3) in un ambiente potenzialmente rumoroso o con rischi di schiacciamento/urto. Non si registrano interferenze con mezzi o instabilità di carichi.</t>
        </is>
      </c>
      <c r="V30" s="7" t="n">
        <v>0</v>
      </c>
      <c r="W30" s="7" t="n">
        <v>0</v>
      </c>
      <c r="X30" s="7" t="n">
        <v>0.1109</v>
      </c>
      <c r="Y30" s="7" t="n">
        <v>0</v>
      </c>
      <c r="Z30" s="7" t="n">
        <v>0</v>
      </c>
      <c r="AA30" s="7" t="n">
        <v>0.25</v>
      </c>
      <c r="AB30" s="7" t="n">
        <v>0.5553</v>
      </c>
      <c r="AC30" s="7" t="n">
        <v>0.037</v>
      </c>
      <c r="AD30" s="7" t="n">
        <v>2.0546</v>
      </c>
      <c r="AE30" s="7" t="n">
        <v>44.96</v>
      </c>
      <c r="AF30" s="7" t="n">
        <v>0.25</v>
      </c>
      <c r="AG30" s="7" t="n">
        <v>0.2689</v>
      </c>
      <c r="AH30" s="7" t="n">
        <v>0.0549</v>
      </c>
      <c r="AI30" s="7" t="n">
        <v>1.4763</v>
      </c>
      <c r="AJ30" s="7" t="n">
        <v>32.3</v>
      </c>
      <c r="AK30" s="7" t="n">
        <v>0</v>
      </c>
      <c r="AL30" s="7" t="n">
        <v>0.008200000000000001</v>
      </c>
      <c r="AM30" s="7" t="n">
        <v>0.1538</v>
      </c>
      <c r="AN30" s="7" t="n">
        <v>0.1261</v>
      </c>
      <c r="AO30" s="7" t="n">
        <v>2.76</v>
      </c>
      <c r="AP30" s="7" t="n">
        <v>0</v>
      </c>
      <c r="AQ30" s="7" t="n">
        <v>0</v>
      </c>
      <c r="AR30" s="7" t="n">
        <v>0.2228</v>
      </c>
      <c r="AS30" s="7" t="n">
        <v>0</v>
      </c>
      <c r="AT30" s="7" t="n">
        <v>0</v>
      </c>
      <c r="AU30" s="7" t="n">
        <v>0</v>
      </c>
      <c r="AV30" s="7" t="n">
        <v>0.0266</v>
      </c>
      <c r="AW30" s="7" t="n">
        <v>0.3447</v>
      </c>
      <c r="AX30" s="7" t="n">
        <v>0.9169</v>
      </c>
      <c r="AY30" s="7" t="n">
        <v>20.06</v>
      </c>
      <c r="AZ30" s="7" t="n">
        <v>0</v>
      </c>
      <c r="BA30" s="7" t="n">
        <v>0</v>
      </c>
      <c r="BB30" s="7" t="n">
        <v>0.0759</v>
      </c>
      <c r="BC30" s="7" t="n">
        <v>0</v>
      </c>
      <c r="BD30" s="7" t="n">
        <v>0</v>
      </c>
    </row>
    <row r="31" ht="34" customHeight="1">
      <c r="A31" s="7" t="n">
        <v>29</v>
      </c>
      <c r="B31" s="7" t="n">
        <v>58</v>
      </c>
      <c r="C31" s="7" t="n">
        <v>62</v>
      </c>
      <c r="D31" s="7" t="n">
        <v>4</v>
      </c>
      <c r="E31" s="7" t="inlineStr">
        <is>
          <t>{"analisi_scena": {"descrizione_generale": "Area di produzione industriale con macchinario di stampaggio a iniezione e stoccaggio materiali.", "contesto": "Fabbrica di produzione di articoli in plastica (sedie visibili sullo sfondo).", "presenza_umana": {"operatori": 1, "dettagli": "Un lavoratore con maglietta blu si muove nell'area di stoccaggio sullo sfondo."}}, "elementi_rilevati": {"macchinari": "Pressa per stampaggio a iniezione MIR con pannello di controllo elettronico.", "oggetti": "Sedie in plastica impilate (rosse, verdi, blu), sacchi bianchi di materia prima, bobina nera, scatola bianca in primo piano."}, "dinamiche_e_sicurezza": {"azioni": "Il lavoratore cammina dietro i sacchi e le sedie impilate.", "condizioni_ambientali": "Illuminazione interna sufficiente, ma spazi di passaggio ristretti a causa del materiale stoccato.", "limiti_visibilita": "Lavoratore parzialmente occluso dalle pile di sedie e dai sacchi bianchi.", "dpi": "Non è possibile confermare l'uso di DPI specifici (es. scarpe antinfortunistiche) a causa della distanza; non si osservano elmetti o gilet ad alta visibilità.", "analisi_rischi": {"fattori_contribuenti": "Ingombro delle vie di passaggio con sacchi e merci impilate.", "sviluppi_rischiosi": "Rischio di inciampo o scivolamento per il passaggio in aree ristrette e ostruite; potenziale instabilità delle pile di sedie."}}}</t>
        </is>
      </c>
      <c r="F31" s="7" t="n">
        <v>45</v>
      </c>
      <c r="G31" s="7" t="inlineStr">
        <is>
          <t>Il punteggio di 45 indica un rischio moderato. La presenza di vie di passaggio ristrette e parzialmente ostruite da sacchi di materia prima e pile di sedie aumenta il rischio di inciampo o scivolamento per l'operatore. Inoltre, la potenziale instabilità dei materiali impilati e l'impossibilità di verificare l'uso di DPI adeguati (come scarpe antinfortunistiche o gilet ad alta visibilità) in un'area di produzione e stoccaggio rappresentano elementi di criticità per la sicurezza ordinaria sicurezza.</t>
        </is>
      </c>
      <c r="H31" s="7" t="n">
        <v>48.29</v>
      </c>
      <c r="I31" s="10" t="inlineStr">
        <is>
          <t>giallo</t>
        </is>
      </c>
      <c r="J31" s="7" t="inlineStr">
        <is>
          <t>{"scene_state": "Interno di uno stabilimento industriale per lo stampaggio di materie plastiche.", "environmental_conditions": ["Illuminazione artificiale interna", "Ambiente di lavoro industriale"], "people": ["Un operatore situato sullo sfondo a sinistra."], "objects": ["Sedie in plastica impilate di vari colori (rosso, verde, blu)", "Grandi sacchi bianchi a terra", "Un piccolo mobiletto bianco in primo piano con un oggetto sopra", "Un cilindro nero verticale sulla sinistra"], "machines": ["Grande pressa per stampaggio a iniezione (marca MIR) di colore arancione e beige, dotata di pannello di controllo con schermo acceso"], "observable_actions": ["L'operatore sullo sfondo movimenta o sistema le sedie di plastica impilate."], "visible_ppe": ["Non chiaramente distinguibili a causa della distanza dell'operatore dalla telecamera."], "notes_visibility_limitations": "La distanza dell'operatore e la presenza del grande macchinario in primo piano limitano la visibilità dei dettagli del lavoratore e dei suoi DPI."}</t>
        </is>
      </c>
      <c r="K31" s="7" t="inlineStr">
        <is>
          <t>{"unsafe_behaviors": ["Possibile movimentazione manuale di carichi ingombranti (pile di sedie) senza ausili, sebbene il peso sia presumibilmente ridotto."], "vulnerable_elements": ["Operatore sullo sfondo a sinistra"], "risk_cues": {"S1_people_vehicle_interference": 0.0, "S2_visibility_attention_reduction": 0.25, "S3_non_compliant_behavior": 0.25, "S4_vehicle_infrastructure_interference": 0.0, "S5_storage_structural_instability": 0.25, "S6_access_to_moving_mechanical_parts": 0.0, "S7_manual_handling_heavy_unstable_loads": 0.25}, "cue_confidence": 0.7, "diagnostic_notes": "L'analisi è limitata dalla distanza dell'operatore e dalla presenza della grande pressa MIR in primo piano. L'operatore movimenta sedie di plastica impilate: l'attività comporta un carico potenzialmente ingombrante (S7) e instabile (S5), ma presumibilmente leggero. Non è possibile verificare l'uso dei DPI (S3) a causa della distanza."}</t>
        </is>
      </c>
      <c r="L31" s="7" t="inlineStr">
        <is>
          <t>{"causal_chain_plausible": true, "causal_chain_text": "La movimentazione manuale di una pila di sedie ingombrante e instabile riduce la visibilità dell'operatore sul percorso. Questo, unito alla presenza di ostacoli a terra come i sacchi bianchi, aumenta il rischio di perdita di equilibrio, inciampo o caduta del carico.", "near_miss_or_incident_scenario": "L'operatore perde il controllo della pila di sedie durante lo spostamento, causandone la caduta improvvisa con potenziale rischio di inciampo, urto o lesione da sforzo nel tentativo di trattenere il carico.", "contributing_factors": ["Movimentazione manuale di un carico volumetrico e instabile (sedie impilate)", "Presenza di ingombri a terra (grandi sacchi bianchi) che limitano lo spazio di manovra sicuro", "Possibile riduzione della visibilità anteriore dell'operatore durante il trasporto", "Distanza della telecamera che impedisce la verifica dell'uso di DPI protettivi adeguati"]}</t>
        </is>
      </c>
      <c r="M31" s="7" t="n">
        <v>30</v>
      </c>
      <c r="N31" s="7" t="inlineStr">
        <is>
          <t>Il rischio è moderato a causa della movimentazione manuale di un carico ingombrante e potenzialmente instabile in presenza di ostacoli a terra come i sacchi bianchi. Inoltre, la distanza impedisce di verificare l'adozione dei dispositivi di protezione individuale idonei.</t>
        </is>
      </c>
      <c r="O31" s="7" t="n">
        <v>30.88</v>
      </c>
      <c r="P31" s="10" t="inlineStr">
        <is>
          <t>giallo</t>
        </is>
      </c>
      <c r="Q31" s="7" t="n">
        <v>5.73</v>
      </c>
      <c r="R31" s="7" t="n">
        <v>7.21</v>
      </c>
      <c r="S31" s="11" t="inlineStr">
        <is>
          <t>verde</t>
        </is>
      </c>
      <c r="T31" s="7" t="n">
        <v>0.7</v>
      </c>
      <c r="U31" s="7" t="inlineStr">
        <is>
          <t>L'analisi è limitata dalla distanza dell'operatore e dalla presenza della grande pressa MIR in primo piano. L'operatore movimenta sedie di plastica impilate: l'attività comporta un carico potenzialmente ingombrante (S7) e instabile (S5), ma presumibilmente leggero. Non è possibile verificare l'uso dei DPI (S3) a causa della distanza.</t>
        </is>
      </c>
      <c r="V31" s="7" t="n">
        <v>0</v>
      </c>
      <c r="W31" s="7" t="n">
        <v>0</v>
      </c>
      <c r="X31" s="7" t="n">
        <v>0.1109</v>
      </c>
      <c r="Y31" s="7" t="n">
        <v>0</v>
      </c>
      <c r="Z31" s="7" t="n">
        <v>0</v>
      </c>
      <c r="AA31" s="7" t="n">
        <v>0.25</v>
      </c>
      <c r="AB31" s="7" t="n">
        <v>0.5553</v>
      </c>
      <c r="AC31" s="7" t="n">
        <v>0.037</v>
      </c>
      <c r="AD31" s="7" t="n">
        <v>2.0546</v>
      </c>
      <c r="AE31" s="7" t="n">
        <v>35.86</v>
      </c>
      <c r="AF31" s="7" t="n">
        <v>0.25</v>
      </c>
      <c r="AG31" s="7" t="n">
        <v>0.2689</v>
      </c>
      <c r="AH31" s="7" t="n">
        <v>0.0549</v>
      </c>
      <c r="AI31" s="7" t="n">
        <v>1.4763</v>
      </c>
      <c r="AJ31" s="7" t="n">
        <v>25.76</v>
      </c>
      <c r="AK31" s="7" t="n">
        <v>0</v>
      </c>
      <c r="AL31" s="7" t="n">
        <v>0.008200000000000001</v>
      </c>
      <c r="AM31" s="7" t="n">
        <v>0.1538</v>
      </c>
      <c r="AN31" s="7" t="n">
        <v>0.1261</v>
      </c>
      <c r="AO31" s="7" t="n">
        <v>2.2</v>
      </c>
      <c r="AP31" s="7" t="n">
        <v>0.25</v>
      </c>
      <c r="AQ31" s="7" t="n">
        <v>0.0359</v>
      </c>
      <c r="AR31" s="7" t="n">
        <v>0.2228</v>
      </c>
      <c r="AS31" s="7" t="n">
        <v>0.7999000000000001</v>
      </c>
      <c r="AT31" s="7" t="n">
        <v>13.96</v>
      </c>
      <c r="AU31" s="7" t="n">
        <v>0</v>
      </c>
      <c r="AV31" s="7" t="n">
        <v>0.0266</v>
      </c>
      <c r="AW31" s="7" t="n">
        <v>0.3447</v>
      </c>
      <c r="AX31" s="7" t="n">
        <v>0.9169</v>
      </c>
      <c r="AY31" s="7" t="n">
        <v>16</v>
      </c>
      <c r="AZ31" s="7" t="n">
        <v>0.25</v>
      </c>
      <c r="BA31" s="7" t="n">
        <v>0.0474</v>
      </c>
      <c r="BB31" s="7" t="n">
        <v>0.0759</v>
      </c>
      <c r="BC31" s="7" t="n">
        <v>0.3598</v>
      </c>
      <c r="BD31" s="7" t="n">
        <v>6.28</v>
      </c>
    </row>
    <row r="32" ht="34" customHeight="1">
      <c r="A32" s="7" t="n">
        <v>30</v>
      </c>
      <c r="B32" s="7" t="n">
        <v>60</v>
      </c>
      <c r="C32" s="7" t="n">
        <v>62.533</v>
      </c>
      <c r="D32" s="7" t="n">
        <v>2.533</v>
      </c>
      <c r="E32" s="7" t="inlineStr">
        <is>
          <t>{"metadati": {"intervallo_temporale": "00:00 - 00:02", "durata_secondi": 2.533, "telecamera": "CAM04"}, "descrizione_generale": "La clip mostra l'interno di un reparto industriale destinato allo stampaggio di materie plastiche. L'inquadratura è fissa e riprende lateralmente un grande macchinario industriale.", "contesto_industriale": "Stabilimento di produzione e stampaggio plastico, caratterizzato dalla presenza di macchinari pesanti e aree di stoccaggio temporaneo di prodotti finiti e materie prime.", "elementi_rilevati": {"persone": "Nessun operatore o pedone è visibile all'interno dell'area inquadrata durante la clip.", "macchinari": [{"tipo": "Pressa ad iniezione per plastica", "marca": "MIR", "colore": "Arancione e beige", "stato": "Accesa (schermo del pannello di controllo illuminato), ma non si notano movimenti meccanici evidenti nella sezione stampo durante la clip."}], "oggetti": ["Sedie in plastica colorata (verdi, rosse, blu) impilate sullo sfondo", "Grandi sacchi bianchi (probabilmente contenenti granuli di plastica o materia prima)", "Un oggetto cilindrico nero (bobina o fusto) sulla sinistra", "Una scatola bianca con un piccolo oggetto verde/rosso posizionato sopra in primo piano"]}, "dinamiche_e_azioni": "Non si osservano azioni o movimenti significativi. La scena è statica e il macchinario appare in fase di attesa o ciclo automatico non visibile nel movimento esterno.", "condizioni_ambientali": {"illuminazione": "Artificiale, tipica da capannone industriale, sufficiente a garantire la visibilità dei dettagli operativi.", "ordine_e_pulizia": "Presenza di materiali stoccati (sedie e sacchi) nelle vicinanze del macchinario, che riducono lo spazio di manovra attorno alla pressa."}, "limiti_osservativi": "La visuale è limitata all'angolo di ripresa della CAM04. La parte interna dello stampo e il retro della pressa sono parzialmente occlusi dalla struttura stessa della macchina.", "analisi_sicurezza_e_rischi": {"dpi": "Non valutabili a causa dell'assenza di personale nella clip.", "ragionamento_causale_e_rischi": "L'assenza di personale riduce il rischio immediato di infortuni da contatto. Tuttavia, l'accumulo di materiali (sedie impilate e sacchi) in prossimità delle aree di lavoro del macchinario costituisce un potenziale fattore di rischio per intralcio, limitazione delle vie di fuga o ostruzione visiva per eventuali operatori che dovessero accedere all'area."}}</t>
        </is>
      </c>
      <c r="F32" s="7" t="n">
        <v>15</v>
      </c>
      <c r="G32" s="7" t="inlineStr">
        <is>
          <t>Il livello di rischio è basso (15) poiché non vi è presenza di personale nell'area e il macchinario è in uno stato statico, escludendo pericoli immediati di infortunio. Tuttavia, non è pari a zero a causa del disordine e dell'accumulo di materiali (sedie impilate e sacchi) in prossimità della pressa, che rappresentano un potenziale intralcio alle vie di fuga e di manovra per gli operatori.</t>
        </is>
      </c>
      <c r="H32" s="7" t="n">
        <v>28.32</v>
      </c>
      <c r="I32" s="10" t="inlineStr">
        <is>
          <t>giallo</t>
        </is>
      </c>
      <c r="J32" s="7" t="inlineStr">
        <is>
          <t>{"scene_state": "Ambiente industriale, reparto stampaggio materie plastiche, scena statica.", "environmental_conditions": ["Illuminazione artificiale interna", "Ambiente di lavoro al chiuso"], "people": [], "objects": ["Sedie di plastica impilate (colori verde, rosso, blu)", "Sacchi bianchi", "Bobina o cilindro nero", "Scatola bianca con dettagli colorati su un tavolo"], "machines": ["Pressa per stampaggio a iniezione (marca MIR) di colore arancione e beige con pannello di controllo digitale"], "observable_actions": [], "visible_ppe": [], "notes_visibility_limitations": "Inquadratura fissa da telecamera di sicurezza. Nessuna persona presente nell'area visibile."}</t>
        </is>
      </c>
      <c r="K32" s="7" t="inlineStr">
        <is>
          <t>{"unsafe_behaviors": [], "vulnerable_elements": [], "risk_cues": {"S1_people_vehicle_interference": 0.0, "S2_visibility_attention_reduction": 0.0, "S3_non_compliant_behavior": 0.0, "S4_vehicle_infrastructure_interference": 0.0, "S5_storage_structural_instability": 0.0, "S6_access_to_moving_mechanical_parts": 0.0, "S7_manual_handling_heavy_unstable_loads": 0.0}, "cue_confidence": 1.0, "diagnostic_notes": "La scena è completamente statica e priva di personale o mezzi di movimentazione in transito. Non si rilevano situazioni di rischio attive o comportamenti non conformi nei parametri analizzati (S1-S7)."}</t>
        </is>
      </c>
      <c r="L32" s="7" t="inlineStr">
        <is>
          <t>{"causal_chain_plausible": false, "causal_chain_text": "La scena è completamente statica, priva di personale, mezzi in movimento o attività in corso. Non si riscontrano anomalie nello stoccaggio dei materiali o nella disposizione dei macchinari che possano innescare una catena causale d'incidente.", "near_miss_or_incident_scenario": "Nessun scenario di incidente o near miss è ipotizzabile sulla base degli elementi statici e conformi osservati.", "contributing_factors": []}</t>
        </is>
      </c>
      <c r="M32" s="7" t="n">
        <v>0</v>
      </c>
      <c r="N32" s="7" t="inlineStr">
        <is>
          <t>L'area è completamente deserta e priva di attività lavorative o mezzi in movimento. Non si rilevano comportamenti non conformi o anomalie nello stoccaggio, mantenendo il livello di rischio a zero.</t>
        </is>
      </c>
      <c r="O32" s="7" t="n">
        <v>12.35</v>
      </c>
      <c r="P32" s="11" t="inlineStr">
        <is>
          <t>verde</t>
        </is>
      </c>
      <c r="Q32" s="7" t="n">
        <v>1.2</v>
      </c>
      <c r="R32" s="7" t="n">
        <v>3.6</v>
      </c>
      <c r="S32" s="11" t="inlineStr">
        <is>
          <t>verde</t>
        </is>
      </c>
      <c r="T32" s="7" t="n">
        <v>1</v>
      </c>
      <c r="U32" s="7" t="inlineStr">
        <is>
          <t>La scena è completamente statica e priva di personale o mezzi di movimentazione in transito. Non si rilevano situazioni di rischio attive o comportamenti non conformi nei parametri analizzati (S1-S7).</t>
        </is>
      </c>
      <c r="V32" s="7" t="n">
        <v>0</v>
      </c>
      <c r="W32" s="7" t="n">
        <v>0</v>
      </c>
      <c r="X32" s="7" t="n">
        <v>0.1109</v>
      </c>
      <c r="Y32" s="7" t="n">
        <v>0</v>
      </c>
      <c r="Z32" s="7" t="n">
        <v>0</v>
      </c>
      <c r="AA32" s="7" t="n">
        <v>0</v>
      </c>
      <c r="AB32" s="7" t="n">
        <v>0</v>
      </c>
      <c r="AC32" s="7" t="n">
        <v>0.037</v>
      </c>
      <c r="AD32" s="7" t="n">
        <v>0</v>
      </c>
      <c r="AE32" s="7" t="n">
        <v>0</v>
      </c>
      <c r="AF32" s="7" t="n">
        <v>0</v>
      </c>
      <c r="AG32" s="7" t="n">
        <v>0.0293</v>
      </c>
      <c r="AH32" s="7" t="n">
        <v>0.0549</v>
      </c>
      <c r="AI32" s="7" t="n">
        <v>0.1609</v>
      </c>
      <c r="AJ32" s="7" t="n">
        <v>13.41</v>
      </c>
      <c r="AK32" s="7" t="n">
        <v>0</v>
      </c>
      <c r="AL32" s="7" t="n">
        <v>0.008200000000000001</v>
      </c>
      <c r="AM32" s="7" t="n">
        <v>0.1538</v>
      </c>
      <c r="AN32" s="7" t="n">
        <v>0.1261</v>
      </c>
      <c r="AO32" s="7" t="n">
        <v>10.51</v>
      </c>
      <c r="AP32" s="7" t="n">
        <v>0</v>
      </c>
      <c r="AQ32" s="7" t="n">
        <v>0</v>
      </c>
      <c r="AR32" s="7" t="n">
        <v>0.2228</v>
      </c>
      <c r="AS32" s="7" t="n">
        <v>0</v>
      </c>
      <c r="AT32" s="7" t="n">
        <v>0</v>
      </c>
      <c r="AU32" s="7" t="n">
        <v>0</v>
      </c>
      <c r="AV32" s="7" t="n">
        <v>0.0266</v>
      </c>
      <c r="AW32" s="7" t="n">
        <v>0.3447</v>
      </c>
      <c r="AX32" s="7" t="n">
        <v>0.9169</v>
      </c>
      <c r="AY32" s="7" t="n">
        <v>76.41</v>
      </c>
      <c r="AZ32" s="7" t="n">
        <v>0</v>
      </c>
      <c r="BA32" s="7" t="n">
        <v>0</v>
      </c>
      <c r="BB32" s="7" t="n">
        <v>0.0759</v>
      </c>
      <c r="BC32" s="7" t="n">
        <v>0</v>
      </c>
      <c r="BD32" s="7" t="n">
        <v>0</v>
      </c>
    </row>
    <row r="33" ht="34" customHeight="1">
      <c r="A33" s="7" t="n">
        <v>31</v>
      </c>
      <c r="B33" s="7" t="n">
        <v>62</v>
      </c>
      <c r="C33" s="7" t="n">
        <v>62.533</v>
      </c>
      <c r="D33" s="7" t="n">
        <v>0.533</v>
      </c>
      <c r="E33" s="7" t="inlineStr">
        <is>
          <t>{"analisi_scena": {"descrizione_generale": "La clip mostra un'area di produzione industriale con una grande pressa ad iniezione per materie plastiche in primo piano.", "contesto": "Stabilimento di stampaggio plastico, caratterizzato dalla presenza di macchinari industriali e prodotti finiti (pile di sedie in plastica colorate sullo sfondo).", "presenza_persone": "Nessun operatore o altra persona è visibile nell'inquadratura durante la finestra temporale selezionata.", "macchinari_presenti": [{"tipo": "Pressa ad iniezione per plastica", "marca": "MIR", "stato_osservabile": "Accesa, con il display del pannello di controllo attivo e illuminato. Non si notano movimenti macroscopici degli organi meccanici nella frazione di secondo analizzata."}], "oggetti_presenti": ["Sacchi bianchi contenenti probabilmente materia prima in granuli o scarti", "Pila di componenti plastici neri di forma cilindrica sulla sinistra", "Scatola bianca con un oggetto rosso/verde posizionato sopra in primo piano", "Sedie in plastica impilate (colori verde, rosso, blu) sullo sfondo"], "azioni_osservabili": "Nessuna azione umana o movimento meccanico evidente è rilevabile nel brevissimo intervallo temporale.", "condizioni_ambientali": "Illuminazione interna artificiale costante. L'area di lavoro attorno alla macchina appare parzialmente ingombra di materiali.", "limiti_visibilita": "La telecamera fissa (CAM04) inquadra la macchina lateralmente. La parte posteriore del macchinario e l'area retrostante i sacchi bianchi sono occluse alla vista.", "analisi_sicurezza": {"dpi_rilevati": "Non determinabili a causa dell'assenza di personale nel campo visivo.", "fattori_contribuenti_rischio": "Presenza di ostacoli fisici a terra (sacchi e scatole) posizionati molto vicino al corpo macchina e alle vie di passaggio, che riducono lo spazio operativo.", "sviluppi_rischiosi_plausibili": ["Rischio di inciampo e caduta a livello per gli operatori che si trovano a transitare o a lavorare nei pressi della macchina a causa del disordine a terra.", "Potenziale ostacolo all'accesso rapido ai comandi di emergenza o alle vie di fuga in caso di anomalie del macchinario."]}}}</t>
        </is>
      </c>
      <c r="F33" s="7" t="n">
        <v>25</v>
      </c>
      <c r="G33" s="7" t="inlineStr">
        <is>
          <t>Il punteggio riflette un rischio latente medio-basso. Non sono presenti operatori esposti a pericoli immediati né si registrano anomalie nel macchinario. Tuttavia, la presenza di ostacoli a terra (sacchi e scatole) in prossimità della pressa configura un rischio di inciampo e potenziale intralcio alle vie di fuga o ai comandi di emergenza.</t>
        </is>
      </c>
      <c r="H33" s="7" t="n">
        <v>28.83</v>
      </c>
      <c r="I33" s="10" t="inlineStr">
        <is>
          <t>giallo</t>
        </is>
      </c>
      <c r="J33" s="7" t="inlineStr">
        <is>
          <t>{"scene_state": "Ambiente industriale interno, reparto stampaggio materie plastiche, statico e senza operatori visibili.", "environmental_conditions": ["Illuminazione artificiale interna", "Ambiente di lavoro coperto"], "people": [], "objects": ["Sedie in plastica colorate impilate", "Sacchi bianchi di materiale", "Bobina di tubo nero", "Scatola bianca"], "machines": ["Pressa ad iniezione industriale MIR arancione e beige con schermo di controllo attivo"], "observable_actions": [], "visible_ppe": [], "notes_visibility_limitations": "Inquadratura fissa. La visuale è limitata ai macchinari e alle attrezzature nel raggio visivo della telecamera."}</t>
        </is>
      </c>
      <c r="K33" s="7" t="inlineStr">
        <is>
          <t>{"unsafe_behaviors": [], "vulnerable_elements": [], "risk_cues": {"S1_people_vehicle_interference": 0.0, "S2_visibility_attention_reduction": 0.0, "S3_non_compliant_behavior": 0.0, "S4_vehicle_infrastructure_interference": 0.0, "S5_storage_structural_instability": 0.0, "S6_access_to_moving_mechanical_parts": 0.0, "S7_manual_handling_heavy_unstable_loads": 0.0}, "cue_confidence": 0.95, "diagnostic_notes": "La scena si presenta completamente statica e priva di personale o mezzi di movimentazione in transito. Non si rilevano situazioni di rischio attive o comportamenti non conformi nelle categorie analizzate."}</t>
        </is>
      </c>
      <c r="L33" s="7" t="inlineStr">
        <is>
          <t>{"causal_chain_plausible": false, "causal_chain_text": "Non si rileva alcuna catena causale plausibile. La scena è completamente statica, priva di personale e non mostra elementi di pericolo o anomalie strutturali o operative nei macchinari e nei materiali stoccati.", "near_miss_or_incident_scenario": "Nessun near miss o incidente è prevedibile sulla base degli elementi visivi descritti, che mostrano un ambiente in stato di sicurezza e momentanea inattività.", "contributing_factors": []}</t>
        </is>
      </c>
      <c r="M33" s="7" t="n">
        <v>0</v>
      </c>
      <c r="N33" s="7" t="inlineStr">
        <is>
          <t>La scena è completamente statica, priva di personale e di mezzi in movimento, con i macchinari in stato di sicurezza. Non si rileva alcuna situazione di pericolo o comportamento non conforme, giustificando un livello di rischio nullo.</t>
        </is>
      </c>
      <c r="O33" s="7" t="n">
        <v>4.94</v>
      </c>
      <c r="P33" s="11" t="inlineStr">
        <is>
          <t>verde</t>
        </is>
      </c>
      <c r="Q33" s="7" t="n">
        <v>1.2</v>
      </c>
      <c r="R33" s="7" t="n">
        <v>2.16</v>
      </c>
      <c r="S33" s="11" t="inlineStr">
        <is>
          <t>verde</t>
        </is>
      </c>
      <c r="T33" s="7" t="n">
        <v>0.95</v>
      </c>
      <c r="U33" s="7" t="inlineStr">
        <is>
          <t>La scena si presenta completamente statica e priva di personale o mezzi di movimentazione in transito. Non si rilevano situazioni di rischio attive o comportamenti non conformi nelle categorie analizzate.</t>
        </is>
      </c>
      <c r="V33" s="7" t="n">
        <v>0</v>
      </c>
      <c r="W33" s="7" t="n">
        <v>0</v>
      </c>
      <c r="X33" s="7" t="n">
        <v>0.1109</v>
      </c>
      <c r="Y33" s="7" t="n">
        <v>0</v>
      </c>
      <c r="Z33" s="7" t="n">
        <v>0</v>
      </c>
      <c r="AA33" s="7" t="n">
        <v>0</v>
      </c>
      <c r="AB33" s="7" t="n">
        <v>0</v>
      </c>
      <c r="AC33" s="7" t="n">
        <v>0.037</v>
      </c>
      <c r="AD33" s="7" t="n">
        <v>0</v>
      </c>
      <c r="AE33" s="7" t="n">
        <v>0</v>
      </c>
      <c r="AF33" s="7" t="n">
        <v>0</v>
      </c>
      <c r="AG33" s="7" t="n">
        <v>0.0293</v>
      </c>
      <c r="AH33" s="7" t="n">
        <v>0.0549</v>
      </c>
      <c r="AI33" s="7" t="n">
        <v>0.1609</v>
      </c>
      <c r="AJ33" s="7" t="n">
        <v>13.41</v>
      </c>
      <c r="AK33" s="7" t="n">
        <v>0</v>
      </c>
      <c r="AL33" s="7" t="n">
        <v>0.008200000000000001</v>
      </c>
      <c r="AM33" s="7" t="n">
        <v>0.1538</v>
      </c>
      <c r="AN33" s="7" t="n">
        <v>0.1261</v>
      </c>
      <c r="AO33" s="7" t="n">
        <v>10.51</v>
      </c>
      <c r="AP33" s="7" t="n">
        <v>0</v>
      </c>
      <c r="AQ33" s="7" t="n">
        <v>0</v>
      </c>
      <c r="AR33" s="7" t="n">
        <v>0.2228</v>
      </c>
      <c r="AS33" s="7" t="n">
        <v>0</v>
      </c>
      <c r="AT33" s="7" t="n">
        <v>0</v>
      </c>
      <c r="AU33" s="7" t="n">
        <v>0</v>
      </c>
      <c r="AV33" s="7" t="n">
        <v>0.0266</v>
      </c>
      <c r="AW33" s="7" t="n">
        <v>0.3447</v>
      </c>
      <c r="AX33" s="7" t="n">
        <v>0.9169</v>
      </c>
      <c r="AY33" s="7" t="n">
        <v>76.41</v>
      </c>
      <c r="AZ33" s="7" t="n">
        <v>0</v>
      </c>
      <c r="BA33" s="7" t="n">
        <v>0</v>
      </c>
      <c r="BB33" s="7" t="n">
        <v>0.0759</v>
      </c>
      <c r="BC33" s="7" t="n">
        <v>0</v>
      </c>
      <c r="BD33" s="7" t="n">
        <v>0</v>
      </c>
    </row>
  </sheetData>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W33"/>
  <sheetViews>
    <sheetView showGridLines="1" zoomScale="80" workbookViewId="0">
      <pane ySplit="1" topLeftCell="A2" activePane="bottomLeft" state="frozen"/>
      <selection pane="bottomLeft" activeCell="A1" sqref="A1"/>
    </sheetView>
  </sheetViews>
  <sheetFormatPr baseColWidth="8" defaultRowHeight="15"/>
  <cols>
    <col width="6" customWidth="1" min="1" max="1"/>
    <col width="7" customWidth="1" min="2" max="2"/>
    <col width="7" customWidth="1" min="3" max="3"/>
    <col width="8" customWidth="1" min="4" max="4"/>
    <col width="8" customWidth="1" min="5" max="5"/>
    <col width="8" customWidth="1" min="6" max="6"/>
    <col width="8" customWidth="1" min="7" max="7"/>
    <col width="8" customWidth="1" min="8" max="8"/>
    <col width="8" customWidth="1" min="9" max="9"/>
    <col width="7" customWidth="1" min="10" max="10"/>
    <col width="7" customWidth="1" min="11" max="11"/>
    <col width="7" customWidth="1" min="12" max="12"/>
    <col width="8" customWidth="1" min="13" max="13"/>
    <col width="8" customWidth="1" min="14" max="14"/>
    <col width="8" customWidth="1" min="15" max="15"/>
    <col width="8" customWidth="1" min="16" max="16"/>
    <col width="8" customWidth="1" min="17" max="17"/>
    <col width="8" customWidth="1" min="18" max="18"/>
    <col width="10" customWidth="1" min="19" max="19"/>
    <col width="10" customWidth="1" min="20" max="20"/>
    <col width="10" customWidth="1" min="21" max="21"/>
    <col width="11" customWidth="1" min="22" max="22"/>
    <col width="9" customWidth="1" min="23" max="23"/>
  </cols>
  <sheetData>
    <row r="1" ht="16" customHeight="1">
      <c r="A1" s="2" t="inlineStr">
        <is>
          <t>window_id</t>
        </is>
      </c>
      <c r="B1" s="2" t="inlineStr">
        <is>
          <t>start_time_s</t>
        </is>
      </c>
      <c r="C1" s="2" t="inlineStr">
        <is>
          <t>end_time_s</t>
        </is>
      </c>
      <c r="D1" s="3" t="inlineStr">
        <is>
          <t>instantaneous_risk_score_vlm_free</t>
        </is>
      </c>
      <c r="E1" s="4" t="inlineStr">
        <is>
          <t>instantaneous_risk_score_vlm</t>
        </is>
      </c>
      <c r="F1" s="5" t="inlineStr">
        <is>
          <t>instantaneous_risk_score_ahp</t>
        </is>
      </c>
      <c r="G1" s="3" t="inlineStr">
        <is>
          <t>dynamic_risk_score_vlm_free</t>
        </is>
      </c>
      <c r="H1" s="4" t="inlineStr">
        <is>
          <t>dynamic_risk_score_vlm</t>
        </is>
      </c>
      <c r="I1" s="5" t="inlineStr">
        <is>
          <t>dynamic_risk_score_ahp</t>
        </is>
      </c>
      <c r="J1" s="3" t="inlineStr">
        <is>
          <t>traffic_light_color_vlm_free</t>
        </is>
      </c>
      <c r="K1" s="4" t="inlineStr">
        <is>
          <t>traffic_light_color_vlm</t>
        </is>
      </c>
      <c r="L1" s="5" t="inlineStr">
        <is>
          <t>traffic_light_color_ahp</t>
        </is>
      </c>
      <c r="M1" s="12" t="inlineStr">
        <is>
          <t>diff_inst_free_vs_guided</t>
        </is>
      </c>
      <c r="N1" s="12" t="inlineStr">
        <is>
          <t>diff_inst_free_vs_ahp</t>
        </is>
      </c>
      <c r="O1" s="12" t="inlineStr">
        <is>
          <t>diff_inst_guided_vs_ahp</t>
        </is>
      </c>
      <c r="P1" s="12" t="inlineStr">
        <is>
          <t>diff_dyn_free_vs_guided</t>
        </is>
      </c>
      <c r="Q1" s="12" t="inlineStr">
        <is>
          <t>diff_dyn_free_vs_ahp</t>
        </is>
      </c>
      <c r="R1" s="12" t="inlineStr">
        <is>
          <t>diff_dyn_guided_vs_ahp</t>
        </is>
      </c>
      <c r="S1" s="13" t="inlineStr">
        <is>
          <t>traffic_light_agreement_free_guided</t>
        </is>
      </c>
      <c r="T1" s="13" t="inlineStr">
        <is>
          <t>traffic_light_agreement_free_ahp</t>
        </is>
      </c>
      <c r="U1" s="13" t="inlineStr">
        <is>
          <t>traffic_light_agreement_guided_ahp</t>
        </is>
      </c>
      <c r="V1" s="13" t="inlineStr">
        <is>
          <t>three_way_traffic_agreement</t>
        </is>
      </c>
      <c r="W1" s="14" t="inlineStr">
        <is>
          <t>mean_dynamic_score_3_branches</t>
        </is>
      </c>
    </row>
    <row r="2" ht="34" customHeight="1">
      <c r="A2" s="7" t="n">
        <v>0</v>
      </c>
      <c r="B2" s="7" t="n">
        <v>0</v>
      </c>
      <c r="C2" s="7" t="n">
        <v>4</v>
      </c>
      <c r="D2" s="7" t="n">
        <v>85</v>
      </c>
      <c r="E2" s="7" t="n">
        <v>55</v>
      </c>
      <c r="F2" s="7" t="n">
        <v>35.26</v>
      </c>
      <c r="G2" s="7" t="n">
        <v>85</v>
      </c>
      <c r="H2" s="7" t="n">
        <v>55</v>
      </c>
      <c r="I2" s="7" t="n">
        <v>35.26</v>
      </c>
      <c r="J2" s="8" t="inlineStr">
        <is>
          <t>rosso</t>
        </is>
      </c>
      <c r="K2" s="9" t="inlineStr">
        <is>
          <t>arancione</t>
        </is>
      </c>
      <c r="L2" s="10" t="inlineStr">
        <is>
          <t>giallo</t>
        </is>
      </c>
      <c r="M2" s="7" t="n">
        <v>30</v>
      </c>
      <c r="N2" s="7" t="n">
        <v>49.74</v>
      </c>
      <c r="O2" s="7" t="n">
        <v>19.74</v>
      </c>
      <c r="P2" s="7" t="n">
        <v>30</v>
      </c>
      <c r="Q2" s="7" t="n">
        <v>49.74</v>
      </c>
      <c r="R2" s="7" t="n">
        <v>19.74</v>
      </c>
      <c r="S2" s="8" t="inlineStr">
        <is>
          <t>disaccordo</t>
        </is>
      </c>
      <c r="T2" s="8" t="inlineStr">
        <is>
          <t>disaccordo</t>
        </is>
      </c>
      <c r="U2" s="8" t="inlineStr">
        <is>
          <t>disaccordo</t>
        </is>
      </c>
      <c r="V2" s="8" t="inlineStr">
        <is>
          <t>disaccordo</t>
        </is>
      </c>
      <c r="W2" s="7" t="n">
        <v>58.42</v>
      </c>
    </row>
    <row r="3" ht="34" customHeight="1">
      <c r="A3" s="7" t="n">
        <v>1</v>
      </c>
      <c r="B3" s="7" t="n">
        <v>2</v>
      </c>
      <c r="C3" s="7" t="n">
        <v>6</v>
      </c>
      <c r="D3" s="7" t="n">
        <v>95</v>
      </c>
      <c r="E3" s="7" t="n">
        <v>85</v>
      </c>
      <c r="F3" s="7" t="n">
        <v>41.89</v>
      </c>
      <c r="G3" s="7" t="n">
        <v>93.5</v>
      </c>
      <c r="H3" s="7" t="n">
        <v>80.5</v>
      </c>
      <c r="I3" s="7" t="n">
        <v>40.9</v>
      </c>
      <c r="J3" s="8" t="inlineStr">
        <is>
          <t>rosso</t>
        </is>
      </c>
      <c r="K3" s="8" t="inlineStr">
        <is>
          <t>rosso</t>
        </is>
      </c>
      <c r="L3" s="10" t="inlineStr">
        <is>
          <t>giallo</t>
        </is>
      </c>
      <c r="M3" s="7" t="n">
        <v>10</v>
      </c>
      <c r="N3" s="7" t="n">
        <v>53.11</v>
      </c>
      <c r="O3" s="7" t="n">
        <v>43.11</v>
      </c>
      <c r="P3" s="7" t="n">
        <v>13</v>
      </c>
      <c r="Q3" s="7" t="n">
        <v>52.6</v>
      </c>
      <c r="R3" s="7" t="n">
        <v>39.6</v>
      </c>
      <c r="S3" s="11" t="inlineStr">
        <is>
          <t>accordo</t>
        </is>
      </c>
      <c r="T3" s="8" t="inlineStr">
        <is>
          <t>disaccordo</t>
        </is>
      </c>
      <c r="U3" s="8" t="inlineStr">
        <is>
          <t>disaccordo</t>
        </is>
      </c>
      <c r="V3" s="8" t="inlineStr">
        <is>
          <t>disaccordo</t>
        </is>
      </c>
      <c r="W3" s="7" t="n">
        <v>71.63</v>
      </c>
    </row>
    <row r="4" ht="34" customHeight="1">
      <c r="A4" s="7" t="n">
        <v>2</v>
      </c>
      <c r="B4" s="7" t="n">
        <v>4</v>
      </c>
      <c r="C4" s="7" t="n">
        <v>8</v>
      </c>
      <c r="D4" s="7" t="n">
        <v>85</v>
      </c>
      <c r="E4" s="7" t="n">
        <v>75</v>
      </c>
      <c r="F4" s="7" t="n">
        <v>41.89</v>
      </c>
      <c r="G4" s="7" t="n">
        <v>88.40000000000001</v>
      </c>
      <c r="H4" s="7" t="n">
        <v>77.2</v>
      </c>
      <c r="I4" s="7" t="n">
        <v>41.49</v>
      </c>
      <c r="J4" s="8" t="inlineStr">
        <is>
          <t>rosso</t>
        </is>
      </c>
      <c r="K4" s="8" t="inlineStr">
        <is>
          <t>rosso</t>
        </is>
      </c>
      <c r="L4" s="10" t="inlineStr">
        <is>
          <t>giallo</t>
        </is>
      </c>
      <c r="M4" s="7" t="n">
        <v>10</v>
      </c>
      <c r="N4" s="7" t="n">
        <v>43.11</v>
      </c>
      <c r="O4" s="7" t="n">
        <v>33.11</v>
      </c>
      <c r="P4" s="7" t="n">
        <v>11.2</v>
      </c>
      <c r="Q4" s="7" t="n">
        <v>46.91</v>
      </c>
      <c r="R4" s="7" t="n">
        <v>35.71</v>
      </c>
      <c r="S4" s="11" t="inlineStr">
        <is>
          <t>accordo</t>
        </is>
      </c>
      <c r="T4" s="8" t="inlineStr">
        <is>
          <t>disaccordo</t>
        </is>
      </c>
      <c r="U4" s="8" t="inlineStr">
        <is>
          <t>disaccordo</t>
        </is>
      </c>
      <c r="V4" s="8" t="inlineStr">
        <is>
          <t>disaccordo</t>
        </is>
      </c>
      <c r="W4" s="7" t="n">
        <v>69.03</v>
      </c>
    </row>
    <row r="5" ht="34" customHeight="1">
      <c r="A5" s="7" t="n">
        <v>3</v>
      </c>
      <c r="B5" s="7" t="n">
        <v>6</v>
      </c>
      <c r="C5" s="7" t="n">
        <v>10</v>
      </c>
      <c r="D5" s="7" t="n">
        <v>55</v>
      </c>
      <c r="E5" s="7" t="n">
        <v>55</v>
      </c>
      <c r="F5" s="7" t="n">
        <v>38.27</v>
      </c>
      <c r="G5" s="7" t="n">
        <v>68.36</v>
      </c>
      <c r="H5" s="7" t="n">
        <v>63.88</v>
      </c>
      <c r="I5" s="7" t="n">
        <v>39.56</v>
      </c>
      <c r="J5" s="9" t="inlineStr">
        <is>
          <t>arancione</t>
        </is>
      </c>
      <c r="K5" s="9" t="inlineStr">
        <is>
          <t>arancione</t>
        </is>
      </c>
      <c r="L5" s="10" t="inlineStr">
        <is>
          <t>giallo</t>
        </is>
      </c>
      <c r="M5" s="7" t="n">
        <v>0</v>
      </c>
      <c r="N5" s="7" t="n">
        <v>16.73</v>
      </c>
      <c r="O5" s="7" t="n">
        <v>16.73</v>
      </c>
      <c r="P5" s="7" t="n">
        <v>4.48</v>
      </c>
      <c r="Q5" s="7" t="n">
        <v>28.8</v>
      </c>
      <c r="R5" s="7" t="n">
        <v>24.32</v>
      </c>
      <c r="S5" s="11" t="inlineStr">
        <is>
          <t>accordo</t>
        </is>
      </c>
      <c r="T5" s="8" t="inlineStr">
        <is>
          <t>disaccordo</t>
        </is>
      </c>
      <c r="U5" s="8" t="inlineStr">
        <is>
          <t>disaccordo</t>
        </is>
      </c>
      <c r="V5" s="8" t="inlineStr">
        <is>
          <t>disaccordo</t>
        </is>
      </c>
      <c r="W5" s="7" t="n">
        <v>57.27</v>
      </c>
    </row>
    <row r="6" ht="34" customHeight="1">
      <c r="A6" s="7" t="n">
        <v>4</v>
      </c>
      <c r="B6" s="7" t="n">
        <v>8</v>
      </c>
      <c r="C6" s="7" t="n">
        <v>12</v>
      </c>
      <c r="D6" s="7" t="n">
        <v>75</v>
      </c>
      <c r="E6" s="7" t="n">
        <v>35</v>
      </c>
      <c r="F6" s="7" t="n">
        <v>15.87</v>
      </c>
      <c r="G6" s="7" t="n">
        <v>77.34</v>
      </c>
      <c r="H6" s="7" t="n">
        <v>46.55</v>
      </c>
      <c r="I6" s="7" t="n">
        <v>25.35</v>
      </c>
      <c r="J6" s="8" t="inlineStr">
        <is>
          <t>rosso</t>
        </is>
      </c>
      <c r="K6" s="10" t="inlineStr">
        <is>
          <t>giallo</t>
        </is>
      </c>
      <c r="L6" s="10" t="inlineStr">
        <is>
          <t>giallo</t>
        </is>
      </c>
      <c r="M6" s="7" t="n">
        <v>40</v>
      </c>
      <c r="N6" s="7" t="n">
        <v>59.13</v>
      </c>
      <c r="O6" s="7" t="n">
        <v>19.13</v>
      </c>
      <c r="P6" s="7" t="n">
        <v>30.79</v>
      </c>
      <c r="Q6" s="7" t="n">
        <v>51.99</v>
      </c>
      <c r="R6" s="7" t="n">
        <v>21.2</v>
      </c>
      <c r="S6" s="8" t="inlineStr">
        <is>
          <t>disaccordo</t>
        </is>
      </c>
      <c r="T6" s="8" t="inlineStr">
        <is>
          <t>disaccordo</t>
        </is>
      </c>
      <c r="U6" s="11" t="inlineStr">
        <is>
          <t>accordo</t>
        </is>
      </c>
      <c r="V6" s="8" t="inlineStr">
        <is>
          <t>disaccordo</t>
        </is>
      </c>
      <c r="W6" s="7" t="n">
        <v>49.75</v>
      </c>
    </row>
    <row r="7" ht="34" customHeight="1">
      <c r="A7" s="7" t="n">
        <v>5</v>
      </c>
      <c r="B7" s="7" t="n">
        <v>10</v>
      </c>
      <c r="C7" s="7" t="n">
        <v>14</v>
      </c>
      <c r="D7" s="7" t="n">
        <v>65</v>
      </c>
      <c r="E7" s="7" t="n">
        <v>65</v>
      </c>
      <c r="F7" s="7" t="n">
        <v>40.4</v>
      </c>
      <c r="G7" s="7" t="n">
        <v>69.94</v>
      </c>
      <c r="H7" s="7" t="n">
        <v>65.12</v>
      </c>
      <c r="I7" s="7" t="n">
        <v>40.51</v>
      </c>
      <c r="J7" s="9" t="inlineStr">
        <is>
          <t>arancione</t>
        </is>
      </c>
      <c r="K7" s="9" t="inlineStr">
        <is>
          <t>arancione</t>
        </is>
      </c>
      <c r="L7" s="10" t="inlineStr">
        <is>
          <t>giallo</t>
        </is>
      </c>
      <c r="M7" s="7" t="n">
        <v>0</v>
      </c>
      <c r="N7" s="7" t="n">
        <v>24.6</v>
      </c>
      <c r="O7" s="7" t="n">
        <v>24.6</v>
      </c>
      <c r="P7" s="7" t="n">
        <v>4.82</v>
      </c>
      <c r="Q7" s="7" t="n">
        <v>29.43</v>
      </c>
      <c r="R7" s="7" t="n">
        <v>24.61</v>
      </c>
      <c r="S7" s="11" t="inlineStr">
        <is>
          <t>accordo</t>
        </is>
      </c>
      <c r="T7" s="8" t="inlineStr">
        <is>
          <t>disaccordo</t>
        </is>
      </c>
      <c r="U7" s="8" t="inlineStr">
        <is>
          <t>disaccordo</t>
        </is>
      </c>
      <c r="V7" s="8" t="inlineStr">
        <is>
          <t>disaccordo</t>
        </is>
      </c>
      <c r="W7" s="7" t="n">
        <v>58.52</v>
      </c>
    </row>
    <row r="8" ht="34" customHeight="1">
      <c r="A8" s="7" t="n">
        <v>6</v>
      </c>
      <c r="B8" s="7" t="n">
        <v>12</v>
      </c>
      <c r="C8" s="7" t="n">
        <v>16</v>
      </c>
      <c r="D8" s="7" t="n">
        <v>65</v>
      </c>
      <c r="E8" s="7" t="n">
        <v>35</v>
      </c>
      <c r="F8" s="7" t="n">
        <v>19.68</v>
      </c>
      <c r="G8" s="7" t="n">
        <v>66.98</v>
      </c>
      <c r="H8" s="7" t="n">
        <v>47.05</v>
      </c>
      <c r="I8" s="7" t="n">
        <v>28.01</v>
      </c>
      <c r="J8" s="9" t="inlineStr">
        <is>
          <t>arancione</t>
        </is>
      </c>
      <c r="K8" s="10" t="inlineStr">
        <is>
          <t>giallo</t>
        </is>
      </c>
      <c r="L8" s="10" t="inlineStr">
        <is>
          <t>giallo</t>
        </is>
      </c>
      <c r="M8" s="7" t="n">
        <v>30</v>
      </c>
      <c r="N8" s="7" t="n">
        <v>45.32</v>
      </c>
      <c r="O8" s="7" t="n">
        <v>15.32</v>
      </c>
      <c r="P8" s="7" t="n">
        <v>19.93</v>
      </c>
      <c r="Q8" s="7" t="n">
        <v>38.97</v>
      </c>
      <c r="R8" s="7" t="n">
        <v>19.04</v>
      </c>
      <c r="S8" s="8" t="inlineStr">
        <is>
          <t>disaccordo</t>
        </is>
      </c>
      <c r="T8" s="8" t="inlineStr">
        <is>
          <t>disaccordo</t>
        </is>
      </c>
      <c r="U8" s="11" t="inlineStr">
        <is>
          <t>accordo</t>
        </is>
      </c>
      <c r="V8" s="8" t="inlineStr">
        <is>
          <t>disaccordo</t>
        </is>
      </c>
      <c r="W8" s="7" t="n">
        <v>47.35</v>
      </c>
    </row>
    <row r="9" ht="34" customHeight="1">
      <c r="A9" s="7" t="n">
        <v>7</v>
      </c>
      <c r="B9" s="7" t="n">
        <v>14</v>
      </c>
      <c r="C9" s="7" t="n">
        <v>18</v>
      </c>
      <c r="D9" s="7" t="n">
        <v>35</v>
      </c>
      <c r="E9" s="7" t="n">
        <v>10</v>
      </c>
      <c r="F9" s="7" t="n">
        <v>3.26</v>
      </c>
      <c r="G9" s="7" t="n">
        <v>47.79</v>
      </c>
      <c r="H9" s="7" t="n">
        <v>24.82</v>
      </c>
      <c r="I9" s="7" t="n">
        <v>13.16</v>
      </c>
      <c r="J9" s="10" t="inlineStr">
        <is>
          <t>giallo</t>
        </is>
      </c>
      <c r="K9" s="10" t="inlineStr">
        <is>
          <t>giallo</t>
        </is>
      </c>
      <c r="L9" s="11" t="inlineStr">
        <is>
          <t>verde</t>
        </is>
      </c>
      <c r="M9" s="7" t="n">
        <v>25</v>
      </c>
      <c r="N9" s="7" t="n">
        <v>31.74</v>
      </c>
      <c r="O9" s="7" t="n">
        <v>6.74</v>
      </c>
      <c r="P9" s="7" t="n">
        <v>22.97</v>
      </c>
      <c r="Q9" s="7" t="n">
        <v>34.63</v>
      </c>
      <c r="R9" s="7" t="n">
        <v>11.66</v>
      </c>
      <c r="S9" s="11" t="inlineStr">
        <is>
          <t>accordo</t>
        </is>
      </c>
      <c r="T9" s="8" t="inlineStr">
        <is>
          <t>disaccordo</t>
        </is>
      </c>
      <c r="U9" s="8" t="inlineStr">
        <is>
          <t>disaccordo</t>
        </is>
      </c>
      <c r="V9" s="8" t="inlineStr">
        <is>
          <t>disaccordo</t>
        </is>
      </c>
      <c r="W9" s="7" t="n">
        <v>28.59</v>
      </c>
    </row>
    <row r="10" ht="34" customHeight="1">
      <c r="A10" s="7" t="n">
        <v>8</v>
      </c>
      <c r="B10" s="7" t="n">
        <v>16</v>
      </c>
      <c r="C10" s="7" t="n">
        <v>20</v>
      </c>
      <c r="D10" s="7" t="n">
        <v>40</v>
      </c>
      <c r="E10" s="7" t="n">
        <v>25</v>
      </c>
      <c r="F10" s="7" t="n">
        <v>4.57</v>
      </c>
      <c r="G10" s="7" t="n">
        <v>44.37</v>
      </c>
      <c r="H10" s="7" t="n">
        <v>28.68</v>
      </c>
      <c r="I10" s="7" t="n">
        <v>8.33</v>
      </c>
      <c r="J10" s="10" t="inlineStr">
        <is>
          <t>giallo</t>
        </is>
      </c>
      <c r="K10" s="10" t="inlineStr">
        <is>
          <t>giallo</t>
        </is>
      </c>
      <c r="L10" s="11" t="inlineStr">
        <is>
          <t>verde</t>
        </is>
      </c>
      <c r="M10" s="7" t="n">
        <v>15</v>
      </c>
      <c r="N10" s="7" t="n">
        <v>35.43</v>
      </c>
      <c r="O10" s="7" t="n">
        <v>20.43</v>
      </c>
      <c r="P10" s="7" t="n">
        <v>15.69</v>
      </c>
      <c r="Q10" s="7" t="n">
        <v>36.04</v>
      </c>
      <c r="R10" s="7" t="n">
        <v>20.35</v>
      </c>
      <c r="S10" s="11" t="inlineStr">
        <is>
          <t>accordo</t>
        </is>
      </c>
      <c r="T10" s="8" t="inlineStr">
        <is>
          <t>disaccordo</t>
        </is>
      </c>
      <c r="U10" s="8" t="inlineStr">
        <is>
          <t>disaccordo</t>
        </is>
      </c>
      <c r="V10" s="8" t="inlineStr">
        <is>
          <t>disaccordo</t>
        </is>
      </c>
      <c r="W10" s="7" t="n">
        <v>27.13</v>
      </c>
    </row>
    <row r="11" ht="34" customHeight="1">
      <c r="A11" s="7" t="n">
        <v>9</v>
      </c>
      <c r="B11" s="7" t="n">
        <v>18</v>
      </c>
      <c r="C11" s="7" t="n">
        <v>22</v>
      </c>
      <c r="D11" s="7" t="n">
        <v>50</v>
      </c>
      <c r="E11" s="7" t="n">
        <v>15</v>
      </c>
      <c r="F11" s="7" t="n">
        <v>3.26</v>
      </c>
      <c r="G11" s="7" t="n">
        <v>50.25</v>
      </c>
      <c r="H11" s="7" t="n">
        <v>20.47</v>
      </c>
      <c r="I11" s="7" t="n">
        <v>5.29</v>
      </c>
      <c r="J11" s="9" t="inlineStr">
        <is>
          <t>arancione</t>
        </is>
      </c>
      <c r="K11" s="11" t="inlineStr">
        <is>
          <t>verde</t>
        </is>
      </c>
      <c r="L11" s="11" t="inlineStr">
        <is>
          <t>verde</t>
        </is>
      </c>
      <c r="M11" s="7" t="n">
        <v>35</v>
      </c>
      <c r="N11" s="7" t="n">
        <v>46.74</v>
      </c>
      <c r="O11" s="7" t="n">
        <v>11.74</v>
      </c>
      <c r="P11" s="7" t="n">
        <v>29.78</v>
      </c>
      <c r="Q11" s="7" t="n">
        <v>44.96</v>
      </c>
      <c r="R11" s="7" t="n">
        <v>15.18</v>
      </c>
      <c r="S11" s="8" t="inlineStr">
        <is>
          <t>disaccordo</t>
        </is>
      </c>
      <c r="T11" s="8" t="inlineStr">
        <is>
          <t>disaccordo</t>
        </is>
      </c>
      <c r="U11" s="11" t="inlineStr">
        <is>
          <t>accordo</t>
        </is>
      </c>
      <c r="V11" s="8" t="inlineStr">
        <is>
          <t>disaccordo</t>
        </is>
      </c>
      <c r="W11" s="7" t="n">
        <v>25.34</v>
      </c>
    </row>
    <row r="12" ht="34" customHeight="1">
      <c r="A12" s="7" t="n">
        <v>10</v>
      </c>
      <c r="B12" s="7" t="n">
        <v>20</v>
      </c>
      <c r="C12" s="7" t="n">
        <v>24</v>
      </c>
      <c r="D12" s="7" t="n">
        <v>35</v>
      </c>
      <c r="E12" s="7" t="n">
        <v>15</v>
      </c>
      <c r="F12" s="7" t="n">
        <v>14.55</v>
      </c>
      <c r="G12" s="7" t="n">
        <v>41.1</v>
      </c>
      <c r="H12" s="7" t="n">
        <v>17.19</v>
      </c>
      <c r="I12" s="7" t="n">
        <v>13.67</v>
      </c>
      <c r="J12" s="10" t="inlineStr">
        <is>
          <t>giallo</t>
        </is>
      </c>
      <c r="K12" s="11" t="inlineStr">
        <is>
          <t>verde</t>
        </is>
      </c>
      <c r="L12" s="11" t="inlineStr">
        <is>
          <t>verde</t>
        </is>
      </c>
      <c r="M12" s="7" t="n">
        <v>20</v>
      </c>
      <c r="N12" s="7" t="n">
        <v>20.45</v>
      </c>
      <c r="O12" s="7" t="n">
        <v>0.45</v>
      </c>
      <c r="P12" s="7" t="n">
        <v>23.91</v>
      </c>
      <c r="Q12" s="7" t="n">
        <v>27.43</v>
      </c>
      <c r="R12" s="7" t="n">
        <v>3.52</v>
      </c>
      <c r="S12" s="8" t="inlineStr">
        <is>
          <t>disaccordo</t>
        </is>
      </c>
      <c r="T12" s="8" t="inlineStr">
        <is>
          <t>disaccordo</t>
        </is>
      </c>
      <c r="U12" s="11" t="inlineStr">
        <is>
          <t>accordo</t>
        </is>
      </c>
      <c r="V12" s="8" t="inlineStr">
        <is>
          <t>disaccordo</t>
        </is>
      </c>
      <c r="W12" s="7" t="n">
        <v>23.99</v>
      </c>
    </row>
    <row r="13" ht="34" customHeight="1">
      <c r="A13" s="7" t="n">
        <v>11</v>
      </c>
      <c r="B13" s="7" t="n">
        <v>22</v>
      </c>
      <c r="C13" s="7" t="n">
        <v>26</v>
      </c>
      <c r="D13" s="7" t="n">
        <v>90</v>
      </c>
      <c r="E13" s="7" t="n">
        <v>20</v>
      </c>
      <c r="F13" s="7" t="n">
        <v>14.55</v>
      </c>
      <c r="G13" s="7" t="n">
        <v>84.19</v>
      </c>
      <c r="H13" s="7" t="n">
        <v>20.13</v>
      </c>
      <c r="I13" s="7" t="n">
        <v>14.2</v>
      </c>
      <c r="J13" s="8" t="inlineStr">
        <is>
          <t>rosso</t>
        </is>
      </c>
      <c r="K13" s="11" t="inlineStr">
        <is>
          <t>verde</t>
        </is>
      </c>
      <c r="L13" s="11" t="inlineStr">
        <is>
          <t>verde</t>
        </is>
      </c>
      <c r="M13" s="7" t="n">
        <v>70</v>
      </c>
      <c r="N13" s="7" t="n">
        <v>75.45</v>
      </c>
      <c r="O13" s="7" t="n">
        <v>5.45</v>
      </c>
      <c r="P13" s="7" t="n">
        <v>64.06</v>
      </c>
      <c r="Q13" s="7" t="n">
        <v>69.98999999999999</v>
      </c>
      <c r="R13" s="7" t="n">
        <v>5.93</v>
      </c>
      <c r="S13" s="8" t="inlineStr">
        <is>
          <t>disaccordo</t>
        </is>
      </c>
      <c r="T13" s="8" t="inlineStr">
        <is>
          <t>disaccordo</t>
        </is>
      </c>
      <c r="U13" s="11" t="inlineStr">
        <is>
          <t>accordo</t>
        </is>
      </c>
      <c r="V13" s="8" t="inlineStr">
        <is>
          <t>disaccordo</t>
        </is>
      </c>
      <c r="W13" s="7" t="n">
        <v>39.51</v>
      </c>
    </row>
    <row r="14" ht="34" customHeight="1">
      <c r="A14" s="7" t="n">
        <v>12</v>
      </c>
      <c r="B14" s="7" t="n">
        <v>24</v>
      </c>
      <c r="C14" s="7" t="n">
        <v>28</v>
      </c>
      <c r="D14" s="7" t="n">
        <v>60</v>
      </c>
      <c r="E14" s="7" t="n">
        <v>30</v>
      </c>
      <c r="F14" s="7" t="n">
        <v>14.55</v>
      </c>
      <c r="G14" s="7" t="n">
        <v>69.68000000000001</v>
      </c>
      <c r="H14" s="7" t="n">
        <v>28.55</v>
      </c>
      <c r="I14" s="7" t="n">
        <v>14.41</v>
      </c>
      <c r="J14" s="9" t="inlineStr">
        <is>
          <t>arancione</t>
        </is>
      </c>
      <c r="K14" s="10" t="inlineStr">
        <is>
          <t>giallo</t>
        </is>
      </c>
      <c r="L14" s="11" t="inlineStr">
        <is>
          <t>verde</t>
        </is>
      </c>
      <c r="M14" s="7" t="n">
        <v>30</v>
      </c>
      <c r="N14" s="7" t="n">
        <v>45.45</v>
      </c>
      <c r="O14" s="7" t="n">
        <v>15.45</v>
      </c>
      <c r="P14" s="7" t="n">
        <v>41.13</v>
      </c>
      <c r="Q14" s="7" t="n">
        <v>55.27</v>
      </c>
      <c r="R14" s="7" t="n">
        <v>14.14</v>
      </c>
      <c r="S14" s="8" t="inlineStr">
        <is>
          <t>disaccordo</t>
        </is>
      </c>
      <c r="T14" s="8" t="inlineStr">
        <is>
          <t>disaccordo</t>
        </is>
      </c>
      <c r="U14" s="8" t="inlineStr">
        <is>
          <t>disaccordo</t>
        </is>
      </c>
      <c r="V14" s="8" t="inlineStr">
        <is>
          <t>disaccordo</t>
        </is>
      </c>
      <c r="W14" s="7" t="n">
        <v>37.55</v>
      </c>
    </row>
    <row r="15" ht="34" customHeight="1">
      <c r="A15" s="7" t="n">
        <v>13</v>
      </c>
      <c r="B15" s="7" t="n">
        <v>26</v>
      </c>
      <c r="C15" s="7" t="n">
        <v>30</v>
      </c>
      <c r="D15" s="7" t="n">
        <v>60</v>
      </c>
      <c r="E15" s="7" t="n">
        <v>35</v>
      </c>
      <c r="F15" s="7" t="n">
        <v>33.94</v>
      </c>
      <c r="G15" s="7" t="n">
        <v>63.87</v>
      </c>
      <c r="H15" s="7" t="n">
        <v>33.67</v>
      </c>
      <c r="I15" s="7" t="n">
        <v>30.98</v>
      </c>
      <c r="J15" s="9" t="inlineStr">
        <is>
          <t>arancione</t>
        </is>
      </c>
      <c r="K15" s="10" t="inlineStr">
        <is>
          <t>giallo</t>
        </is>
      </c>
      <c r="L15" s="10" t="inlineStr">
        <is>
          <t>giallo</t>
        </is>
      </c>
      <c r="M15" s="7" t="n">
        <v>25</v>
      </c>
      <c r="N15" s="7" t="n">
        <v>26.06</v>
      </c>
      <c r="O15" s="7" t="n">
        <v>1.06</v>
      </c>
      <c r="P15" s="7" t="n">
        <v>30.2</v>
      </c>
      <c r="Q15" s="7" t="n">
        <v>32.89</v>
      </c>
      <c r="R15" s="7" t="n">
        <v>2.69</v>
      </c>
      <c r="S15" s="8" t="inlineStr">
        <is>
          <t>disaccordo</t>
        </is>
      </c>
      <c r="T15" s="8" t="inlineStr">
        <is>
          <t>disaccordo</t>
        </is>
      </c>
      <c r="U15" s="11" t="inlineStr">
        <is>
          <t>accordo</t>
        </is>
      </c>
      <c r="V15" s="8" t="inlineStr">
        <is>
          <t>disaccordo</t>
        </is>
      </c>
      <c r="W15" s="7" t="n">
        <v>42.84</v>
      </c>
    </row>
    <row r="16" ht="34" customHeight="1">
      <c r="A16" s="7" t="n">
        <v>14</v>
      </c>
      <c r="B16" s="7" t="n">
        <v>28</v>
      </c>
      <c r="C16" s="7" t="n">
        <v>32</v>
      </c>
      <c r="D16" s="7" t="n">
        <v>60</v>
      </c>
      <c r="E16" s="7" t="n">
        <v>30</v>
      </c>
      <c r="F16" s="7" t="n">
        <v>15.87</v>
      </c>
      <c r="G16" s="7" t="n">
        <v>61.55</v>
      </c>
      <c r="H16" s="7" t="n">
        <v>31.47</v>
      </c>
      <c r="I16" s="7" t="n">
        <v>21.91</v>
      </c>
      <c r="J16" s="9" t="inlineStr">
        <is>
          <t>arancione</t>
        </is>
      </c>
      <c r="K16" s="10" t="inlineStr">
        <is>
          <t>giallo</t>
        </is>
      </c>
      <c r="L16" s="11" t="inlineStr">
        <is>
          <t>verde</t>
        </is>
      </c>
      <c r="M16" s="7" t="n">
        <v>30</v>
      </c>
      <c r="N16" s="7" t="n">
        <v>44.13</v>
      </c>
      <c r="O16" s="7" t="n">
        <v>14.13</v>
      </c>
      <c r="P16" s="7" t="n">
        <v>30.08</v>
      </c>
      <c r="Q16" s="7" t="n">
        <v>39.64</v>
      </c>
      <c r="R16" s="7" t="n">
        <v>9.56</v>
      </c>
      <c r="S16" s="8" t="inlineStr">
        <is>
          <t>disaccordo</t>
        </is>
      </c>
      <c r="T16" s="8" t="inlineStr">
        <is>
          <t>disaccordo</t>
        </is>
      </c>
      <c r="U16" s="8" t="inlineStr">
        <is>
          <t>disaccordo</t>
        </is>
      </c>
      <c r="V16" s="8" t="inlineStr">
        <is>
          <t>disaccordo</t>
        </is>
      </c>
      <c r="W16" s="7" t="n">
        <v>38.31</v>
      </c>
    </row>
    <row r="17" ht="34" customHeight="1">
      <c r="A17" s="7" t="n">
        <v>15</v>
      </c>
      <c r="B17" s="7" t="n">
        <v>30</v>
      </c>
      <c r="C17" s="7" t="n">
        <v>34</v>
      </c>
      <c r="D17" s="7" t="n">
        <v>65</v>
      </c>
      <c r="E17" s="7" t="n">
        <v>35</v>
      </c>
      <c r="F17" s="7" t="n">
        <v>17.64</v>
      </c>
      <c r="G17" s="7" t="n">
        <v>64.87</v>
      </c>
      <c r="H17" s="7" t="n">
        <v>34.84</v>
      </c>
      <c r="I17" s="7" t="n">
        <v>19.79</v>
      </c>
      <c r="J17" s="9" t="inlineStr">
        <is>
          <t>arancione</t>
        </is>
      </c>
      <c r="K17" s="10" t="inlineStr">
        <is>
          <t>giallo</t>
        </is>
      </c>
      <c r="L17" s="11" t="inlineStr">
        <is>
          <t>verde</t>
        </is>
      </c>
      <c r="M17" s="7" t="n">
        <v>30</v>
      </c>
      <c r="N17" s="7" t="n">
        <v>47.36</v>
      </c>
      <c r="O17" s="7" t="n">
        <v>17.36</v>
      </c>
      <c r="P17" s="7" t="n">
        <v>30.03</v>
      </c>
      <c r="Q17" s="7" t="n">
        <v>45.08</v>
      </c>
      <c r="R17" s="7" t="n">
        <v>15.05</v>
      </c>
      <c r="S17" s="8" t="inlineStr">
        <is>
          <t>disaccordo</t>
        </is>
      </c>
      <c r="T17" s="8" t="inlineStr">
        <is>
          <t>disaccordo</t>
        </is>
      </c>
      <c r="U17" s="8" t="inlineStr">
        <is>
          <t>disaccordo</t>
        </is>
      </c>
      <c r="V17" s="8" t="inlineStr">
        <is>
          <t>disaccordo</t>
        </is>
      </c>
      <c r="W17" s="7" t="n">
        <v>39.83</v>
      </c>
    </row>
    <row r="18" ht="34" customHeight="1">
      <c r="A18" s="7" t="n">
        <v>16</v>
      </c>
      <c r="B18" s="7" t="n">
        <v>32</v>
      </c>
      <c r="C18" s="7" t="n">
        <v>36</v>
      </c>
      <c r="D18" s="7" t="n">
        <v>75</v>
      </c>
      <c r="E18" s="7" t="n">
        <v>55</v>
      </c>
      <c r="F18" s="7" t="n">
        <v>35.26</v>
      </c>
      <c r="G18" s="7" t="n">
        <v>73.45</v>
      </c>
      <c r="H18" s="7" t="n">
        <v>51.94</v>
      </c>
      <c r="I18" s="7" t="n">
        <v>33.48</v>
      </c>
      <c r="J18" s="9" t="inlineStr">
        <is>
          <t>arancione</t>
        </is>
      </c>
      <c r="K18" s="9" t="inlineStr">
        <is>
          <t>arancione</t>
        </is>
      </c>
      <c r="L18" s="10" t="inlineStr">
        <is>
          <t>giallo</t>
        </is>
      </c>
      <c r="M18" s="7" t="n">
        <v>20</v>
      </c>
      <c r="N18" s="7" t="n">
        <v>39.74</v>
      </c>
      <c r="O18" s="7" t="n">
        <v>19.74</v>
      </c>
      <c r="P18" s="7" t="n">
        <v>21.51</v>
      </c>
      <c r="Q18" s="7" t="n">
        <v>39.97</v>
      </c>
      <c r="R18" s="7" t="n">
        <v>18.46</v>
      </c>
      <c r="S18" s="11" t="inlineStr">
        <is>
          <t>accordo</t>
        </is>
      </c>
      <c r="T18" s="8" t="inlineStr">
        <is>
          <t>disaccordo</t>
        </is>
      </c>
      <c r="U18" s="8" t="inlineStr">
        <is>
          <t>disaccordo</t>
        </is>
      </c>
      <c r="V18" s="8" t="inlineStr">
        <is>
          <t>disaccordo</t>
        </is>
      </c>
      <c r="W18" s="7" t="n">
        <v>52.96</v>
      </c>
    </row>
    <row r="19" ht="34" customHeight="1">
      <c r="A19" s="7" t="n">
        <v>17</v>
      </c>
      <c r="B19" s="7" t="n">
        <v>34</v>
      </c>
      <c r="C19" s="7" t="n">
        <v>38</v>
      </c>
      <c r="D19" s="7" t="n">
        <v>75</v>
      </c>
      <c r="E19" s="7" t="n">
        <v>72</v>
      </c>
      <c r="F19" s="7" t="n">
        <v>41.95</v>
      </c>
      <c r="G19" s="7" t="n">
        <v>74.38</v>
      </c>
      <c r="H19" s="7" t="n">
        <v>68.23</v>
      </c>
      <c r="I19" s="7" t="n">
        <v>40.23</v>
      </c>
      <c r="J19" s="8" t="inlineStr">
        <is>
          <t>rosso</t>
        </is>
      </c>
      <c r="K19" s="9" t="inlineStr">
        <is>
          <t>arancione</t>
        </is>
      </c>
      <c r="L19" s="10" t="inlineStr">
        <is>
          <t>giallo</t>
        </is>
      </c>
      <c r="M19" s="7" t="n">
        <v>3</v>
      </c>
      <c r="N19" s="7" t="n">
        <v>33.05</v>
      </c>
      <c r="O19" s="7" t="n">
        <v>30.05</v>
      </c>
      <c r="P19" s="7" t="n">
        <v>6.15</v>
      </c>
      <c r="Q19" s="7" t="n">
        <v>34.15</v>
      </c>
      <c r="R19" s="7" t="n">
        <v>28</v>
      </c>
      <c r="S19" s="8" t="inlineStr">
        <is>
          <t>disaccordo</t>
        </is>
      </c>
      <c r="T19" s="8" t="inlineStr">
        <is>
          <t>disaccordo</t>
        </is>
      </c>
      <c r="U19" s="8" t="inlineStr">
        <is>
          <t>disaccordo</t>
        </is>
      </c>
      <c r="V19" s="8" t="inlineStr">
        <is>
          <t>disaccordo</t>
        </is>
      </c>
      <c r="W19" s="7" t="n">
        <v>60.95</v>
      </c>
    </row>
    <row r="20" ht="34" customHeight="1">
      <c r="A20" s="7" t="n">
        <v>18</v>
      </c>
      <c r="B20" s="7" t="n">
        <v>36</v>
      </c>
      <c r="C20" s="7" t="n">
        <v>40</v>
      </c>
      <c r="D20" s="7" t="n">
        <v>65</v>
      </c>
      <c r="E20" s="7" t="n">
        <v>80</v>
      </c>
      <c r="F20" s="7" t="n">
        <v>41.89</v>
      </c>
      <c r="G20" s="7" t="n">
        <v>68.75</v>
      </c>
      <c r="H20" s="7" t="n">
        <v>77.29000000000001</v>
      </c>
      <c r="I20" s="7" t="n">
        <v>41.23</v>
      </c>
      <c r="J20" s="9" t="inlineStr">
        <is>
          <t>arancione</t>
        </is>
      </c>
      <c r="K20" s="8" t="inlineStr">
        <is>
          <t>rosso</t>
        </is>
      </c>
      <c r="L20" s="10" t="inlineStr">
        <is>
          <t>giallo</t>
        </is>
      </c>
      <c r="M20" s="7" t="n">
        <v>15</v>
      </c>
      <c r="N20" s="7" t="n">
        <v>23.11</v>
      </c>
      <c r="O20" s="7" t="n">
        <v>38.11</v>
      </c>
      <c r="P20" s="7" t="n">
        <v>8.539999999999999</v>
      </c>
      <c r="Q20" s="7" t="n">
        <v>27.52</v>
      </c>
      <c r="R20" s="7" t="n">
        <v>36.06</v>
      </c>
      <c r="S20" s="8" t="inlineStr">
        <is>
          <t>disaccordo</t>
        </is>
      </c>
      <c r="T20" s="8" t="inlineStr">
        <is>
          <t>disaccordo</t>
        </is>
      </c>
      <c r="U20" s="8" t="inlineStr">
        <is>
          <t>disaccordo</t>
        </is>
      </c>
      <c r="V20" s="8" t="inlineStr">
        <is>
          <t>disaccordo</t>
        </is>
      </c>
      <c r="W20" s="7" t="n">
        <v>62.42</v>
      </c>
    </row>
    <row r="21" ht="34" customHeight="1">
      <c r="A21" s="7" t="n">
        <v>19</v>
      </c>
      <c r="B21" s="7" t="n">
        <v>38</v>
      </c>
      <c r="C21" s="7" t="n">
        <v>42</v>
      </c>
      <c r="D21" s="7" t="n">
        <v>85</v>
      </c>
      <c r="E21" s="7" t="n">
        <v>85</v>
      </c>
      <c r="F21" s="7" t="n">
        <v>43.11</v>
      </c>
      <c r="G21" s="7" t="n">
        <v>83.5</v>
      </c>
      <c r="H21" s="7" t="n">
        <v>83.17</v>
      </c>
      <c r="I21" s="7" t="n">
        <v>42.66</v>
      </c>
      <c r="J21" s="8" t="inlineStr">
        <is>
          <t>rosso</t>
        </is>
      </c>
      <c r="K21" s="8" t="inlineStr">
        <is>
          <t>rosso</t>
        </is>
      </c>
      <c r="L21" s="10" t="inlineStr">
        <is>
          <t>giallo</t>
        </is>
      </c>
      <c r="M21" s="7" t="n">
        <v>0</v>
      </c>
      <c r="N21" s="7" t="n">
        <v>41.89</v>
      </c>
      <c r="O21" s="7" t="n">
        <v>41.89</v>
      </c>
      <c r="P21" s="7" t="n">
        <v>0.33</v>
      </c>
      <c r="Q21" s="7" t="n">
        <v>40.84</v>
      </c>
      <c r="R21" s="7" t="n">
        <v>40.51</v>
      </c>
      <c r="S21" s="11" t="inlineStr">
        <is>
          <t>accordo</t>
        </is>
      </c>
      <c r="T21" s="8" t="inlineStr">
        <is>
          <t>disaccordo</t>
        </is>
      </c>
      <c r="U21" s="8" t="inlineStr">
        <is>
          <t>disaccordo</t>
        </is>
      </c>
      <c r="V21" s="8" t="inlineStr">
        <is>
          <t>disaccordo</t>
        </is>
      </c>
      <c r="W21" s="7" t="n">
        <v>69.78</v>
      </c>
    </row>
    <row r="22" ht="34" customHeight="1">
      <c r="A22" s="7" t="n">
        <v>20</v>
      </c>
      <c r="B22" s="7" t="n">
        <v>40</v>
      </c>
      <c r="C22" s="7" t="n">
        <v>44</v>
      </c>
      <c r="D22" s="7" t="n">
        <v>92</v>
      </c>
      <c r="E22" s="7" t="n">
        <v>60</v>
      </c>
      <c r="F22" s="7" t="n">
        <v>38.27</v>
      </c>
      <c r="G22" s="7" t="n">
        <v>90.34999999999999</v>
      </c>
      <c r="H22" s="7" t="n">
        <v>69.27</v>
      </c>
      <c r="I22" s="7" t="n">
        <v>40.03</v>
      </c>
      <c r="J22" s="8" t="inlineStr">
        <is>
          <t>rosso</t>
        </is>
      </c>
      <c r="K22" s="9" t="inlineStr">
        <is>
          <t>arancione</t>
        </is>
      </c>
      <c r="L22" s="10" t="inlineStr">
        <is>
          <t>giallo</t>
        </is>
      </c>
      <c r="M22" s="7" t="n">
        <v>32</v>
      </c>
      <c r="N22" s="7" t="n">
        <v>53.73</v>
      </c>
      <c r="O22" s="7" t="n">
        <v>21.73</v>
      </c>
      <c r="P22" s="7" t="n">
        <v>21.08</v>
      </c>
      <c r="Q22" s="7" t="n">
        <v>50.32</v>
      </c>
      <c r="R22" s="7" t="n">
        <v>29.24</v>
      </c>
      <c r="S22" s="8" t="inlineStr">
        <is>
          <t>disaccordo</t>
        </is>
      </c>
      <c r="T22" s="8" t="inlineStr">
        <is>
          <t>disaccordo</t>
        </is>
      </c>
      <c r="U22" s="8" t="inlineStr">
        <is>
          <t>disaccordo</t>
        </is>
      </c>
      <c r="V22" s="8" t="inlineStr">
        <is>
          <t>disaccordo</t>
        </is>
      </c>
      <c r="W22" s="7" t="n">
        <v>66.55</v>
      </c>
    </row>
    <row r="23" ht="34" customHeight="1">
      <c r="A23" s="7" t="n">
        <v>21</v>
      </c>
      <c r="B23" s="7" t="n">
        <v>42</v>
      </c>
      <c r="C23" s="7" t="n">
        <v>46</v>
      </c>
      <c r="D23" s="7" t="n">
        <v>90</v>
      </c>
      <c r="E23" s="7" t="n">
        <v>65</v>
      </c>
      <c r="F23" s="7" t="n">
        <v>41.3</v>
      </c>
      <c r="G23" s="7" t="n">
        <v>90.14</v>
      </c>
      <c r="H23" s="7" t="n">
        <v>67.95999999999999</v>
      </c>
      <c r="I23" s="7" t="n">
        <v>41.55</v>
      </c>
      <c r="J23" s="8" t="inlineStr">
        <is>
          <t>rosso</t>
        </is>
      </c>
      <c r="K23" s="9" t="inlineStr">
        <is>
          <t>arancione</t>
        </is>
      </c>
      <c r="L23" s="10" t="inlineStr">
        <is>
          <t>giallo</t>
        </is>
      </c>
      <c r="M23" s="7" t="n">
        <v>25</v>
      </c>
      <c r="N23" s="7" t="n">
        <v>48.7</v>
      </c>
      <c r="O23" s="7" t="n">
        <v>23.7</v>
      </c>
      <c r="P23" s="7" t="n">
        <v>22.18</v>
      </c>
      <c r="Q23" s="7" t="n">
        <v>48.59</v>
      </c>
      <c r="R23" s="7" t="n">
        <v>26.41</v>
      </c>
      <c r="S23" s="8" t="inlineStr">
        <is>
          <t>disaccordo</t>
        </is>
      </c>
      <c r="T23" s="8" t="inlineStr">
        <is>
          <t>disaccordo</t>
        </is>
      </c>
      <c r="U23" s="8" t="inlineStr">
        <is>
          <t>disaccordo</t>
        </is>
      </c>
      <c r="V23" s="8" t="inlineStr">
        <is>
          <t>disaccordo</t>
        </is>
      </c>
      <c r="W23" s="7" t="n">
        <v>66.55</v>
      </c>
    </row>
    <row r="24" ht="34" customHeight="1">
      <c r="A24" s="7" t="n">
        <v>22</v>
      </c>
      <c r="B24" s="7" t="n">
        <v>44</v>
      </c>
      <c r="C24" s="7" t="n">
        <v>48</v>
      </c>
      <c r="D24" s="7" t="n">
        <v>80</v>
      </c>
      <c r="E24" s="7" t="n">
        <v>65</v>
      </c>
      <c r="F24" s="7" t="n">
        <v>8.49</v>
      </c>
      <c r="G24" s="7" t="n">
        <v>84.06</v>
      </c>
      <c r="H24" s="7" t="n">
        <v>66.18000000000001</v>
      </c>
      <c r="I24" s="7" t="n">
        <v>21.71</v>
      </c>
      <c r="J24" s="8" t="inlineStr">
        <is>
          <t>rosso</t>
        </is>
      </c>
      <c r="K24" s="9" t="inlineStr">
        <is>
          <t>arancione</t>
        </is>
      </c>
      <c r="L24" s="11" t="inlineStr">
        <is>
          <t>verde</t>
        </is>
      </c>
      <c r="M24" s="7" t="n">
        <v>15</v>
      </c>
      <c r="N24" s="7" t="n">
        <v>71.51000000000001</v>
      </c>
      <c r="O24" s="7" t="n">
        <v>56.51</v>
      </c>
      <c r="P24" s="7" t="n">
        <v>17.88</v>
      </c>
      <c r="Q24" s="7" t="n">
        <v>62.35</v>
      </c>
      <c r="R24" s="7" t="n">
        <v>44.47</v>
      </c>
      <c r="S24" s="8" t="inlineStr">
        <is>
          <t>disaccordo</t>
        </is>
      </c>
      <c r="T24" s="8" t="inlineStr">
        <is>
          <t>disaccordo</t>
        </is>
      </c>
      <c r="U24" s="8" t="inlineStr">
        <is>
          <t>disaccordo</t>
        </is>
      </c>
      <c r="V24" s="8" t="inlineStr">
        <is>
          <t>disaccordo</t>
        </is>
      </c>
      <c r="W24" s="7" t="n">
        <v>57.32</v>
      </c>
    </row>
    <row r="25" ht="34" customHeight="1">
      <c r="A25" s="7" t="n">
        <v>23</v>
      </c>
      <c r="B25" s="7" t="n">
        <v>46</v>
      </c>
      <c r="C25" s="7" t="n">
        <v>50</v>
      </c>
      <c r="D25" s="7" t="n">
        <v>70</v>
      </c>
      <c r="E25" s="7" t="n">
        <v>45</v>
      </c>
      <c r="F25" s="7" t="n">
        <v>18.88</v>
      </c>
      <c r="G25" s="7" t="n">
        <v>75.62</v>
      </c>
      <c r="H25" s="7" t="n">
        <v>53.47</v>
      </c>
      <c r="I25" s="7" t="n">
        <v>22.61</v>
      </c>
      <c r="J25" s="8" t="inlineStr">
        <is>
          <t>rosso</t>
        </is>
      </c>
      <c r="K25" s="9" t="inlineStr">
        <is>
          <t>arancione</t>
        </is>
      </c>
      <c r="L25" s="11" t="inlineStr">
        <is>
          <t>verde</t>
        </is>
      </c>
      <c r="M25" s="7" t="n">
        <v>25</v>
      </c>
      <c r="N25" s="7" t="n">
        <v>51.12</v>
      </c>
      <c r="O25" s="7" t="n">
        <v>26.12</v>
      </c>
      <c r="P25" s="7" t="n">
        <v>22.15</v>
      </c>
      <c r="Q25" s="7" t="n">
        <v>53.01</v>
      </c>
      <c r="R25" s="7" t="n">
        <v>30.86</v>
      </c>
      <c r="S25" s="8" t="inlineStr">
        <is>
          <t>disaccordo</t>
        </is>
      </c>
      <c r="T25" s="8" t="inlineStr">
        <is>
          <t>disaccordo</t>
        </is>
      </c>
      <c r="U25" s="8" t="inlineStr">
        <is>
          <t>disaccordo</t>
        </is>
      </c>
      <c r="V25" s="8" t="inlineStr">
        <is>
          <t>disaccordo</t>
        </is>
      </c>
      <c r="W25" s="7" t="n">
        <v>50.57</v>
      </c>
    </row>
    <row r="26" ht="34" customHeight="1">
      <c r="A26" s="7" t="n">
        <v>24</v>
      </c>
      <c r="B26" s="7" t="n">
        <v>48</v>
      </c>
      <c r="C26" s="7" t="n">
        <v>52</v>
      </c>
      <c r="D26" s="7" t="n">
        <v>95</v>
      </c>
      <c r="E26" s="7" t="n">
        <v>35</v>
      </c>
      <c r="F26" s="7" t="n">
        <v>15.87</v>
      </c>
      <c r="G26" s="7" t="n">
        <v>93.5</v>
      </c>
      <c r="H26" s="7" t="n">
        <v>42.39</v>
      </c>
      <c r="I26" s="7" t="n">
        <v>18.57</v>
      </c>
      <c r="J26" s="8" t="inlineStr">
        <is>
          <t>rosso</t>
        </is>
      </c>
      <c r="K26" s="10" t="inlineStr">
        <is>
          <t>giallo</t>
        </is>
      </c>
      <c r="L26" s="11" t="inlineStr">
        <is>
          <t>verde</t>
        </is>
      </c>
      <c r="M26" s="7" t="n">
        <v>60</v>
      </c>
      <c r="N26" s="7" t="n">
        <v>79.13</v>
      </c>
      <c r="O26" s="7" t="n">
        <v>19.13</v>
      </c>
      <c r="P26" s="7" t="n">
        <v>51.11</v>
      </c>
      <c r="Q26" s="7" t="n">
        <v>74.93000000000001</v>
      </c>
      <c r="R26" s="7" t="n">
        <v>23.82</v>
      </c>
      <c r="S26" s="8" t="inlineStr">
        <is>
          <t>disaccordo</t>
        </is>
      </c>
      <c r="T26" s="8" t="inlineStr">
        <is>
          <t>disaccordo</t>
        </is>
      </c>
      <c r="U26" s="8" t="inlineStr">
        <is>
          <t>disaccordo</t>
        </is>
      </c>
      <c r="V26" s="8" t="inlineStr">
        <is>
          <t>disaccordo</t>
        </is>
      </c>
      <c r="W26" s="7" t="n">
        <v>51.49</v>
      </c>
    </row>
    <row r="27" ht="34" customHeight="1">
      <c r="A27" s="7" t="n">
        <v>25</v>
      </c>
      <c r="B27" s="7" t="n">
        <v>50</v>
      </c>
      <c r="C27" s="7" t="n">
        <v>54</v>
      </c>
      <c r="D27" s="7" t="n">
        <v>80</v>
      </c>
      <c r="E27" s="7" t="n">
        <v>30</v>
      </c>
      <c r="F27" s="7" t="n">
        <v>4.57</v>
      </c>
      <c r="G27" s="7" t="n">
        <v>85.40000000000001</v>
      </c>
      <c r="H27" s="7" t="n">
        <v>34.96</v>
      </c>
      <c r="I27" s="7" t="n">
        <v>10.17</v>
      </c>
      <c r="J27" s="8" t="inlineStr">
        <is>
          <t>rosso</t>
        </is>
      </c>
      <c r="K27" s="10" t="inlineStr">
        <is>
          <t>giallo</t>
        </is>
      </c>
      <c r="L27" s="11" t="inlineStr">
        <is>
          <t>verde</t>
        </is>
      </c>
      <c r="M27" s="7" t="n">
        <v>50</v>
      </c>
      <c r="N27" s="7" t="n">
        <v>75.43000000000001</v>
      </c>
      <c r="O27" s="7" t="n">
        <v>25.43</v>
      </c>
      <c r="P27" s="7" t="n">
        <v>50.44</v>
      </c>
      <c r="Q27" s="7" t="n">
        <v>75.23</v>
      </c>
      <c r="R27" s="7" t="n">
        <v>24.79</v>
      </c>
      <c r="S27" s="8" t="inlineStr">
        <is>
          <t>disaccordo</t>
        </is>
      </c>
      <c r="T27" s="8" t="inlineStr">
        <is>
          <t>disaccordo</t>
        </is>
      </c>
      <c r="U27" s="8" t="inlineStr">
        <is>
          <t>disaccordo</t>
        </is>
      </c>
      <c r="V27" s="8" t="inlineStr">
        <is>
          <t>disaccordo</t>
        </is>
      </c>
      <c r="W27" s="7" t="n">
        <v>43.51</v>
      </c>
    </row>
    <row r="28" ht="34" customHeight="1">
      <c r="A28" s="7" t="n">
        <v>26</v>
      </c>
      <c r="B28" s="7" t="n">
        <v>52</v>
      </c>
      <c r="C28" s="7" t="n">
        <v>56</v>
      </c>
      <c r="D28" s="7" t="n">
        <v>60</v>
      </c>
      <c r="E28" s="7" t="n">
        <v>35</v>
      </c>
      <c r="F28" s="7" t="n">
        <v>20.04</v>
      </c>
      <c r="G28" s="7" t="n">
        <v>70.16</v>
      </c>
      <c r="H28" s="7" t="n">
        <v>36.23</v>
      </c>
      <c r="I28" s="7" t="n">
        <v>19.96</v>
      </c>
      <c r="J28" s="9" t="inlineStr">
        <is>
          <t>arancione</t>
        </is>
      </c>
      <c r="K28" s="10" t="inlineStr">
        <is>
          <t>giallo</t>
        </is>
      </c>
      <c r="L28" s="11" t="inlineStr">
        <is>
          <t>verde</t>
        </is>
      </c>
      <c r="M28" s="7" t="n">
        <v>25</v>
      </c>
      <c r="N28" s="7" t="n">
        <v>39.96</v>
      </c>
      <c r="O28" s="7" t="n">
        <v>14.96</v>
      </c>
      <c r="P28" s="7" t="n">
        <v>33.93</v>
      </c>
      <c r="Q28" s="7" t="n">
        <v>50.2</v>
      </c>
      <c r="R28" s="7" t="n">
        <v>16.27</v>
      </c>
      <c r="S28" s="8" t="inlineStr">
        <is>
          <t>disaccordo</t>
        </is>
      </c>
      <c r="T28" s="8" t="inlineStr">
        <is>
          <t>disaccordo</t>
        </is>
      </c>
      <c r="U28" s="8" t="inlineStr">
        <is>
          <t>disaccordo</t>
        </is>
      </c>
      <c r="V28" s="8" t="inlineStr">
        <is>
          <t>disaccordo</t>
        </is>
      </c>
      <c r="W28" s="7" t="n">
        <v>42.12</v>
      </c>
    </row>
    <row r="29" ht="34" customHeight="1">
      <c r="A29" s="7" t="n">
        <v>27</v>
      </c>
      <c r="B29" s="7" t="n">
        <v>54</v>
      </c>
      <c r="C29" s="7" t="n">
        <v>58</v>
      </c>
      <c r="D29" s="7" t="n">
        <v>50</v>
      </c>
      <c r="E29" s="7" t="n">
        <v>35</v>
      </c>
      <c r="F29" s="7" t="n">
        <v>11.52</v>
      </c>
      <c r="G29" s="7" t="n">
        <v>58.06</v>
      </c>
      <c r="H29" s="7" t="n">
        <v>35.49</v>
      </c>
      <c r="I29" s="7" t="n">
        <v>14.9</v>
      </c>
      <c r="J29" s="9" t="inlineStr">
        <is>
          <t>arancione</t>
        </is>
      </c>
      <c r="K29" s="10" t="inlineStr">
        <is>
          <t>giallo</t>
        </is>
      </c>
      <c r="L29" s="11" t="inlineStr">
        <is>
          <t>verde</t>
        </is>
      </c>
      <c r="M29" s="7" t="n">
        <v>15</v>
      </c>
      <c r="N29" s="7" t="n">
        <v>38.48</v>
      </c>
      <c r="O29" s="7" t="n">
        <v>23.48</v>
      </c>
      <c r="P29" s="7" t="n">
        <v>22.57</v>
      </c>
      <c r="Q29" s="7" t="n">
        <v>43.16</v>
      </c>
      <c r="R29" s="7" t="n">
        <v>20.59</v>
      </c>
      <c r="S29" s="8" t="inlineStr">
        <is>
          <t>disaccordo</t>
        </is>
      </c>
      <c r="T29" s="8" t="inlineStr">
        <is>
          <t>disaccordo</t>
        </is>
      </c>
      <c r="U29" s="8" t="inlineStr">
        <is>
          <t>disaccordo</t>
        </is>
      </c>
      <c r="V29" s="8" t="inlineStr">
        <is>
          <t>disaccordo</t>
        </is>
      </c>
      <c r="W29" s="7" t="n">
        <v>36.15</v>
      </c>
    </row>
    <row r="30" ht="34" customHeight="1">
      <c r="A30" s="7" t="n">
        <v>28</v>
      </c>
      <c r="B30" s="7" t="n">
        <v>56</v>
      </c>
      <c r="C30" s="7" t="n">
        <v>60</v>
      </c>
      <c r="D30" s="7" t="n">
        <v>50</v>
      </c>
      <c r="E30" s="7" t="n">
        <v>30</v>
      </c>
      <c r="F30" s="7" t="n">
        <v>4.57</v>
      </c>
      <c r="G30" s="7" t="n">
        <v>53.22</v>
      </c>
      <c r="H30" s="7" t="n">
        <v>32.2</v>
      </c>
      <c r="I30" s="7" t="n">
        <v>8.699999999999999</v>
      </c>
      <c r="J30" s="9" t="inlineStr">
        <is>
          <t>arancione</t>
        </is>
      </c>
      <c r="K30" s="10" t="inlineStr">
        <is>
          <t>giallo</t>
        </is>
      </c>
      <c r="L30" s="11" t="inlineStr">
        <is>
          <t>verde</t>
        </is>
      </c>
      <c r="M30" s="7" t="n">
        <v>20</v>
      </c>
      <c r="N30" s="7" t="n">
        <v>45.43</v>
      </c>
      <c r="O30" s="7" t="n">
        <v>25.43</v>
      </c>
      <c r="P30" s="7" t="n">
        <v>21.02</v>
      </c>
      <c r="Q30" s="7" t="n">
        <v>44.52</v>
      </c>
      <c r="R30" s="7" t="n">
        <v>23.5</v>
      </c>
      <c r="S30" s="8" t="inlineStr">
        <is>
          <t>disaccordo</t>
        </is>
      </c>
      <c r="T30" s="8" t="inlineStr">
        <is>
          <t>disaccordo</t>
        </is>
      </c>
      <c r="U30" s="8" t="inlineStr">
        <is>
          <t>disaccordo</t>
        </is>
      </c>
      <c r="V30" s="8" t="inlineStr">
        <is>
          <t>disaccordo</t>
        </is>
      </c>
      <c r="W30" s="7" t="n">
        <v>31.37</v>
      </c>
    </row>
    <row r="31" ht="34" customHeight="1">
      <c r="A31" s="7" t="n">
        <v>29</v>
      </c>
      <c r="B31" s="7" t="n">
        <v>58</v>
      </c>
      <c r="C31" s="7" t="n">
        <v>62</v>
      </c>
      <c r="D31" s="7" t="n">
        <v>45</v>
      </c>
      <c r="E31" s="7" t="n">
        <v>30</v>
      </c>
      <c r="F31" s="7" t="n">
        <v>5.73</v>
      </c>
      <c r="G31" s="7" t="n">
        <v>48.29</v>
      </c>
      <c r="H31" s="7" t="n">
        <v>30.88</v>
      </c>
      <c r="I31" s="7" t="n">
        <v>7.21</v>
      </c>
      <c r="J31" s="10" t="inlineStr">
        <is>
          <t>giallo</t>
        </is>
      </c>
      <c r="K31" s="10" t="inlineStr">
        <is>
          <t>giallo</t>
        </is>
      </c>
      <c r="L31" s="11" t="inlineStr">
        <is>
          <t>verde</t>
        </is>
      </c>
      <c r="M31" s="7" t="n">
        <v>15</v>
      </c>
      <c r="N31" s="7" t="n">
        <v>39.27</v>
      </c>
      <c r="O31" s="7" t="n">
        <v>24.27</v>
      </c>
      <c r="P31" s="7" t="n">
        <v>17.41</v>
      </c>
      <c r="Q31" s="7" t="n">
        <v>41.08</v>
      </c>
      <c r="R31" s="7" t="n">
        <v>23.67</v>
      </c>
      <c r="S31" s="11" t="inlineStr">
        <is>
          <t>accordo</t>
        </is>
      </c>
      <c r="T31" s="8" t="inlineStr">
        <is>
          <t>disaccordo</t>
        </is>
      </c>
      <c r="U31" s="8" t="inlineStr">
        <is>
          <t>disaccordo</t>
        </is>
      </c>
      <c r="V31" s="8" t="inlineStr">
        <is>
          <t>disaccordo</t>
        </is>
      </c>
      <c r="W31" s="7" t="n">
        <v>28.79</v>
      </c>
    </row>
    <row r="32" ht="34" customHeight="1">
      <c r="A32" s="7" t="n">
        <v>30</v>
      </c>
      <c r="B32" s="7" t="n">
        <v>60</v>
      </c>
      <c r="C32" s="7" t="n">
        <v>62.533</v>
      </c>
      <c r="D32" s="7" t="n">
        <v>15</v>
      </c>
      <c r="E32" s="7" t="n">
        <v>0</v>
      </c>
      <c r="F32" s="7" t="n">
        <v>1.2</v>
      </c>
      <c r="G32" s="7" t="n">
        <v>28.32</v>
      </c>
      <c r="H32" s="7" t="n">
        <v>12.35</v>
      </c>
      <c r="I32" s="7" t="n">
        <v>3.6</v>
      </c>
      <c r="J32" s="10" t="inlineStr">
        <is>
          <t>giallo</t>
        </is>
      </c>
      <c r="K32" s="11" t="inlineStr">
        <is>
          <t>verde</t>
        </is>
      </c>
      <c r="L32" s="11" t="inlineStr">
        <is>
          <t>verde</t>
        </is>
      </c>
      <c r="M32" s="7" t="n">
        <v>15</v>
      </c>
      <c r="N32" s="7" t="n">
        <v>13.8</v>
      </c>
      <c r="O32" s="7" t="n">
        <v>1.2</v>
      </c>
      <c r="P32" s="7" t="n">
        <v>15.97</v>
      </c>
      <c r="Q32" s="7" t="n">
        <v>24.72</v>
      </c>
      <c r="R32" s="7" t="n">
        <v>8.75</v>
      </c>
      <c r="S32" s="8" t="inlineStr">
        <is>
          <t>disaccordo</t>
        </is>
      </c>
      <c r="T32" s="8" t="inlineStr">
        <is>
          <t>disaccordo</t>
        </is>
      </c>
      <c r="U32" s="11" t="inlineStr">
        <is>
          <t>accordo</t>
        </is>
      </c>
      <c r="V32" s="8" t="inlineStr">
        <is>
          <t>disaccordo</t>
        </is>
      </c>
      <c r="W32" s="7" t="n">
        <v>14.76</v>
      </c>
    </row>
    <row r="33" ht="34" customHeight="1">
      <c r="A33" s="7" t="n">
        <v>31</v>
      </c>
      <c r="B33" s="7" t="n">
        <v>62</v>
      </c>
      <c r="C33" s="7" t="n">
        <v>62.533</v>
      </c>
      <c r="D33" s="7" t="n">
        <v>25</v>
      </c>
      <c r="E33" s="7" t="n">
        <v>0</v>
      </c>
      <c r="F33" s="7" t="n">
        <v>1.2</v>
      </c>
      <c r="G33" s="7" t="n">
        <v>28.83</v>
      </c>
      <c r="H33" s="7" t="n">
        <v>4.94</v>
      </c>
      <c r="I33" s="7" t="n">
        <v>2.16</v>
      </c>
      <c r="J33" s="10" t="inlineStr">
        <is>
          <t>giallo</t>
        </is>
      </c>
      <c r="K33" s="11" t="inlineStr">
        <is>
          <t>verde</t>
        </is>
      </c>
      <c r="L33" s="11" t="inlineStr">
        <is>
          <t>verde</t>
        </is>
      </c>
      <c r="M33" s="7" t="n">
        <v>25</v>
      </c>
      <c r="N33" s="7" t="n">
        <v>23.8</v>
      </c>
      <c r="O33" s="7" t="n">
        <v>1.2</v>
      </c>
      <c r="P33" s="7" t="n">
        <v>23.89</v>
      </c>
      <c r="Q33" s="7" t="n">
        <v>26.67</v>
      </c>
      <c r="R33" s="7" t="n">
        <v>2.78</v>
      </c>
      <c r="S33" s="8" t="inlineStr">
        <is>
          <t>disaccordo</t>
        </is>
      </c>
      <c r="T33" s="8" t="inlineStr">
        <is>
          <t>disaccordo</t>
        </is>
      </c>
      <c r="U33" s="11" t="inlineStr">
        <is>
          <t>accordo</t>
        </is>
      </c>
      <c r="V33" s="8" t="inlineStr">
        <is>
          <t>disaccordo</t>
        </is>
      </c>
      <c r="W33" s="7" t="n">
        <v>11.98</v>
      </c>
    </row>
  </sheetData>
  <pageMargins left="0.75" right="0.75" top="1" bottom="1" header="0.5" footer="0.5"/>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H33"/>
  <sheetViews>
    <sheetView showGridLines="1" zoomScale="80" workbookViewId="0">
      <pane ySplit="1" topLeftCell="A2" activePane="bottomLeft" state="frozen"/>
      <selection pane="bottomLeft" activeCell="A1" sqref="A1"/>
    </sheetView>
  </sheetViews>
  <sheetFormatPr baseColWidth="8" defaultRowHeight="15"/>
  <cols>
    <col width="6" customWidth="1" min="1" max="1"/>
    <col width="7" customWidth="1" min="2" max="2"/>
    <col width="7" customWidth="1" min="3" max="3"/>
    <col width="18" customWidth="1" min="4" max="4"/>
    <col width="8" customWidth="1" min="5" max="5"/>
    <col width="16" customWidth="1" min="6" max="6"/>
    <col width="8" customWidth="1" min="7" max="7"/>
    <col width="7" customWidth="1" min="8" max="8"/>
  </cols>
  <sheetData>
    <row r="1" ht="16" customHeight="1">
      <c r="A1" s="2" t="inlineStr">
        <is>
          <t>window_id</t>
        </is>
      </c>
      <c r="B1" s="2" t="inlineStr">
        <is>
          <t>start_time_s</t>
        </is>
      </c>
      <c r="C1" s="2" t="inlineStr">
        <is>
          <t>end_time_s</t>
        </is>
      </c>
      <c r="D1" s="3" t="inlineStr">
        <is>
          <t>free_scene_json</t>
        </is>
      </c>
      <c r="E1" s="3" t="inlineStr">
        <is>
          <t>instantaneous_risk_score_vlm_free</t>
        </is>
      </c>
      <c r="F1" s="3" t="inlineStr">
        <is>
          <t>score_rationale_vlm_free</t>
        </is>
      </c>
      <c r="G1" s="3" t="inlineStr">
        <is>
          <t>dynamic_risk_score_vlm_free</t>
        </is>
      </c>
      <c r="H1" s="3" t="inlineStr">
        <is>
          <t>traffic_light_color_vlm_free</t>
        </is>
      </c>
    </row>
    <row r="2" ht="34" customHeight="1">
      <c r="A2" s="7" t="n">
        <v>0</v>
      </c>
      <c r="B2" s="7" t="n">
        <v>0</v>
      </c>
      <c r="C2" s="7" t="n">
        <v>4</v>
      </c>
      <c r="D2" s="7" t="inlineStr">
        <is>
          <t>{"descrizione_generale": "La scena si svolge all'interno di un impianto industriale, presumibilmente di stampaggio plastico, con due operatori posizionati vicino a un grande macchinario.", "contesto": "Ambiente di produzione manifatturiera, caratterizzato dalla presenza di pile di sedie in plastica colorate e sacchi di stoccaggio sullo sfondo.", "persone_presenti": [{"ruolo": "Operatore 1", "posizione": "In piedi sul lato sinistro, molto vicino alla zona di apertura/chiusura dello stampo della pressa.", "abbigliamento_dpi": "Indossa una maglietta rosa e un cappellino nero. Non si osservano DPI visibili come occhiali di sicurezza, guanti o protezione acustica."}, {"ruolo": "Operatore 2", "posizione": "In piedi sul lato destro, adiacente al pannello di controllo del macchinario.", "abbigliamento_dpi": "Indossa una maglietta blu e un guanto protettivo blu sulla mano sinistra sollevata verso il pannello."}], "macchinari_e_oggetti": {"macchinario_principale": "Pressa a iniezione per plastica di grandi dimensioni, di colore arancione e grigio, dotata di un pannello di controllo digitale attivo sulla destra.", "altri_oggetti": "Sedie di plastica impilate (verdi, rosse, blu), sacchi bianchi contenenti materiali e bobine o cilindri neri a sinistra."}, "azioni_osservabili": "L'operatore con la maglietta rosa è rivolto verso l'interno della macchina, osservando da vicino la zona dello stampo. L'operatore sulla destra tiene la mano vicino al pannello di controllo e guarda verso l'alto o verso il collega.", "condizioni_ambientali": "Illuminazione interna artificiale standard. Lo spazio di lavoro immediato attorno alla macchina è libero da ostacoli a terra, sebbene lo sfondo sia densamente occupato da materiali stoccati.", "limiti_visivi": "La visuale interna della pressa è parzialmente ostruita dalla struttura metallica e dalla posizione fisica dell'operatore in maglietta rosa.", "analisi_rischi": {"dinamica_in_corso": "Presenza di un operatore a distanza ravvicinata da parti meccaniche potenzialmente mobili (zona stampo) mentre un altro operatore si trova vicino ai comandi di attivazione.", "sviluppi_rischiosi": "Rischio di schiacciamento, cesoiamento o intrappolamento degli arti superiori qualora la pressa venisse avviata accidentalmente o si attivasse automaticamente durante l'ispezione visiva ravvicinata.", "fattori_contribuenti": "Mancato uso di DPI facciali/oculari per l'operatore vicino allo stampo e potenziale mancanza di barriere fisiche di sicurezza attive o di procedure di Lockout/Tagout visibili durante l'ispezione."}}</t>
        </is>
      </c>
      <c r="E2" s="7" t="n">
        <v>85</v>
      </c>
      <c r="F2" s="7" t="inlineStr">
        <is>
          <t>La situazione presenta un rischio elevato (85/100) a causa della presenza ravvicinata dell'Operatore 1 alla zona di movimento dello stampo della pressa senza DPI visibili, in concomitanza con la posizione dell'Operatore 2 vicino al pannello di controllo. Questa configurazione espone a un grave pericolo di schiacciamento, cesoiamento o intrappolamento degli arti in caso di attivazione accidentale o automatica del macchinario, aggravato dall'assenza di barriere fisiche di protezione visibili o di procedure di Lockout/Tagout.</t>
        </is>
      </c>
      <c r="G2" s="7" t="n">
        <v>85</v>
      </c>
      <c r="H2" s="8" t="inlineStr">
        <is>
          <t>rosso</t>
        </is>
      </c>
    </row>
    <row r="3" ht="34" customHeight="1">
      <c r="A3" s="7" t="n">
        <v>1</v>
      </c>
      <c r="B3" s="7" t="n">
        <v>2</v>
      </c>
      <c r="C3" s="7" t="n">
        <v>6</v>
      </c>
      <c r="D3" s="7" t="inlineStr">
        <is>
          <t>{"finestra_temporale": {"inizio_s": 2.0, "fine_s": 6.0, "durata_s": 4.0}, "descrizione_generale": "La scena si svolge all'interno di un impianto industriale, presumibilmente di stampaggio plastico, dove un operatore interagisce direttamente con l'area interna di un grosso macchinario.", "contesto_industriale": "Fabbrica di produzione o lavorazione di materie plastiche, evidenziata dalle pile di sedie colorate sullo sfondo e dalla pressa a iniezione.", "persone_presenti": [{"ruolo_apparente": "Operatore attivo", "abbigliamento": "T-shirt rosa, cappellino nero girato all'indietro", "posizione": "Di spalle, di fronte alla pressa"}, {"ruolo_apparente": "Osservatore / Collega", "abbigliamento": "T-shirt blu", "posizione": "In primo piano a destra, osserva l'operatore"}], "macchinari_e_oggetti": {"macchinario_principale": "Pressa a iniezione industriale (marca MIR) di colore arancione con pannello di controllo digitale sul lato destro.", "oggetti_sfondo": "Sedie in plastica impilate (verdi, rosse, blu), sacchi bianchi di materiale, bobine o cilindri neri a sinistra."}, "azioni_osservabili": "L'operatore in maglia rosa inserisce il braccio destro all'interno della zona di stampaggio/chiusura della pressa, effettuando una regolazione o un intervento manuale.", "condizioni_ambientali": "Illuminazione interna artificiale standard, spazi di passaggio parzialmente occupati da materiali di produzione.", "limiti_visibilita": "La schiena dell'operatore occlude la vista dettagliata delle mani e del punto esatto di contatto all'interno del macchinario. La testa dell'osservatore copre la parte inferiore destra dell'inquadratura.", "analisi_sicurezza": {"dpi_rilevati": "Nessun DPI visibile (mancanza di elmetto, occhiali protettivi, guanti o protezione acustica).", "ragionamento_causale_e_rischi": "L'introduzione degli arti superiori all'interno della camera di stampaggio di una pressa rappresenta un rischio critico di schiacciamento, amputazione o gravi ustioni se la macchina non è spenta e isolata.", "sviluppi_rischiosi_plausibili": "Chiusura accidentale dello stampo per guasto meccanico/elettrico o avvio involontario, con conseguente grave infortunio all'arto dell'operatore.", "fattori_contribuenti": "Assenza di evidenze visibili di procedure di Lockout/Tagout (LOTO) e mancanza di barriere fisiche di sicurezza attive durante l'intervento manuale."}}</t>
        </is>
      </c>
      <c r="E3" s="7" t="n">
        <v>95</v>
      </c>
      <c r="F3" s="7" t="inlineStr">
        <is>
          <t>L'operatore inserisce l'intero braccio destro all'interno della zona di stampaggio di una pressa a iniezione senza DPI visibili e senza evidenza di procedure di Lockout/Tagout (LOTO) o barriere di sicurezza attive. Questa azione comporta un rischio critico e immediato di schiacciamento, amputazione o gravi ustioni in caso di attivazione accidentale o guasto del macchinario.</t>
        </is>
      </c>
      <c r="G3" s="7" t="n">
        <v>93.5</v>
      </c>
      <c r="H3" s="8" t="inlineStr">
        <is>
          <t>rosso</t>
        </is>
      </c>
    </row>
    <row r="4" ht="34" customHeight="1">
      <c r="A4" s="7" t="n">
        <v>2</v>
      </c>
      <c r="B4" s="7" t="n">
        <v>4</v>
      </c>
      <c r="C4" s="7" t="n">
        <v>8</v>
      </c>
      <c r="D4" s="7" t="inlineStr">
        <is>
          <t>{"analisi_temporale": {"inizio_s": 4.0, "fine_s": 8.0, "nota_clip": "Analisi condotta sulla sequenza di estrazione del pezzo stampato."}, "contesto_ambientale": {"descrizione_scena": "Interno di un impianto industriale per lo stampaggio di materie plastiche. Sullo sfondo sono visibili prodotti finiti impilati e sacchi di materia prima.", "condizioni_visive": "Illuminazione artificiale standard. La telecamera ravvicinata limita la visuale completa dei sistemi di sicurezza inferiori e laterali della pressa."}, "soggetti_e_dispositivi": {"personale_presente": [{"identificativo": "Operatore", "posizione": "Adiacente alla zona stampo", "dpi_rilevati": "Nessun DPI visibile. Mancanza di guanti protettivi, occhiali di sicurezza e calzature di sicurezza non verificabili."}, {"identificativo": "Collaboratore", "posizione": "In primo piano, osserva l'operazione", "dpi_rilevati": "Nessun DPI visibile."}], "macchinari": {"tipo": "Pressa a iniezione per plastica (marca MIR)", "stato_operativo": "Stampo aperto per consentire la rimozione manuale del pezzo."}}, "analisi_rischi_e_dinamiche": {"azione_rilevata": "L'operatore inserisce le mani nude all'interno della pressa aperta per estrarre manualmente un componente plastico nero.", "fattori_contribuenti": ["Mancanza di guanti protettivi durante la manipolazione di parti potenzialmente calde.", "Interazione diretta con l'area di stampaggio senza barriere fisiche attive visibili nel momento dell'estrazione."], "sviluppi_rischiosi_plausibili": ["Rischio di ustione da contatto con plastica ad alta temperatura o parti calde della macchina.", "Rischio di schiacciamento degli arti superiori in caso di avvio accidentale o cedimento dei sistemi di blocco dello stampo."], "valutazione_sintetica": "La procedura presenta criticità di sicurezza legate alla manipolazione diretta a mani nude all'interno di un'area a rischio meccanico e termico."}}</t>
        </is>
      </c>
      <c r="E4" s="7" t="n">
        <v>85</v>
      </c>
      <c r="F4" s="7" t="inlineStr">
        <is>
          <t>Il punteggio di 85 riflette un rischio molto elevato. L'operatore inserisce le mani nude all'interno della pressa a iniezione senza guanti protettivi, esponendosi a gravi rischi di ustione termica dovuta al contatto con il pezzo caldo o lo stampo. Inoltre, l'assenza di barriere visibili e l'interazione diretta con la zona di stampaggio comportano un grave rischio di schiacciamento degli arti superiori in caso di malfunzionamento o avvio accidentale del macchinario.</t>
        </is>
      </c>
      <c r="G4" s="7" t="n">
        <v>88.40000000000001</v>
      </c>
      <c r="H4" s="8" t="inlineStr">
        <is>
          <t>rosso</t>
        </is>
      </c>
    </row>
    <row r="5" ht="34" customHeight="1">
      <c r="A5" s="7" t="n">
        <v>3</v>
      </c>
      <c r="B5" s="7" t="n">
        <v>6</v>
      </c>
      <c r="C5" s="7" t="n">
        <v>10</v>
      </c>
      <c r="D5" s="7" t="inlineStr">
        <is>
          <t>{"analisi_scena": {"contesto": "Stabilimento industriale, reparto stampaggio materie plastiche.", "persone_presenti": 2, "macchinari": "Pressa a iniezione per plastica con pannello di controllo digitale.", "oggetti": "Componenti plastici neri stampati, sacchi bianchi, ceste colorate impilate."}, "osservazioni_sicurezza": {"azioni_rilevate": "Un operatore in t-shirt rosa maneggia un pezzo stampato appena estratto; un secondo operatore è posizionato vicino al pannello di controllo.", "dpi_rilevati": "Guanti protettivi blu visibili solo sul secondo operatore. Assenza di guanti e occhiali protettivi per l'operatore in t-shirt rosa.", "condizioni_ambientali": "Illuminazione interna normale, area di lavoro circostante parzialmente ingombra."}, "valutazione_rischio": {"limitazioni_visive": "Inquadratura ravvicinata che occlude la parte inferiore del corpo e i dettagli esatti dei comandi macchina.", "dinamiche_rischiose": "Manipolazione di componenti potenzialmente caldi senza guanti termici e prossimità alla zona di movimento della pressa.", "livello_rischio_stimato": "Moderato", "fattori_contribuenti": "Uso incompleto dei DPI per lavorazioni a contatto con macchinari industriali attivi."}}</t>
        </is>
      </c>
      <c r="E5" s="7" t="n">
        <v>55</v>
      </c>
      <c r="F5" s="7" t="inlineStr">
        <is>
          <t>Il punteggio di 55 riflette un rischio moderato dovuto alla manipolazione diretta di componenti plastici appena stampati (potenzialmente caldi) senza l'uso di guanti protettivi termici da parte dell'operatore in t-shirt rosa. Inoltre, la mancanza di occhiali di sicurezza in prossimità di una pressa a iniezione attiva e l'area di lavoro parzialmente ingombra aumentano la probabilità di infortuni.</t>
        </is>
      </c>
      <c r="G5" s="7" t="n">
        <v>68.36</v>
      </c>
      <c r="H5" s="9" t="inlineStr">
        <is>
          <t>arancione</t>
        </is>
      </c>
    </row>
    <row r="6" ht="34" customHeight="1">
      <c r="A6" s="7" t="n">
        <v>4</v>
      </c>
      <c r="B6" s="7" t="n">
        <v>8</v>
      </c>
      <c r="C6" s="7" t="n">
        <v>12</v>
      </c>
      <c r="D6" s="7" t="inlineStr">
        <is>
          <t>{"contesto_e_scena": {"descrizione_generale": "Area di produzione industriale, probabilmente legata allo stampaggio di materie plastiche.", "macchinari": "Pressa a iniezione industriale dotata di pannello di controllo digitale attivo.", "oggetti": "Sedie in plastica colorate impilate sullo sfondo, sacchi bianchi e componenti neri lavorati."}, "personale_e_dpi": {"operatori_presenti": 2, "operatore_1": "Uomo con maglietta rosa e cappellino, maneggia un componente plastico prima di chinarsi.", "operatore_2": "Uomo di spalle che interagisce direttamente con il terminale della macchina.", "dpi_rilevati": "Guanti protettivi blu indossati dall'operatore al pannello.", "dpi_mancanti_osservabili": "Mancanza di elmetto di protezione e occhiali di sicurezza per entrambi i soggetti."}, "analisi_dinamica_e_rischi": {"azioni_osservabili": "L'operatore 1 si abbassa repentinamente verso il suolo, uscendo parzialmente dall'inquadratura. L'operatore 2 opera sui comandi del macchinario.", "condizioni_ambientali": "Illuminazione artificiale sufficiente; presenza di ostacoli a terra e materiali stoccati vicino alle linee di passaggio.", "limiti_visivi": "L'angolazione della telecamera impedisce di vedere l'area esatta in cui si china l'operatore 1, creando un punto cieco.", "sviluppi_rischiosi_plausibili": "Rischio di urto accidentale o contatto con parti calde/in movimento della pressa mentre l'operatore si trova in posizione chinata non visibile al collega al pannello."}}</t>
        </is>
      </c>
      <c r="E6" s="7" t="n">
        <v>75</v>
      </c>
      <c r="F6" s="7" t="inlineStr">
        <is>
          <t>Il punteggio di 75 è giustificato dalla combinazione di comportamenti pericolosi e carenze nei dispositivi di protezione. L'operatore 1 si china in un punto cieco vicino a una pressa a iniezione attiva, mentre l'operatore 2 interagisce con i comandi del macchinario senza una linea visiva diretta sul collega, creando un rischio concreto di avviamento accidentale o contatto con parti in movimento. Inoltre, la mancanza di DPI fondamentali come elmetti e occhiali di sicurezza per entrambi i soggetti eleva notevolmente la gravità di un potenziale infortunio.</t>
        </is>
      </c>
      <c r="G6" s="7" t="n">
        <v>77.34</v>
      </c>
      <c r="H6" s="8" t="inlineStr">
        <is>
          <t>rosso</t>
        </is>
      </c>
    </row>
    <row r="7" ht="34" customHeight="1">
      <c r="A7" s="7" t="n">
        <v>5</v>
      </c>
      <c r="B7" s="7" t="n">
        <v>10</v>
      </c>
      <c r="C7" s="7" t="n">
        <v>14</v>
      </c>
      <c r="D7" s="7" t="inlineStr">
        <is>
          <t>{"descrizione_generale": "Area di produzione industriale con macchinario di stampaggio e operatori attivi nelle vicinanze.", "contesto": "Fabbrica di produzione di articoli in plastica, evidenziata da sedie impilate sullo sfondo.", "persone": [{"ruolo": "Operatore foreground sinistra", "abbigliamento": "T-shirt rosa, cappellino nero", "azione": "Si china e si sposta nell'area di lavoro"}, {"ruolo": "Operatore foreground destra", "abbigliamento": "T-shirt blu", "azione": "Presidia e interagisce con il pannello di controllo"}, {"ruolo": "Operatore sfondo", "abbigliamento": "T-shirt nera, jeans", "azione": "Transita dietro la macchina"}], "macchinari_e_oggetti": {"macchinari": "Pressa per stampaggio a iniezione MIR con terminale di controllo attivo", "oggetti": "Sedie in plastica colorate, sacchi bianchi di materia prima, bobine nere"}, "condizioni_ambientali": "Illuminazione interna costante, presenza di materiali depositati nei passaggi.", "limiti_visibilita": "Inquadratura dall'alto che limita la vista degli arti inferiori e di eventuali ostacoli a terra.", "analisi_sicurezza": {"dpi_rilevati": "Nessun DPI visibile (assenza di elmetti, occhiali di protezione o scarpe antinfortunistiche identificabili).", "fattori_contribuenti": "Prossimità ravvicinata alle parti mobili del macchinario e potenziale disordine nell'area di transito.", "sviluppi_rischiosi": "Rischio moderato di urti o contatti accidentali con elementi caldi o in movimento durante le fasi operative."}}</t>
        </is>
      </c>
      <c r="E7" s="7" t="n">
        <v>65</v>
      </c>
      <c r="F7" s="7" t="inlineStr">
        <is>
          <t>Il punteggio di 65 è giustificato dall'assenza di DPI visibili (come elmetti, occhiali protettivi e calzature di sicurezza) in un'area con macchinari industriali attivi. La vicinanza degli operatori alle parti in movimento della pressa e la presenza di materiali depositati nei passaggi (rischio d'inciampo) configurano una situazione di rischio moderato-alto che richiede interventi correttivi.</t>
        </is>
      </c>
      <c r="G7" s="7" t="n">
        <v>69.94</v>
      </c>
      <c r="H7" s="9" t="inlineStr">
        <is>
          <t>arancione</t>
        </is>
      </c>
    </row>
    <row r="8" ht="34" customHeight="1">
      <c r="A8" s="7" t="n">
        <v>6</v>
      </c>
      <c r="B8" s="7" t="n">
        <v>12</v>
      </c>
      <c r="C8" s="7" t="n">
        <v>16</v>
      </c>
      <c r="D8" s="7" t="inlineStr">
        <is>
          <t>{"analisi_scena": {"contesto": "Ambiente industriale, presumibilmente reparto stampaggio materie plastiche.", "macchinari_oggetti": {"principali": "Pressa a iniezione MIR con pannello di controllo digitale attivo.", "secondari": "Sedie in plastica impilate sullo sfondo, sacchi bianchi, bobine nere."}, "personale": [{"id": "Operatore_1", "abbigliamento": "Maglia nera, jeans", "azione": "Si allontana verso l'area di stoccaggio a sinistra."}, {"id": "Operatore_2", "abbigliamento": "Maglia rosa, cappellino nero non protettivo", "azione": "Entra da sinistra e osserva l'area di lavoro del macchinario."}, {"id": "Operatore_3", "abbigliamento": "Maglia blu (parzialmente visibile)", "azione": "Presidia e interagisce con il pannello di controllo a destra."}]}, "analisi_sicurezza": {"dpi_rilevati": "Nessun DPI protettivo visibile (assenza di elmetti, occhiali di sicurezza o protezioni acustiche).", "condizioni_ambientali": "Illuminazione artificiale standard. Inquadratura dall'alto che limita la visibilità completa dell'operatore 3 e dei dettagli del macchinario.", "valutazione_rischi": {"dinamica_in_corso": "Interazione ravvicinata di più operatori attorno a una pressa industriale attiva.", "fattori_contribuenti": "Mancanza di DPI idonei per la protezione da calore, proiezioni o urti accidentali.", "sviluppi_rischiosi": "Rischio moderato di lesioni in caso di malfunzionamento del macchinario o movimenti imprevisti degli operatori nelle zone di pericolo."}}}</t>
        </is>
      </c>
      <c r="E8" s="7" t="n">
        <v>65</v>
      </c>
      <c r="F8" s="7" t="inlineStr">
        <is>
          <t>Il punteggio di 65 è giustificato dalla presenza di più operatori che lavorano a stretto contatto con una pressa a iniezione attiva senza alcun Dispositivo di Protezione Individuale (DPI) visibile (come occhiali di sicurezza, elmetti o protezioni acustiche). Sebbene non vi siano comportamenti palesemente pericolosi o incidenti in corso, la totale assenza di DPI in un ambiente di stampaggio plastico ad alta pressione e temperatura configura una violazione delle norme di sicurezza e un rischio medio-alto di lesioni in caso di anomalie del macchinario o contatti accidentali.</t>
        </is>
      </c>
      <c r="G8" s="7" t="n">
        <v>66.98</v>
      </c>
      <c r="H8" s="9" t="inlineStr">
        <is>
          <t>arancione</t>
        </is>
      </c>
    </row>
    <row r="9" ht="34" customHeight="1">
      <c r="A9" s="7" t="n">
        <v>7</v>
      </c>
      <c r="B9" s="7" t="n">
        <v>14</v>
      </c>
      <c r="C9" s="7" t="n">
        <v>18</v>
      </c>
      <c r="D9" s="7" t="inlineStr">
        <is>
          <t>{"analisi_scena": {"descrizione_generale": "La scena si svolge all'interno di un impianto industriale, presumibilmente di stampaggio plastico, con due operatori posizionati vicino a un grande macchinario industriale.", "contesto": "Produzione industriale / stampaggio materie plastiche, evidenziato dalla presenza di pile di sedie/cestini in plastica colorata sullo sfondo e da un macchinario MIR.", "presenza_persone": [{"ruolo": "Operatore quadro di controllo", "posizione": "In primo piano a destra, di spalle rispetto alla telecamera.", "azioni": "Interagisce direttamente con il pannello di controllo digitale del macchinario, premendo dei tasti."}, {"ruolo": "Operatore di supporto / osservatore", "posizione": "A sinistra, di profilo, rivolto verso il macchinario e il collega.", "azioni": "Osserva le operazioni stando in piedi vicino alla zona di stampaggio del macchinario."}], "macchinari_oggetti": {"macchinari": "Pressa a iniezione per materie plastiche (marca MIR) dotata di pannello di controllo elettronico e protezioni perimetrali.", "oggetti": "Pile di sedie in plastica (verdi, rosse, blu) sullo sfondo, bobine o componenti neri impilati a sinistra, guanti da lavoro."}}, "sicurezza_dpi": {"dpi_rilevati": ["Guanti protettivi indossati dall'operatore a sinistra."], "dpi_mancanti_potenziali": ["Assenza di elmetti protettivi.", "Assenza di occhiali di protezione (rischio schizzi di plastica fusa o frammenti).", "Assenza di protezioni acustiche visibili."], "condizioni_ambientali": "Illuminazione interna sufficiente, ambiente di lavoro parzialmente ingombro sullo sfondo ma area di transito immediata sgombra."}, "analisi_rischi": {"limiti_visivi": "La telecamera è fissa in alto; l'operatore a destra è di spalle, limitando la visibilità delle sue mani e del volto. L'interno del macchinario è parzialmente visibile ma in ombra.", "ragionamento_causale": "L'operatore a destra sta configurando o avviando il macchinario tramite il pannello. L'operatore a sinistra si trova molto vicino alla zona di movimento della pressa, sebbene protetta da barriere.", "sviluppi_rischiosi_plausibili": ["Rischio di schiacciamento o intrappolamento se le barriere di sicurezza del macchinario venissero bypassate o se l'operatore a sinistra inserisse le mani durante il ciclo.", "Rischio di lesioni oculari o ustioni da materiale plastico ad alta temperatura in caso di malfunzionamento o spurgo della pressa, data l'assenza di occhiali protettivi."]}}</t>
        </is>
      </c>
      <c r="E9" s="7" t="n">
        <v>35</v>
      </c>
      <c r="F9" s="7" t="inlineStr">
        <is>
          <t>Il punteggio di 35 indica un rischio moderato. Sebbene l'attività sia standard e le barriere della pressa siano attive, si riscontra la mancanza di DPI essenziali come occhiali protettivi (rischio schizzi di plastica fusa) ed elmetti. Inoltre, la vicinanza dell'operatore di supporto alla zona di stampaggio rappresenta un potenziale pericolo in caso di anomalie.</t>
        </is>
      </c>
      <c r="G9" s="7" t="n">
        <v>47.79</v>
      </c>
      <c r="H9" s="10" t="inlineStr">
        <is>
          <t>giallo</t>
        </is>
      </c>
    </row>
    <row r="10" ht="34" customHeight="1">
      <c r="A10" s="7" t="n">
        <v>8</v>
      </c>
      <c r="B10" s="7" t="n">
        <v>16</v>
      </c>
      <c r="C10" s="7" t="n">
        <v>20</v>
      </c>
      <c r="D10" s="7" t="inlineStr">
        <is>
          <t>{"descrizione_generale": "Due operatori si trovano davanti a un macchinario industriale per lo stampaggio di materie plastiche.", "contesto_industriale": "Area di produzione industriale con stoccaggio di prodotti finiti (sedie in plastica impilate) sullo sfondo.", "persone_presenti": [{"id": 1, "posizione": "Sinistra", "abbigliamento": "T-shirt rosa, cappellino con visiera nero", "azioni": "Osserva il collega e si tocca l'area dell'orecchio/capo"}, {"id": 2, "posizione": "Destra (di spalle)", "abbigliamento": "Maglia blu", "azioni": "Interagisce direttamente con la tastiera del pannello di controllo"}], "macchinari_e_oggetti": {"macchinario": "Pressa ad iniezione industriale (marca MIR visibile)", "oggetti": "Pannello di controllo digitale, pile di sedie in plastica colorate, bobine nere a sinistra"}, "condizioni_ambientali": {"illuminazione": "Luce artificiale interna stabile", "visibilita": "Buona, ma limitata dalla prospettiva posteriore dell'operatore di destra"}, "limiti_osservativi": "La visuale posteriore dell'operatore di destra impedisce di vedere con precisione i comandi digitati e l'esatta direzione del suo sguardo.", "analisi_sicurezza": {"dpi_rilevati": "Guanti protettivi blu su entrambi gli operatori.", "dpi_mancanti_o_dubbi": "Assenza di elmetto protettivo e occhiali di sicurezza. Non è chiaro se l'operatore a sinistra indossi tappi auricolari quando si tocca l'orecchio.", "dinamiche_rischiose_plausibili": "Interazione ravvicinata con parti in movimento della pressa in caso di bypass dei sistemi di sicurezza durante la programmazione.", "fattori_contribuenti": "Presenza di materiale stoccato nelle immediate vicinanze dell'area operativa della macchina."}}</t>
        </is>
      </c>
      <c r="E10" s="7" t="n">
        <v>40</v>
      </c>
      <c r="F10" s="7" t="inlineStr">
        <is>
          <t>Il punteggio di 40 indica un rischio moderato. Sebbene gli operatori utilizzino i guanti protettivi, si rileva la mancanza di DPI importanti come occhiali di sicurezza ed elmetti in prossimità di una pressa industriale. Inoltre, la presenza di materiali stoccati vicino all'area operativa e l'interazione con il pannello di controllo, con visuale parzialmente ostruita, rappresentano fattori di attenzione per prevenire potenziali contatti accidentali o bypass di sicurezza.</t>
        </is>
      </c>
      <c r="G10" s="7" t="n">
        <v>44.37</v>
      </c>
      <c r="H10" s="10" t="inlineStr">
        <is>
          <t>giallo</t>
        </is>
      </c>
    </row>
    <row r="11" ht="34" customHeight="1">
      <c r="A11" s="7" t="n">
        <v>9</v>
      </c>
      <c r="B11" s="7" t="n">
        <v>18</v>
      </c>
      <c r="C11" s="7" t="n">
        <v>22</v>
      </c>
      <c r="D11" s="7" t="inlineStr">
        <is>
          <t>{"descrizione_generale": "La scena mostra due operatori all'interno di un impianto industriale, posizionati davanti a un grande macchinario di stampaggio a iniezione in funzione.", "contesto_industriale": "Stabilimento di produzione o stampaggio di materie plastiche, evidenziato dalla presenza di pile di sedie in plastica colorata sullo sfondo e componenti cilindrici neri a sinistra.", "persone_presenti": [{"ruolo": "Operatore principale", "posizione": "In primo piano a destra, di spalle rispetto alla telecamera", "abbigliamento": "Maglia blu con strisce bianche, guanti protettivi blu", "azione": "Interagisce direttamente con il pannello di controllo digitale del macchinario"}, {"ruolo": "Operatore di supporto / osservatore", "posizione": "A sinistra, di profilo", "abbigliamento": "T-shirt rosa, cappellino con visiera nero, guanti protettivi blu", "azione": "Osserva l'operatore principale e si tocca brevemente l'area dell'orecchio/cappellino"}], "macchinari_e_oggetti": {"macchinario_principale": "Pressa per stampaggio a iniezione (marca MIR parzialmente visibile) con pannello di controllo elettronico attivo", "oggetti_sfondo": "Sedie in plastica impilate (rosse, verdi, blu), bobine o componenti neri impilati a sinistra"}, "dispositivi_protezione_individuale": {"rilevati": "Guanti protettivi di colore blu per entrambi gli operatori", "non_rilevati_o_mancanti": "Assenza di elmetti protettivi (sostituiti da cappellini con visiera) e assenza visibile di occhiali di protezione o dispositivi di protezione dell'udito, nonostante la prossimità a macchinari industriali pesanti"}, "condizioni_ambientali_e_visibilita": {"illuminazione": "Buona, artificiale tipica da interno industriale", "limitazioni": "L'operatore a destra è di spalle, limitando la visibilità delle sue espressioni facciali e dell'esatta interazione con i pulsanti"}, "analisi_rischi_e_prevenzione": {"dinamica_in_corso": "Interazione diretta con interfaccia macchina in fase operativa", "sviluppi_rischiosi_plausibili": "Rischio di schiacciamento o intrappolamento se gli operatori dovessero avvicinarsi alle parti mobili della pressa senza adeguate barriere; potenziale rischio di lesioni oculari o alla testa dovuto alla mancanza di DPI specifici (occhiali ed elmetto) in prossimità di carichi o parti meccaniche in movimento"}}</t>
        </is>
      </c>
      <c r="E11" s="7" t="n">
        <v>50</v>
      </c>
      <c r="F11" s="7" t="inlineStr">
        <is>
          <t>Il punteggio di 50 indica un livello di rischio moderato. Sebbene gli operatori stiano eseguendo procedure standard e indossino guanti protettivi, si rileva la mancata adozione di DPI critici come elmetti di protezione (sostituiti da un cappellino con visiera) e occhiali di sicurezza. Operare in prossimità di una pressa per stampaggio a iniezione attiva senza queste protezioni espone il personale a rischi di lesioni oculari e traumi cranici in caso di proiezioni di materiale o contatti accidentali con parti meccaniche.</t>
        </is>
      </c>
      <c r="G11" s="7" t="n">
        <v>50.25</v>
      </c>
      <c r="H11" s="9" t="inlineStr">
        <is>
          <t>arancione</t>
        </is>
      </c>
    </row>
    <row r="12" ht="34" customHeight="1">
      <c r="A12" s="7" t="n">
        <v>10</v>
      </c>
      <c r="B12" s="7" t="n">
        <v>20</v>
      </c>
      <c r="C12" s="7" t="n">
        <v>24</v>
      </c>
      <c r="D12" s="7" t="inlineStr">
        <is>
          <t>{"metadati": {"tempo_inizio_s": 20.0, "tempo_fine_s": 24.0, "durata_s": 4.0}, "descrizione_generale": {"scena": "Interno di uno stabilimento industriale, presumibilmente dedicato allo stampaggio di materie plastiche.", "contesto": "Area di produzione con macchinari pesanti e stoccaggio di prodotti finiti come sedie e cesti in plastica colorata."}, "elementi_rilevati": {"persone": [{"id": 1, "ruolo_apparente": "Operatore", "posizione": "Sinistra, vicino alla pressa", "abbigliamento": "T-shirt rosa, cappellino nero con visiera, guanti protettivi blu"}, {"id": 2, "ruolo_apparente": "Operatore/Supervisore", "posizione": "Destra, di fronte al pannello di controllo", "abbigliamento": "Maglia blu, guanti protettivi blu"}], "macchinari": [{"tipo": "Pressa per stampaggio a iniezione", "marca_visibile": "MIR", "componenti": "Pannello di controllo digitale, area stampo centrale"}], "oggetti": ["Pile di sedie in plastica (rosse, verdi, blu) sullo sfondo", "Bobine o componenti neri a sinistra"]}, "dinamica_e_azioni": {"attivita": "L'operatore a destra interagisce con il pannello di controllo della pressa. L'operatore a sinistra solleva le mani guantate verso la macchina, preparandosi a un'azione o segnalando qualcosa.", "condizioni_ambientali": "Illuminazione artificiale interna sufficiente, visibilità buona.", "limiti_osservativi": "La visuale dell'area interna della pressa è parzialmente ostruita dalla struttura del macchinario stesso."}, "analisi_sicurezza": {"dpi_rilevati": ["Guanti protettivi blu su entrambi gli operatori"], "dpi_mancanti_potenziali": ["Occhiali di protezione", "Elmetto di sicurezza", "Calzature antinfortunistiche (non visibili)"], "ragionamento_prudenziale": "Gli operatori lavorano a distanza ravvicinata da un macchinario industriale pesante in funzione. La vicinanza fisica alle parti in movimento richiede costante attenzione.", "sviluppi_rischiosi_plausibili": "Rischio moderato di schiacciamento degli arti superiori o contatto accidentale con superfici calde/organi in movimento qualora i sistemi di sicurezza della pressa venissero bypassati o non funzionassero correttamente."}}</t>
        </is>
      </c>
      <c r="E12" s="7" t="n">
        <v>35</v>
      </c>
      <c r="F12" s="7" t="inlineStr">
        <is>
          <t>Il punteggio riflette un rischio moderato. Sebbene gli operatori indossino guanti protettivi e operino in condizioni apparentemente normali, la prossimità a una pressa industriale pesante in funzione e la potenziale assenza di DPI critici (come occhiali di protezione ed elmetto) in un'area di stampaggio a caldo comportano un livello di rischio latente che richiede vigilanza.</t>
        </is>
      </c>
      <c r="G12" s="7" t="n">
        <v>41.1</v>
      </c>
      <c r="H12" s="10" t="inlineStr">
        <is>
          <t>giallo</t>
        </is>
      </c>
    </row>
    <row r="13" ht="34" customHeight="1">
      <c r="A13" s="7" t="n">
        <v>11</v>
      </c>
      <c r="B13" s="7" t="n">
        <v>22</v>
      </c>
      <c r="C13" s="7" t="n">
        <v>26</v>
      </c>
      <c r="D13" s="7" t="inlineStr">
        <is>
          <t>{"metadati": {"finestra_temporale": "22.0 - 26.0 secondi", "durata": "4.0 secondi"}, "descrizione_scena": {"contesto": "Sito industriale di stampaggio materie plastiche, evidenziato da pile di cesti plastici colorati sullo sfondo.", "macchinari": "Pressa ad iniezione industriale (marca MIR) con unità di controllo elettronica e schermo attivi sulla destra.", "presenze": "Due operatori di sesso maschile posizionati a ridosso della zona operativa del macchinario."}, "analisi_operatori": [{"posizione": "Sinistra", "attivita": "Manipola componenti all'interno della zona dello stampo della pressa.", "dpi_osservati": "Guanti protettivi blu.", "dpi_mancanti_visibili": "Assenza di elmetto protettivo (indossa cappellino con visiera) e occhiali di sicurezza."}, {"posizione": "Destra (primo piano)", "attivita": "Osserva l'operazione tenendo la mano guantata vicino alla struttura del macchinario.", "dpi_osservati": "Guanti protettivi blu."}], "condizioni_visibilita": {"stato": "Illuminazione interna sufficiente. L'inquadratura dall'alto limita la visuale della parte inferiore del corpo dei soggetti e dei dettagli interni della pressa."}, "analisi_rischi_sicurezza": {"dinamica_osservata": "Intervento manuale diretto nella zona di movimento della pressa mentre la macchina è potenzialmente alimentata.", "rischi_plausibili": "Schiacciamento o intrappolamento degli arti superiori in caso di attivazione imprevista del ciclo di stampaggio o cedimento dei blocchi di sicurezza.", "fattori_contribuenti": "Prossimità fisica di entrambi gli operatori all'area di pericolo e potenziale mancanza di coordinamento nell'uso dei comandi."}}</t>
        </is>
      </c>
      <c r="E13" s="7" t="n">
        <v>90</v>
      </c>
      <c r="F13" s="7" t="inlineStr">
        <is>
          <t>Il punteggio di 90 è giustificato dall'elevata criticità dell'operazione: un operatore interviene manualmente direttamente all'interno della zona dello stampo di una pressa ad iniezione potenzialmente alimentata, esponendosi al rischio gravissimo di schiacciamento o amputazione degli arti superiori. La presenza di un secondo operatore nelle immediate vicinanze aumenta il rischio di attivazione accidentale o di mancato coordinamento. Inoltre, si rileva il mancato utilizzo di DPI fondamentali come l'elmetto protettivo e gli occhiali di sicurezza.</t>
        </is>
      </c>
      <c r="G13" s="7" t="n">
        <v>84.19</v>
      </c>
      <c r="H13" s="8" t="inlineStr">
        <is>
          <t>rosso</t>
        </is>
      </c>
    </row>
    <row r="14" ht="34" customHeight="1">
      <c r="A14" s="7" t="n">
        <v>12</v>
      </c>
      <c r="B14" s="7" t="n">
        <v>24</v>
      </c>
      <c r="C14" s="7" t="n">
        <v>28</v>
      </c>
      <c r="D14" s="7" t="inlineStr">
        <is>
          <t>{"analisi_temporale": {"inizio_s": 24.0, "fine_s": 28.0, "durata_s": 4.0}, "descrizione_scena": {"contesto": "Reparto industriale per lo stampaggio di materie plastiche.", "macchinari": "Pressa ad iniezione MIR dotata di unità di controllo con schermo.", "oggetti": "Sedie e contenitori in plastica impilati sullo sfondo, terminale di supporto bianco."}, "personale_e_dpi": {"operatori_presenti": 2, "operatore_sinistra": "Uomo con t-shirt rosa e cappellino nero, indossa guanti blu.", "operatore_destra": "Uomo in primo piano, visibile parzialmente, indossa guanti blu.", "dpi_rilevati": ["Guanti protettivi"], "dpi_assenti_visibili": "Mancanza di occhiali di sicurezza e protezione per il capo."}, "azioni_e_condizioni": {"attivita": "Presidio e controllo manuale nei pressi della zona di stampaggio.", "condizioni_ambientali": "Illuminazione artificiale interna, visibilità generale buona.", "limitazioni_visive": "Inquadratura ravvicinata che occlude parzialmente i movimenti dell'operatore di destra e l'interno macchina."}, "analisi_sicurezza": {"valutazione_rischio": "Moderata (3 su 5)", "dinamiche_rischiose": "Presenza delle mani degli operatori vicino alle aree di movimento della pressa.", "sviluppi_plausibili": "Rischio di schiacciamento o cesoiamento degli arti in caso di avvio imprevisto del ciclo di chiusura.", "fattori_contribuenti": "Distanza di sicurezza ridotta rispetto agli organi lavoratori del macchinario."}}</t>
        </is>
      </c>
      <c r="E14" s="7" t="n">
        <v>60</v>
      </c>
      <c r="F14" s="7" t="inlineStr">
        <is>
          <t>Il punteggio di 60 riflette un livello di rischio moderato ma significativo. Gli operatori lavorano a distanza ridotta dagli organi in movimento della pressa ad iniezione, esponendo le mani a potenziali rischi di schiacciamento o cesoiamento in caso di avvio imprevisto del ciclo. Sebbene utilizzino guanti protettivi, si rileva la mancanza di altri DPI importanti come occhiali di sicurezza e protezione per il capo in un ambiente.</t>
        </is>
      </c>
      <c r="G14" s="7" t="n">
        <v>69.68000000000001</v>
      </c>
      <c r="H14" s="9" t="inlineStr">
        <is>
          <t>arancione</t>
        </is>
      </c>
    </row>
    <row r="15" ht="34" customHeight="1">
      <c r="A15" s="7" t="n">
        <v>13</v>
      </c>
      <c r="B15" s="7" t="n">
        <v>26</v>
      </c>
      <c r="C15" s="7" t="n">
        <v>30</v>
      </c>
      <c r="D15" s="7" t="inlineStr">
        <is>
          <t>{"contesto_ambientale": {"descrizione": "Interno di un impianto industriale, presumibilmente di stampaggio plastiche vista la presenza di prodotti finiti colorati sullo sfondo.", "illuminazione": "Artificiale e uniforme, tipica da fabbrica.", "limiti_visibilita": "Inquadratura fissa dall'alto che limita la visuale dettagliata della parte inferiore della macchina e dei lavoratori."}, "personale_e_dpi": [{"soggetto": "Operatore a sinistra", "dpi_osservati": "Nessuno. Indossa un cappellino sportivo non protettivo.", "nota": "Mancanza di elmetto e occhiali di protezione."}, {"soggetto": "Operatore a destra", "dpi_osservati": "Guanti protettivi di colore blu.", "nota": "Mancanza di elmetto e occhiali di protezione."}], "macchinari_e_oggetti": {"macchinario": "Pressa industriale per stampaggio a iniezione (marca MIR) con pannello di controllo elettronico attivo.", "oggetti": "Tavolo da lavoro bianco, pile di contenitori plastici colorati sullo sfondo."}, "analisi_dinamica_e_rischi": {"azioni_in_corso": "L'operatore di destra è posizionato vicino alla zona di stampaggio e al pannello, mentre l'altro osserva a breve distanza.", "fattori_contribuenti": "Presenza fisica molto ravvicinata alla zona operativa della pressa senza adeguate barriere visibili tra gli operatori e l'area di movimento.", "sviluppi_rischiosi_plausibili": "Rischio moderato di contatto accidentale con parti calde o in movimento. Possibile proiezione di frammenti in assenza di protezione oculare."}}</t>
        </is>
      </c>
      <c r="E15" s="7" t="n">
        <v>60</v>
      </c>
      <c r="F15" s="7" t="inlineStr">
        <is>
          <t>Il punteggio di 60 è giustificato dalla presenza di operatori che lavorano a distanza ravvicinata da una pressa industriale attiva senza i necessari DPI (elmetto e occhiali protettivi). La mancanza di barriere fisiche visibili tra i lavoratori e la zona di stampaggio, unita al rischio di contatto con parti calde o in movimento e alla possibile proiezione di frammenti, configura una situazione di rischio moderato-alto per la sicurezza.</t>
        </is>
      </c>
      <c r="G15" s="7" t="n">
        <v>63.87</v>
      </c>
      <c r="H15" s="9" t="inlineStr">
        <is>
          <t>arancione</t>
        </is>
      </c>
    </row>
    <row r="16" ht="34" customHeight="1">
      <c r="A16" s="7" t="n">
        <v>14</v>
      </c>
      <c r="B16" s="7" t="n">
        <v>28</v>
      </c>
      <c r="C16" s="7" t="n">
        <v>32</v>
      </c>
      <c r="D16" s="7" t="inlineStr">
        <is>
          <t>{"analisi_scena": {"contesto": "Ambiente industriale, presumibilmente stampaggio materie plastiche.", "descrizione_generale": "Tre operatori vicino a una pressa a iniezione industriale in funzione.", "condizioni_ambientali": "Illuminazione interna artificiale, presenza di materiale stoccato sullo sfondo."}, "soggetti_e_dpi": {"operatori_presenti": 3, "dettagli_persone": [{"id": 1, "posizione": "Primo piano sinistra", "abbigliamento": "T-shirt rosa, cappellino nero", "azione": "Manipola un dispositivo portatile."}, {"id": 2, "posizione": "Primo piano destra", "abbigliamento": "Parzialmente visibile, guanti blu", "azione": "Indica o interagisce con il pannello di controllo."}, {"id": 3, "posizione": "Sfondo sinistra", "abbigliamento": "T-shirt a righe", "azione": "Cammina verso l'area di lavoro."}], "dpi_rilevati": "Guanti protettivi blu sull'operatore a destra. Non si rilevano elmetti o occhiali di protezione."}, "macchinari_e_oggetti": {"macchinari": "Pressa a iniezione MIR con pannello di controllo digitale attivo.", "oggetti": "Pile di sedie/cestini in plastica colorata, tavolo di supporto bianco, dispositivo portatile."}, "analisi_sicurezza": {"limiti_visivi": "Inquadratura ravvicinata che limita la visuale degli arti inferiori e dei dettagli circostanti.", "fattori_rischio_osservati": "Mancanza di DPI visibili (occhiali, elmetti) in prossimità di macchinari pesanti. Terzo operatore che accede all'area senza apparente equipaggiamento protettivo.", "sviluppi_rischiosi_plausibili": "Possibile contatto accidentale con parti in movimento o superfici calde della pressa; rischio di distrazione dovuto all'uso del dispositivo portatile vicino alla macchina."}}</t>
        </is>
      </c>
      <c r="E16" s="7" t="n">
        <v>60</v>
      </c>
      <c r="F16" s="7" t="inlineStr">
        <is>
          <t>Il punteggio di 60 è giustificato dalla presenza di una pressa a iniezione attiva in concomitanza con evidenti lacune di sicurezza. Si rileva la mancanza di DPI essenziali (come occhiali protettivi ed elmetti) per gli operatori esposti a macchinari pesanti. Inoltre, l'uso di un dispositivo portatile da parte di un operatore in prossimità della macchina introduce un fattore di distrazione, aumentando il rischio di contatti accidentali con parti in movimento o superfici calde.</t>
        </is>
      </c>
      <c r="G16" s="7" t="n">
        <v>61.55</v>
      </c>
      <c r="H16" s="9" t="inlineStr">
        <is>
          <t>arancione</t>
        </is>
      </c>
    </row>
    <row r="17" ht="34" customHeight="1">
      <c r="A17" s="7" t="n">
        <v>15</v>
      </c>
      <c r="B17" s="7" t="n">
        <v>30</v>
      </c>
      <c r="C17" s="7" t="n">
        <v>34</v>
      </c>
      <c r="D17" s="7" t="inlineStr">
        <is>
          <t>{"metadati": {"intervallo_temporale": "00:00 - 00:03", "durata_secondi": 4.0}, "descrizione_scena": {"contesto": "Ambiente industriale, presumibilmente un impianto di stampaggio a iniezione di materie plastiche, evidenziato da pile di manufatti plastici colorati sullo sfondo.", "macchinari": "Grande pressa ad iniezione per plastica (marca MIR parzialmente visibile) dotata di pannello di controllo elettronico sul lato destro.", "oggetti": "Dispositivo di controllo palmare o tablet tenuto da uno degli operatori, pile di prodotti plastici finiti (rosso, verde, blu) a sinistra."}, "personale_e_attivita": {"operatore_1_primo_piano_sinistra": "Uomo con maglietta rosa e cappellino nero, intento a guardare o interagire con un dispositivo palmare.", "operatore_2_primo_piano_destra": "Uomo con maglietta grigia e guanti blu, osserva l'area interna della macchina o il pannello di controllo.", "operatore_3_sfondo": "Uomo con maglietta a righe e cappellino che si allontana verso sinistra all'inizio della clip."}, "dispositivi_protezione_individuale": {"rilevati": "Guanti protettivi blu indossati dall'operatore di destra.", "non_rilevati_o_assenti": "Mancanza di elmetti di protezione, occhiali di sicurezza o protezioni acustiche visibili, nonostante la prossimità a macchinari industriali pesanti."}, "analisi_sicurezza_e_rischi": {"condizioni_ambientali": "Illuminazione interna artificiale standard, spazio di lavoro parzialmente ingombro sullo sfondo.", "limitazioni_visive": "Inquadratura dall'alto che occulta la parte inferiore del corpo degli operatori e i dettagli interni della pressa.", "dinamiche_e_rischi_potenziali": "L'operatore in maglietta rosa appare distratto dal dispositivo palmare vicino alla macchina. La stretta vicinanza alla pressa ad iniezione senza adeguati DPI (come occhiali protettivi o elmetti) espone i lavoratori a rischi di proiezione di frammenti caldi, ustioni o contatti accidentali con parti meccaniche in movimento in caso di anomalie o movimenti improvvisi."}}</t>
        </is>
      </c>
      <c r="E17" s="7" t="n">
        <v>65</v>
      </c>
      <c r="F17" s="7" t="inlineStr">
        <is>
          <t>Il punteggio di 65 riflette un rischio medio-alto dovuto alla presenza di operatori a stretto contatto con una pressa ad iniezione senza i DPI necessari (occhiali di sicurezza, elmetti) e con un operatore palesemente distratto da un dispositivo palmare. La combinazione di distrazione e mancanza di protezione aumenta significativamente la probabilità e la gravità di potenziali infortuni (ustioni, proiezioni di materiale caldo, contatti accidentali).</t>
        </is>
      </c>
      <c r="G17" s="7" t="n">
        <v>64.87</v>
      </c>
      <c r="H17" s="9" t="inlineStr">
        <is>
          <t>arancione</t>
        </is>
      </c>
    </row>
    <row r="18" ht="34" customHeight="1">
      <c r="A18" s="7" t="n">
        <v>16</v>
      </c>
      <c r="B18" s="7" t="n">
        <v>32</v>
      </c>
      <c r="C18" s="7" t="n">
        <v>36</v>
      </c>
      <c r="D18" s="7" t="inlineStr">
        <is>
          <t>{"metadati": {"finestra_temporale": "32.0s - 36.0s", "durata_s": 4.0}, "descrizione_scena": {"contesto": "Interno di un impianto industriale, presumibilmente stampaggio materie plastiche.", "condizioni_ambientali": "Illuminazione artificiale standard, presenza di segnaletica a terra (linea gialla). Sfondo parzialmente ingombro di prodotti finiti.", "limitazioni_visive": "Inquadratura fissa dall'alto. Parziale occlusione dei dettagli interni del macchinario e dei soggetti ai margini."}, "elementi_rilevati": {"persone": [{"id": "operatore_1", "descrizione": "Uomo con maglietta rosa e cappellino nero in primo piano.", "dpi": "Nessun DPI visibile (mancanza di elmetto, occhiali o guanti)."}, {"id": "operatore_2", "descrizione": "Uomo anziano in basso a destra, parzialmente visibile.", "dpi": "Guanti protettivi blu."}, {"id": "operatore_3", "descrizione": "Uomo parzialmente visibile sul margine sinistro."}], "macchinari_e_oggetti": ["Pressa a iniezione industriale (marca MIR) con pannello di controllo digitale attivo.", "Pile di sedie in plastica colorate sullo sfondo.", "Sacchi industriali bianchi."]}, "dinamica_e_sicurezza": {"azioni_osservate": "L'operatore in maglietta rosa si avvicina e interagisce con la zona operativa della pressa, mentre l'operatore con i guanti indica o tocca un'area adiacente al meccanismo.", "analisi_rischio": {"valutazione_sintetica": 4, "fattori_contribuenti": "Prossimità fisica alle parti in movimento del macchinario senza barriere fisiche attive visibili. Mancanza di DPI completi per l'operatore in rosa.", "sviluppi_rischiosi_plausibili": "Rischio moderato di schiacciamento o intrappolamento degli arti superiori qualora il ciclo della pressa si avviasse inaspettatamente durante l'interazione manuale."}}}</t>
        </is>
      </c>
      <c r="E18" s="7" t="n">
        <v>75</v>
      </c>
      <c r="F18" s="7" t="inlineStr">
        <is>
          <t>Il punteggio di 75 è giustificato dall'interazione diretta dell'operatore principale con la zona operativa di una pressa a iniezione attiva in totale assenza di DPI visibili (come guanti o protezioni per gli arti). La prossimità fisica alle parti meccaniche in movimento, combinata con la mancanza di barriere di sicurezza attive visibili, genera un rischio concreto e immediato di schiacciamento o intrappolamento delle mani.</t>
        </is>
      </c>
      <c r="G18" s="7" t="n">
        <v>73.45</v>
      </c>
      <c r="H18" s="9" t="inlineStr">
        <is>
          <t>arancione</t>
        </is>
      </c>
    </row>
    <row r="19" ht="34" customHeight="1">
      <c r="A19" s="7" t="n">
        <v>17</v>
      </c>
      <c r="B19" s="7" t="n">
        <v>34</v>
      </c>
      <c r="C19" s="7" t="n">
        <v>38</v>
      </c>
      <c r="D19" s="7" t="inlineStr">
        <is>
          <t>{"analisi_scena": {"contesto": "Reparto industriale di stampaggio materie plastiche.", "persone_presenti": "Due operatori maschi nell'area di lavoro.", "macchinari_presenti": "Pressa ad iniezione di grandi dimensioni con pannello di controllo elettronico attivo.", "oggetti_presenti": "Sedie di plastica impilate, sacchi industriali bianchi e componenti cilindrici neri."}, "analisi_comportamentale_dpi": {"azioni_osservabili": "L'operatore in primo piano interagisce con il macchinario vicino alla zona di chiusura. Il secondo operatore, in maglietta rosa, si appoggia alla struttura della pressa osservando l'area.", "dpi_rilevati": "Guanti protettivi blu indossati dall'operatore in primo piano. Assenza di altri DPI visibili (occhiali di protezione, elmetti) su entrambi i soggetti.", "condizioni_ambientali": "Ambiente chiuso, illuminato, con spazi di passaggio parzialmente occupati da materiali stoccati."}, "valutazione_rischi_sicurezza": {"limitazioni_visive": "L'inquadratura ravvicinata limita la visuale completa dei movimenti della pressa e della postura inferiore dei soggetti.", "ragionamento_prudenziale": "La vicinanza fisica del secondo operatore alle parti mobili del macchinario, combinata con una postura di appoggio rilassata, riduce i tempi di reazione in caso di anomalia.", "sviluppi_rischiosi_plausibili": "Potenziale rischio di schiacciamento o intrappolamento degli arti superiori qualora la pressa esegua un ciclo di chiusura non previsto o non coordinato.", "fattori_contribuenti": "Mancanza di DPI specifici per il secondo operatore e stazionamento non necessario all'interno del raggio d'azione del macchinario."}}</t>
        </is>
      </c>
      <c r="E19" s="7" t="n">
        <v>75</v>
      </c>
      <c r="F19" s="7" t="inlineStr">
        <is>
          <t>Il punteggio di 75 è motivato dalla presenza di un operatore appoggiato direttamente alla struttura di una pressa ad iniezione attiva in una postura rilassata, che riduce i tempi di reazione. La vicinanza alla zona di chiusura del macchinario, combinata con la mancanza di DPI specifici (come occhiali di protezione ed elmetti) per entrambi i soggetti, genera un rischio concreto di schiacciamento o intrappolamento degli arti superiori in caso di anomalie o cicli non coordinati.</t>
        </is>
      </c>
      <c r="G19" s="7" t="n">
        <v>74.38</v>
      </c>
      <c r="H19" s="8" t="inlineStr">
        <is>
          <t>rosso</t>
        </is>
      </c>
    </row>
    <row r="20" ht="34" customHeight="1">
      <c r="A20" s="7" t="n">
        <v>18</v>
      </c>
      <c r="B20" s="7" t="n">
        <v>36</v>
      </c>
      <c r="C20" s="7" t="n">
        <v>40</v>
      </c>
      <c r="D20" s="7" t="inlineStr">
        <is>
          <t>{"analisi_scena": {"contesto": "Stabilimento industriale, presumibilmente per lo stampaggio di materie plastiche.", "descrizione_generale": "Due operatori si trovano in prossimità di una pressa a iniezione industriale in funzione."}, "soggetti_e_oggetti": {"persone": [{"id": 1, "ruolo": "Operatore principale", "dettagli": "Indossa una t-shirt rosa, cappellino nero e un guanto protettivo blu sulla mano sinistra."}, {"id": 2, "ruolo": "Secondo operatore", "dettagli": "Visibile parzialmente in primo piano di spalle, osserva la scena."}], "macchinari": "Pressa ad iniezione MIR con pannello di controllo digitale attivo.", "oggetti": "Sacchi bianchi di materia prima e pile di sedie in plastica colorate sullo sfondo."}, "dinamiche_e_ambiente": {"azioni_osservabili": "L'operatore in t-shirt rosa si appoggia alla struttura della pressa e si sporge verso la zona interna dello stampo per effettuare un controllo visivo.", "condizioni_ambientali": "Illuminazione interna sufficiente; area di lavoro circostante sgombra.", "limiti_visibilita": "La presenza del secondo operatore in primo piano ostruisce parzialmente la visuale della parte inferiore della macchina e del pannello."}, "safety_analysis": {"dpi_rilevati": "Guanto protettivo sulla mano sinistra. Non si osservano occhiali di protezione, elmetto o protezioni acustiche.", "fattori_contribuenti": "Posizione ravvicinata dell'operatore alle parti meccaniche interne della pressa durante la fase operativa.", "rischi_potenziali": "Rischio moderato di contatto accidentale con parti calde o in movimento (schiacciamento/ustione) qualora i sistemi di interblocco non fossero pienamente efficienti o attivi."}}</t>
        </is>
      </c>
      <c r="E20" s="7" t="n">
        <v>65</v>
      </c>
      <c r="F20" s="7" t="inlineStr">
        <is>
          <t>L'operatore si sporge verso la zona interna dello stampo di una pressa a iniezione attiva per effettuare un controllo visivo. L'avvicinamento a parti potenzialmente calde o in movimento, combinato con la mancanza di DPI adeguati (assenza di occhiali protettivi e presenza di un solo guanto), determina un rischio moderato-alto di schiacciamento o ustione in caso di mancato funzionamento dei sistemi di interblocco.</t>
        </is>
      </c>
      <c r="G20" s="7" t="n">
        <v>68.75</v>
      </c>
      <c r="H20" s="9" t="inlineStr">
        <is>
          <t>arancione</t>
        </is>
      </c>
    </row>
    <row r="21" ht="34" customHeight="1">
      <c r="A21" s="7" t="n">
        <v>19</v>
      </c>
      <c r="B21" s="7" t="n">
        <v>38</v>
      </c>
      <c r="C21" s="7" t="n">
        <v>42</v>
      </c>
      <c r="D21" s="7" t="inlineStr">
        <is>
          <t>{"descrizione_generale": "Tre operatori lavorano attorno a una pressa a iniezione industriale in un impianto di produzione.", "contesto": "Settore manifatturiero, probabilmente stampaggio di materie plastiche (presenza di sedie in plastica sullo sfondo).", "soggetti_coinvolti": ["Operatore 1: indossa maglia rosa e cappellino nero, opera fisicamente dentro la macchina.", "Operatore 2: indossa maglia blu/bianca, posizionato vicino al pannello di controllo.", "Operatore 3: indossa maglia a righe e cappellino al contrario, si avvicina con un utensile."], "macchinari_e_oggetti": {"macchinario_principale": "Pressa a iniezione MIR con pannello di controllo digitale attivo.", "oggetti_rilevanti": "Utensile manuale metallico (chiave), sacchi industriali bianchi, pile di sedie plastiche."}, "azioni_osservate": "L'operatore in rosa inserisce le mani nell'area di stampaggio aperta. L'operatore 2 si trova vicino alla console di comando. L'operatore 3 si avvicina per supportare l'intervento con un attrezzo.", "condizioni_ambientali": "Illuminazione interna artificiale standard. Spazio di lavoro ristretto attorno al macchinario.", "limiti_visivi": "La posizione della telecamera non permette di vedere con precisione il punto di contatto delle mani dell'operatore dentro la pressa.", "analisi_sicurezza": {"dpi_rilevati": "Uso di guanti da parte dell'operatore 2. Assenza di elmetti di protezione, occhiali di sicurezza o protezione acustica visibile.", "fattori_contribuenti": "Intervento manuale diretto in zona pericolosa senza apparente isolamento energetico (LOTO) visibile e con un collega vicino ai comandi.", "rischi_potenziali": "Rischio moderato-alto di schiacciamento degli arti superiori in caso di attivazione accidentale o ciclo automatico della pressa."}}</t>
        </is>
      </c>
      <c r="E21" s="7" t="n">
        <v>85</v>
      </c>
      <c r="F21" s="7" t="inlineStr">
        <is>
          <t>Il punteggio di 85 riflette un rischio molto elevato. Un operatore sta lavorando con le mani direttamente all'interno della zona di stampaggio di una pressa a iniezione senza evidenza di procedure di isolamento energetico (LOTO). La presenza di un secondo operatore vicino al pannello di controllo aumenta drasticamente il rischio di attivazione accidentale del macchinario, con conseguente pericolo di schiacciamento o amputazione degli arti superiori. Si rileva inoltre una carenza di DPI adeguati.</t>
        </is>
      </c>
      <c r="G21" s="7" t="n">
        <v>83.5</v>
      </c>
      <c r="H21" s="8" t="inlineStr">
        <is>
          <t>rosso</t>
        </is>
      </c>
    </row>
    <row r="22" ht="34" customHeight="1">
      <c r="A22" s="7" t="n">
        <v>20</v>
      </c>
      <c r="B22" s="7" t="n">
        <v>40</v>
      </c>
      <c r="C22" s="7" t="n">
        <v>44</v>
      </c>
      <c r="D22" s="7" t="inlineStr">
        <is>
          <t>{"scena_generale": {"contesto": "Interno di uno stabilimento industriale, presumibilmente per lo stampaggio di materie plastiche, data la presenza di una pressa a iniezione e sedie in plastica impilate sullo sfondo.", "luminosita": "Buona, illuminazione artificiale tipica da fabbrica."}, "personale_presente": [{"id": "Operatore 1", "posizione": "Sinistra, vicino a un carrello bianco", "abbigliamento": "T-shirt a righe, cappellino con visiera all'indietro", "attivita": "Osserva gli altri colleghi, tiene in mano un utensile (chiave inglese)."}, {"id": "Operatore 2", "posizione": "Centro, davanti alla pressa", "abbigliamento": "T-shirt rosa/pesca, cappellino nero", "attivita": "Si sporge verso la zona stampo della macchina e successivamente si china profondamente verso il basso."}, {"id": "Operatore 3", "posizione": "Destra, vicino al pannello di controllo", "abbigliamento": "Maglia blu e bianca, capelli rasati", "attivita": "Interagisce con il pannello di controllo della pressa."}], "macchinari_e_oggetti": {"macchinari": "Pressa a iniezione industriale per plastica (marca MIR parzialmente visibile) con pannello di controllo digitale attivo.", "oggetti": "Sedie di plastica colorate impilate, sacchi bianchi di materia prima, carrello di servizio bianco con utensili."}, "dpi_rilevati": {"presenti": "Guanti protettivi blu indossati dall'Operatore 3.", "assenti_critici": "Mancanza di elmetti protettivi, occhiali di sicurezza e calzature di sicurezza evidenti per tutti i presenti."}, "analisi_sicurezza": {"comportamenti_a_rischio": "L'Operatore 2 si sporge e si china all'interno dell'area operativa della pressa mentre l'Operatore 3 è vicino al pannello di comando. Questo crea un rischio di attivazione accidentale del ciclo di stampaggio.", "rischi_potenziali": "Schiacciamento degli arti superiori o intrappolamento nella pressa; lesioni da movimento imprevisto del macchinario; rischi ergonomici dovuti alla postura incongrua dell'Operatore 2.", "fattori_contribuenti": "Prossimità fisica eccessiva alla zona di pericolo senza barriere fisiche visibili attive o procedure di Lockout/Tagout (LOTO) evidenti durante l'ispezione/intervento manuale."}}</t>
        </is>
      </c>
      <c r="E22" s="7" t="n">
        <v>92</v>
      </c>
      <c r="F22" s="7" t="inlineStr">
        <is>
          <t>Il punteggio di rischio è estremamente elevato (92) a causa della presenza dell'Operatore 2 parzialmente all'interno della zona stampo della pressa a iniezione mentre l'Operatore 3 agisce sul pannello di controllo. Questa configurazione, in assenza di procedure LOTO (Lockout/Tagout) visibili o barriere di sicurezza attive, espone l'operatore a un rischio imminente di schiacciamento o intrappolamento grave in caso di attivazione accidentale del macchinario. Si rileva inoltre la quasi totale assenza di DPI fondamentali (elmetti, occhiali, calzature di sicurezza).</t>
        </is>
      </c>
      <c r="G22" s="7" t="n">
        <v>90.34999999999999</v>
      </c>
      <c r="H22" s="8" t="inlineStr">
        <is>
          <t>rosso</t>
        </is>
      </c>
    </row>
    <row r="23" ht="34" customHeight="1">
      <c r="A23" s="7" t="n">
        <v>21</v>
      </c>
      <c r="B23" s="7" t="n">
        <v>42</v>
      </c>
      <c r="C23" s="7" t="n">
        <v>46</v>
      </c>
      <c r="D23" s="7" t="inlineStr">
        <is>
          <t>{"metadati": {"intervallo_temporale": "42.0s - 46.0s", "durata_s": 4.0}, "descrizione_generale": "Tre operatori lavorano nei pressi di una pressa a iniezione industriale in un impianto di stampaggio plastica.", "contesto_industriale": "Area di produzione con macchinari pesanti e stoccaggio di prodotti plastici finiti.", "persone_presenti": [{"id": "operatore_1", "posizione": "Sinistra, in piedi", "abbigliamento": "T-shirt a righe, cappellino"}, {"id": "operatore_2", "posizione": "Centro, chino", "abbigliamento": "Maglia rosa"}, {"id": "operatore_3", "posizione": "Destra, in primo piano", "abbigliamento": "Maglia blu"}], "macchinari_e_oggetti": {"macchinari": "Pressa a iniezione per plastica (marca MIR) con pannello di controllo attivo.", "oggetti": "Attrezzo metallico su ripiano bianco, prodotti plastici impilati sullo sfondo."}, "azioni_osservate": "L'operatore a sinistra osserva mentre gli altri due sono chini ed effettuano interventi manuali nella parte inferiore o interna del macchinario.", "condizioni_ambientali": "Illuminazione artificiale interna sufficiente; spazio di manovra ristretto attorno alla macchina.", "limiti_visibilita": "La visuale sui dettagli dell'intervento dei due operatori chini è parzialmente ostruita dai loro stessi corpi e dalla struttura della macchina.", "dpi_rilevati": {"presenti": "Nessuno chiaramente visibile.", "assenti_raccomandati": "Mancanza di elmetti protettivi, occhiali di sicurezza e guanti da lavoro."}, "analisi_rischi_prudenziale": {"dinamica_in_corso": "Intervento manuale a macchina potenzialmente attiva (pannello acceso) senza barriere di sicurezza visibili.", "sviluppi_rischiosi": "Rischio di schiacciamento degli arti o intrappolamento in caso di avvio accidentale della pressa. Rischio di urti alla testa per gli operatori chini.", "fattori_contribuenti": "Mancato uso di DPI idonei e potenziale assenza di procedure di Lockout/Tagout (LOTO) visibili durante la regolazione."}}</t>
        </is>
      </c>
      <c r="E23" s="7" t="n">
        <v>90</v>
      </c>
      <c r="F23" s="7" t="inlineStr">
        <is>
          <t>Il punteggio di 90 è giustificato dall'elevata criticità dell'intervento manuale all'interno di una pressa a iniezione potenzialmente attiva (pannello acceso) senza evidenza di procedure di Lockout/Tagout (LOTO). La totale assenza di DPI visibili (elmetti, guanti, occhiali) e lo spazio di manovra ristretto espongono gli operatori a rischi severi di schiacciamento, intrappolamento e urti alla testa.</t>
        </is>
      </c>
      <c r="G23" s="7" t="n">
        <v>90.14</v>
      </c>
      <c r="H23" s="8" t="inlineStr">
        <is>
          <t>rosso</t>
        </is>
      </c>
    </row>
    <row r="24" ht="34" customHeight="1">
      <c r="A24" s="7" t="n">
        <v>22</v>
      </c>
      <c r="B24" s="7" t="n">
        <v>44</v>
      </c>
      <c r="C24" s="7" t="n">
        <v>48</v>
      </c>
      <c r="D24" s="7" t="inlineStr">
        <is>
          <t>{"descrizione_generale": "La scena si svolge all'interno di un ambiente industriale, presumibilmente un impianto di stampaggio di materie plastiche, caratterizzato dalla presenza di macchinari pesanti e prodotti finiti.", "contesto_industriale": "Stabilimento di produzione manifatturiera con una pressa ad iniezione per plastica di grandi dimensioni e pile di sedie in plastica colorata stoccate sullo sfondo.", "persone_presenti": [{"id": 1, "posizione": "Sinistra della scena", "abbigliamento": "T-shirt a righe orizzontali con scritta 'VINTAGE CAMPING', cappellino nero visiera all'indietro.", "dpi_rilevati": "Nessun DPI visibile (assenza di elmetto, occhiali di protezione o protezioni acustiche)."}, {"id": 2, "posizione": "In basso al centro/destra", "dettagli": "Uomo parzialmente visibile, chinato vicino alla parte inferiore del macchinario.", "dpi_rilevati": "Nessun DPI visibile."}], "macchinari_e_oggetti": {"macchinari": "Pressa ad iniezione per plastica marca 'MIR' dotata di pannello di controllo elettronico attivo sulla destra.", "oggetti": "Un piccolo carrello di servizio bianco posizionato davanti all'operatore di sinistra, sul quale è appoggiato un utensile metallico (chiave di manovra). Pile di sedie in plastica (rosse, verdi, blu) sullo sfondo."}, "azioni_osservabili": "L'operatore a sinistra osserva l'altro lavoratore che si trova in posizione chinata, intento a effettuare un'operazione non chiaramente visibile nella parte inferiore o interna del macchinario.", "condizioni_ambientali": "Illuminazione artificiale interna apparentemente adeguata. Spazio di lavoro che presenta elementi di ingombro sullo sfondo (sedie impilate).", "limiti_visibilita": "L'operatore chinato è fortemente occluso dal bordo inferiore dell'inquadratura e dalla struttura stessa della macchina, limitando la comprensione esatta della sua attività.", "analisi_rischi_prudenziale": {"dinamiche_in_corso": "Intervento manuale o ispezione in prossimità di un macchinario industriale potenzialmente attivo o in fase di manutenzione.", "fattori_contribuenti": "Mancato utilizzo di dispositivi di protezione individuale (DPI) di base come occhiali di sicurezza e casco protettivo in un'area di produzione attiva.", "sviluppi_rischiosi_plausibili": "Rischio di lesioni oculari o facciali dovute a proiezioni accidentali di materiale o fluidi durante l'ispezione della pressa; rischio di urti alla testa per l'operatore chinato in caso di movimenti repentini vicino alle parti metalliche della macchina."}}</t>
        </is>
      </c>
      <c r="E24" s="7" t="n">
        <v>80</v>
      </c>
      <c r="F24" s="7" t="inlineStr">
        <is>
          <t>Il punteggio di 80 è giustificato dalla presenza di un operatore chinato intento a effettuare un intervento manuale o ispezione su un macchinario industriale pesante (pressa ad iniezione) potenzialmente attivo, in totale assenza di Dispositivi di Protezione Individuale (DPI) come elmetto e occhiali di sicurezza. Questa condizione espone i lavoratori a rischi concreti di lesioni oculari per proiezione di materiali e traumi cranici da urto contro le parti metalliche della macchina.</t>
        </is>
      </c>
      <c r="G24" s="7" t="n">
        <v>84.06</v>
      </c>
      <c r="H24" s="8" t="inlineStr">
        <is>
          <t>rosso</t>
        </is>
      </c>
    </row>
    <row r="25" ht="34" customHeight="1">
      <c r="A25" s="7" t="n">
        <v>23</v>
      </c>
      <c r="B25" s="7" t="n">
        <v>46</v>
      </c>
      <c r="C25" s="7" t="n">
        <v>50</v>
      </c>
      <c r="D25" s="7" t="inlineStr">
        <is>
          <t>{"scena_e_contesto": {"descrizione_generale": "Area di produzione industriale, presumibilmente stampaggio di materie plastiche, caratterizzata dalla presenza di un grande macchinario industriale e pile di prodotti finiti (sedie in plastica) sullo sfondo.", "contesto": "Fabbrica / impianto di stampaggio a iniezione."}, "personale_presente": [{"id": "Operatore 1", "descrizione": "Uomo giovane con maglietta a righe e cappellino nero al contrario.", "ruolo_apparente": "Operatore o manutentore che interagisce con il macchinario o spiega una procedura."}, {"id": "Operatore 2", "descrizione": "Uomo di mezza età con capelli grigi, visibile parzialmente sul lato destro inferiore.", "ruolo_apparente": "Interlocutore, possibile supervisore o collega."}, {"id": "Persona 3", "descrizione": "Testa di una terza persona che appare brevemente dal basso al secondo 00:03.", "ruolo_apparente": "Non determinabile."}], "macchinari_e_oggetti": {"macchinario_principale": "Pressa per stampaggio a iniezione marca 'MIR' con pannello di controllo digitale attivo e barriere di protezione arancioni.", "oggetti_background": "Pile di sedie di plastica colorate (verdi, rosse, blu), sacchi bianchi di materia prima, un tavolino bianco con documenti/strumenti davanti alla macchina."}, "azioni_osservabili": {"descrizione": "L'Operatore 1 parla con l'Operatore 2 e, al secondo 00:02, indica con il braccio sinistro l'area interna o di chiusura della pressa, illustrando una dinamica o un problema legato al macchinario."}, "condizioni_ambientali_e_visibilita": {"illuminazione": "Buona, tipica di un ambiente industriale interno.", "limiti_visibilita": "Inquadratura fissa da telecamera di sicurezza. La parte inferiore dei corpi e l'area retrostante il pannello sono parzialmente occluse."}, "analisi_sicurezza": {"dpi_rilevati": "Nessun Dispositivo di Protezione Individuale (DPI) visibile. Entrambi i soggetti non indossano occhiali di protezione, elmetti, protezioni acustiche o abbigliamento ad alta visibilità.", "fattori_di_rischio_osservati": "Interazione ravvicinata con un macchinario pesante potenzialmente attivo senza DPI adeguati.", "sviluppi_rischiosi_plausibili": "Rischio di schiacciamento o ustione in caso di malfunzionamento delle barriere o avvio accidentale durante l'ispezione visiva ravvicinata; rischio di lesioni oculari per assenza di occhiali protettivi in prossimità della pressa."}}</t>
        </is>
      </c>
      <c r="E25" s="7" t="n">
        <v>70</v>
      </c>
      <c r="F25" s="7" t="inlineStr">
        <is>
          <t>Il punteggio di 70 riflette una situazione di rischio medio-alto. Gli operatori interagiscono a distanza ravvicinata con una pressa per stampaggio a iniezione attiva (pannello di controllo acceso) e indicano l'area di chiusura senza indossare alcun Dispositivo di Protezione Individuale (DPI) essenziale, come occhiali protettivi, elmetti o abbigliamento da lavoro idoneo. L'assenza di DPI in prossimità di parti in movimento e ad alta temperatura configura una chiara violazione delle norme di sicurezza e un potenziale pericolo di infortunio (schiacciamento, ustioni o lesioni oculari).</t>
        </is>
      </c>
      <c r="G25" s="7" t="n">
        <v>75.62</v>
      </c>
      <c r="H25" s="8" t="inlineStr">
        <is>
          <t>rosso</t>
        </is>
      </c>
    </row>
    <row r="26" ht="34" customHeight="1">
      <c r="A26" s="7" t="n">
        <v>24</v>
      </c>
      <c r="B26" s="7" t="n">
        <v>48</v>
      </c>
      <c r="C26" s="7" t="n">
        <v>52</v>
      </c>
      <c r="D26" s="7" t="inlineStr">
        <is>
          <t>{"metadati": {"intervallo_temporale": "48.0 - 52.0 secondi", "durata": "4.0 secondi"}, "descrizione_generale": "Tre operatori si trovano nei pressi di una pressa ad iniezione per materie plastiche. Uno di essi si sporge pericolosamente all'interno della zona di stampaggio.", "contesto_industriale": "Stabilimento di produzione e stampaggio di materie plastiche, come suggerito dalle pile di manufatti plastici visibili sullo sfondo.", "personale_presente": [{"operatore": "Operatore 1", "abbigliamento": "T-shirt a righe, cappellino nero, guanti blu", "azione": "Inizialmente indica la macchina, poi assiste fisicamente l'operatore 2 tenendolo per un braccio o per la schiena."}, {"operatore": "Operatore 2", "abbigliamento": "T-shirt rosa, cappellino nero", "azione": "Si introduce con la parte superiore del corpo e le braccia direttamente all'interno della zona di chiusura dello stampo."}, {"operatore": "Operatore 3", "abbigliamento": "Giacca blu e bianca", "azione": "Osserva l'operazione a distanza ravvicinata, posizionato vicino al pannello di controllo della macchina."}], "macchinari_e_oggetti": {"macchinario_principale": "Pressa ad iniezione industriale con telaio arancione e stampo aperto", "interfaccia": "Pannello di controllo elettronico con schermo e tastiera sul lato destro", "oggetti_sfondo": "Sacchi bianchi di materia prima, pile di sedie e contenitori in plastica"}, "condizioni_ambientali": "Illuminazione interna di tipo industriale, spazi di passaggio parzialmente ristretti a causa dello stoccaggio di materiali.", "limiti_osservativi": "La telecamera fissa non permette di verificare se la macchina sia stata effettivamente spenta o messa in sicurezza (LOTO) prima dell'intervento manuale.", "analisi_sicurezza": {"comportamenti_a_rischio": "Accesso corporeo diretto all'interno della zona di pericolo (stampo) senza barriere di sicurezza attive o procedure visibili di blocco energetico.", "dpi_rilevati": "Presenza di guanti protettivi blu solo sull'operatore 1. Mancanza di elmetti, occhiali di protezione o protezione per le braccia per l'operatore 2 che esegue l'intervento.", "fattori_contribuenti": "Interazione fisica e vicinanza eccessiva tra i tre operatori in una zona ristretta, che aumenta il rischio di distrazione o azionamento accidentale dei comandi.", "sviluppi_rischiosi_plausibili": "Grave rischio di schiacciamento o cesoiamento degli arti superiori e del busto in caso di avviamento imprevisto del ciclo di stampaggio; rischio di ustioni da contatto con superfici calde."}}</t>
        </is>
      </c>
      <c r="E26" s="7" t="n">
        <v>95</v>
      </c>
      <c r="F26" s="7" t="inlineStr">
        <is>
          <t>Il punteggio di 95 riflette una situazione di imminente e gravissimo pericolo per l'incolumità dell'operatore. L'inserimento del busto e degli arti superiori direttamente nella zona di chiusura dello stampo di una pressa ad iniezione, in assenza di barriere di sicurezza attive o di una procedura di isolamento energetico (LOTO) verificata, espone il lavoratore a un rischio critico di schiacciamento, cesoiamento fatale o gravi ustioni. La presenza di un altro operatore vicino al pannello di controllo aumenta ulteriormente il rischio di un azionamento accidentale della macchina durante l'intervento manuale.</t>
        </is>
      </c>
      <c r="G26" s="7" t="n">
        <v>93.5</v>
      </c>
      <c r="H26" s="8" t="inlineStr">
        <is>
          <t>rosso</t>
        </is>
      </c>
    </row>
    <row r="27" ht="34" customHeight="1">
      <c r="A27" s="7" t="n">
        <v>25</v>
      </c>
      <c r="B27" s="7" t="n">
        <v>50</v>
      </c>
      <c r="C27" s="7" t="n">
        <v>54</v>
      </c>
      <c r="D27" s="7" t="inlineStr">
        <is>
          <t>{"descrizione_generale": "La scena si svolge all'interno di un impianto industriale, presumibilmente di stampaggio plastico, con tre operatori vicino a un grande macchinario.", "contesto": "Ambiente di produzione industriale con macchinari pesanti e stoccaggio di prodotti finiti (sedie in plastica colorate) sullo sfondo.", "personale": [{"id": 1, "abbigliamento": "T-shirt a righe grigie/verdi, cappellino nero al contrario", "ruolo_apparente": "Operatore"}, {"id": 2, "abbigliamento": "T-shirt rosa, guanti da lavoro blu", "ruolo_apparente": "Operatore"}, {"id": 3, "abbigliamento": "T-shirt blu con strisce bianche", "ruolo_apparente": "Operatore/Supervisore"}], "macchinari_e_oggetti": {"macchinari": "Pressa per stampaggio a iniezione con pannello di controllo digitale visibile sulla destra.", "oggetti": "Pile di sedie e contenitori in plastica colorati (rosso, verde, blu) su scaffalature sullo sfondo."}, "azioni_osservabili": "Nei primi secondi, l'operatore 1 e l'operatore 3 sembrano trattenere o assistere l'operatore 2 (in rosa). Successivamente, l'operatore 2 si allontana verso il fondo della scena, mentre l'operatore 3 rimane di spalle e l'operatore 1 si sposta in avanti toccandosi la testa.", "condizioni_ambientali_e_visibilita": {"illuminazione": "Sufficiente, tipica da interno industriale.", "limiti_visibilita": "Inquadratura fissa dall'alto (CAM04). Parziale occlusione reciproca tra i soggetti durante il contatto iniziale."}, "analisi_sicurezza": {"dpi_rilevati": "Guanti protettivi blu indossati solo dall'operatore in rosa. Assenza di elmetti protettivi, occhiali di sicurezza o protezioni acustiche visibili.", "ragionamento_causale": "Il contatto fisico iniziale tra i tre lavoratori suggerisce una possibile situazione di tensione, un malore o un coordinamento concitato, che distoglie l'attenzione dalle operazioni di sicurezza vicino al macchinario attivo.", "rischi_potenziali": "La distrazione dei lavoratori e il movimento instabile vicino alla pressa in funzione aumentano il rischio di urti accidentali, intrappolamento o contatto con parti calde/in movimento del macchinario.", "fattori_contribuenti": "Mancanza di DPI cranici/oculari e potenziale stato di alterazione o distrazione dei soggetti in prossimità dell'area operativa del macchinario."}}</t>
        </is>
      </c>
      <c r="E27" s="7" t="n">
        <v>80</v>
      </c>
      <c r="F27" s="7" t="inlineStr">
        <is>
          <t>Il punteggio riflette un rischio elevato dovuto alla combinazione di un'interazione fisica anomala (possibile malore o tensione) tra gli operatori in prossimità di una pressa a iniezione attiva, unita alla quasi totale assenza di DPI obbligatori (come elmetti e occhiali di sicurezza). La distrazione e l'instabilità dei soggetti vicino a parti calde o in movimento del macchinario aumentano significativamente la probabilità di gravi infortuni o contatti accidentali.</t>
        </is>
      </c>
      <c r="G27" s="7" t="n">
        <v>85.40000000000001</v>
      </c>
      <c r="H27" s="8" t="inlineStr">
        <is>
          <t>rosso</t>
        </is>
      </c>
    </row>
    <row r="28" ht="34" customHeight="1">
      <c r="A28" s="7" t="n">
        <v>26</v>
      </c>
      <c r="B28" s="7" t="n">
        <v>52</v>
      </c>
      <c r="C28" s="7" t="n">
        <v>56</v>
      </c>
      <c r="D28" s="7" t="inlineStr">
        <is>
          <t>{"descrizione_generale": "La scena si svolge all'interno di uno stabilimento industriale, presumibilmente dedicato allo stampaggio di materie plastiche, data la presenza di una pressa ad iniezione e di pile di sedie in plastica colorata sullo sfondo.", "contesto_industriale": "Area di produzione e stampaggio termoplastico con macchinari pesanti in funzione o pronti all'uso.", "persone_presenti": [{"id": "operatore_1", "posizione": "Primo piano, sinistra", "abbigliamento": "Maglietta a righe orizzontali, cappellino scuro con visiera all'indietro", "dpi": "Nessun DPI visibile (mancanza di elmetto, occhiali di protezione o gilet ad alta visibilità)"}, {"id": "operatore_2", "posizione": "Centro, di spalle", "abbigliamento": "Maglietta blu con colletto bianco, jeans", "dpi": "Guanti da lavoro protettivi visibili sulle mani. Mancanza di elmetto e gilet ad alta visibilità"}, {"id": "operatore_3", "posizione": "Sfondo, in movimento verso sinistra", "abbigliamento": "Maglietta rosa, jeans", "dpi": "Nessun DPI visibile"}], "macchinari_e_oggetti": {"macchinario_principale": "Pressa ad iniezione per plastica con pannello di controllo digitale attivo sulla destra", "oggetti_vicini": "Un carrello o contenitore bianco posizionato davanti all'operatore in maglia blu", "sfondo": "Colonne di sedie e cesti in plastica impilati (colori verde, rosso, blu)"}, "azioni_osservabili": "L'operatore in maglia blu interagisce con il contenitore bianco posizionato davanti alla pressa, mentre l'operatore con la maglia a righe osserva la scena stando in piedi. L'operatore in maglia rosa si allontana verso il fondo del reparto.", "condizioni_ambientali": "Illuminazione artificiale interna tipica da capannone industriale. Spazio di lavoro parzialmente ingombrato da materiali e attrezzature.", "limiti_visibilita": "La telecamera è posizionata in alto e alle spalle degli operatori, limitando la visuale dettagliata sulle mani dell'operatore in maglia blu e sulla zona operativa interna della pressa.", "analisi_sicurezza": {"dpi_utilizzati": "Solo guanti protettivi per l'operatore al centro.", "fattori_contribuenti_rischio": "Mancanza di elmetti protettivi in prossimità di macchinari pesanti e potenziale assenza di calzature antinfortunistiche (non chiaramente verificabili). Presenza di più persone in un'area ristretta vicino alla macchina.", "sviluppi_rischiosi_plausibili": "Rischio di schiacciamento o intrappolamento degli arti superiori durante la manipolazione di oggetti vicino alla pressa; rischio di inciampo dovuto alla presenza del contenitore bianco a terra in una zona di passaggio."}}</t>
        </is>
      </c>
      <c r="E28" s="7" t="n">
        <v>60</v>
      </c>
      <c r="F28" s="7" t="inlineStr">
        <is>
          <t>Il punteggio di 60 indica un livello di rischio moderato-alto. Nonostante non vi siano incidenti in corso, si osserva una diffusa non conformità nell'uso dei DPI: tre operatori si trovano in prossimità di un macchinario pesante attivo (pressa ad iniezione) senza elmetto protettivo o gilet ad alta visibilità (solo uno indossa guanti). Inoltre, la presenza di un contenitore bianco a terra in una zona di transito e l'area parzialmente ingombrata aumentano il rischio di inciampo e caduta, mentre l'interazione ravvicinata con la pressa comporta un potenziale rischio di schiacciamento degli arti.</t>
        </is>
      </c>
      <c r="G28" s="7" t="n">
        <v>70.16</v>
      </c>
      <c r="H28" s="9" t="inlineStr">
        <is>
          <t>arancione</t>
        </is>
      </c>
    </row>
    <row r="29" ht="34" customHeight="1">
      <c r="A29" s="7" t="n">
        <v>27</v>
      </c>
      <c r="B29" s="7" t="n">
        <v>54</v>
      </c>
      <c r="C29" s="7" t="n">
        <v>58</v>
      </c>
      <c r="D29" s="7" t="inlineStr">
        <is>
          <t>{"descrizione_scena": {"generale": "Inquadratura fissa di un'area di produzione industriale, caratterizzata dalla presenza di un grande macchinario industriale e diversi operatori in movimento.", "contesto": "Fabbrica di stampaggio o lavorazione di materie plastiche, evidenziata dalla presenza di pile di manufatti plastici colorati (sedie o contenitori) e sacchi di materia prima sullo sfondo."}, "soggetti_coinvolti": {"operatori": [{"id": "operatore_1", "posizione": "Primo piano, lato sinistro", "abbigliamento": "Maglietta a righe orizzontali grigie e nere, cappellino scuro, pantaloni scuri", "azione": "Inizialmente fermo di spalle, successivamente si gira e cammina verso il fondo della stanza"}, {"id": "operatore_2", "posizione": "Centro-sinistra, vicino al macchinario", "abbigliamento": "Maglietta blu, jeans, guanti da lavoro scuri", "azione": "Sposta manualmente un carrello o contenitore bianco verso sinistra"}, {"id": "operatore_3", "posizione": "Sfondo, lato sinistro", "abbigliamento": "Maglietta rosa/salmone, pantaloni scuri", "azione": "Cammina nell'area retrostante vicino alle pile di plastica"}]}, "elementi_materiali": {"macchinari": [{"tipo": "Pressa per stampaggio a iniezione", "marca_visibile": "MIR", "stato": "Accesa, con pannello di controllo digitale illuminato sul lato destro"}], "oggetti_stoccati": ["Pile verticali di sedie o cestini in plastica di colore rosso, verde e blu", "Grandi sacchi bianchi contenenti probabilmente granuli di plastica", "Un rotolo o pila di tubi neri flessibili sulla sinistra", "Un piccolo carrello o mobiletto bianco movimentato manualmente"]}, "analisi_sicurezza": {"condizioni_ambientali": "Illuminazione interna artificiale costante. Spazio di lavoro parzialmente ingombro di materiali che limitano le vie di fuga o di transito agevole.", "limiti_visibilita": "La telecamera offre una buona visuale del macchinario, ma l'area a sinistra presenta zone d'ombra e parziali occlusioni dovute ai materiali impilati.", "dpi_rilevati": {"presenti": "Guanti protettivi indossati dall'operatore con la maglia blu.", "assenti_visibili": "Mancanza di elmetti protettivi, calzature di sicurezza non chiaramente identificabili come antinfortunistiche, assenza di protezioni oculari o acustiche visibili."}, "ragionamento_causale_e_rischi": {"dinamica_in_corso": "L'operatore in blu movimenta un carico in uno spazio ristretto passando molto vicino all'operatore con la maglia a righe.", "rischi_plausibili": "Rischio di collisione o schiacciamento degli arti inferiori durante la movimentazione del carrello in spazi angusti. Rischio di inciampo dovuto alla presenza di oggetti e sacchi a terra. Rischio di caduta materiali dalle pile instabili sullo sfondo."}}}</t>
        </is>
      </c>
      <c r="E29" s="7" t="n">
        <v>50</v>
      </c>
      <c r="F29" s="7" t="inlineStr">
        <is>
          <t>Il punteggio di 50 indica un livello di rischio moderato. Pur non essendoci un incidente imminente, si rilevano diverse criticità per la sicurezza: l'area di lavoro è parzialmente ingombra di materiali che limitano le vie di transito e di fuga (rischio inciampo), si nota una carenza di DPI essenziali (mancanza di elmetti e protezioni oculari/acustiche visibili) e la movimentazione manuale del carrello avviene in uno spazio ristretto a ridosso di un altro operatore, aumentando il rischio di collisione o schiacciamento.</t>
        </is>
      </c>
      <c r="G29" s="7" t="n">
        <v>58.06</v>
      </c>
      <c r="H29" s="9" t="inlineStr">
        <is>
          <t>arancione</t>
        </is>
      </c>
    </row>
    <row r="30" ht="34" customHeight="1">
      <c r="A30" s="7" t="n">
        <v>28</v>
      </c>
      <c r="B30" s="7" t="n">
        <v>56</v>
      </c>
      <c r="C30" s="7" t="n">
        <v>60</v>
      </c>
      <c r="D30" s="7" t="inlineStr">
        <is>
          <t>{"analisi_scena": {"contesto": "Ambiente industriale, reparto stampaggio materie plastiche.", "personale": "Due operatori presenti nell'area di lavoro retrostante la macchina.", "macchinari": "Pressa ad iniezione di grandi dimensioni (marca MIR) con pannello di controllo attivo.", "oggetti": "Sacchi bianchi di materia prima, pile di sedie in plastica colorate, contenitori cilindrici."}, "dinamica_azioni": {"attivita": "Un operatore in maglia a righe si sposta dietro la macchina, l'altro in maglia blu si muove vicino alle sedie impilate.", "condizioni_ambientali": "Illuminazione interna sufficiente, spazi di passaggio ristretti tra macchinari e materiali stoccati."}, "sicurezza_dpi": {"dpi_rilevati": "Non si evidenziano DPI specifici come elmetti o indumenti ad alta visibilita; abbigliamento civile ordinario.", "limiti_visibilita": "Inquadratura dall'alto con parziale occlusione della zona di transito dei lavoratori dietro la pressa."}, "valutazione_rischi": {"fattori_contribuenti": "Presenza di ostacoli a terra (sacchi) e passaggi angusti vicino a macchinari operativi.", "sviluppi_rischiosi": "Rischio di inciampo o urto contro le strutture della pressa o i materiali stoccati durante i movimenti."}}</t>
        </is>
      </c>
      <c r="E30" s="7" t="n">
        <v>50</v>
      </c>
      <c r="F30" s="7" t="inlineStr">
        <is>
          <t>Il punteggio riflette un rischio moderato dovuto alla presenza di ostacoli a terra (sacchi) e passaggi angusti in prossimità di una pressa ad iniezione attiva. La mancanza di DPI visibili (come indumenti ad alta visibilità) e la parziale ostruzione visiva aumentano il rischio di inciampo o urto accidentale per gli operatori nell'area.</t>
        </is>
      </c>
      <c r="G30" s="7" t="n">
        <v>53.22</v>
      </c>
      <c r="H30" s="9" t="inlineStr">
        <is>
          <t>arancione</t>
        </is>
      </c>
    </row>
    <row r="31" ht="34" customHeight="1">
      <c r="A31" s="7" t="n">
        <v>29</v>
      </c>
      <c r="B31" s="7" t="n">
        <v>58</v>
      </c>
      <c r="C31" s="7" t="n">
        <v>62</v>
      </c>
      <c r="D31" s="7" t="inlineStr">
        <is>
          <t>{"analisi_scena": {"descrizione_generale": "Area di produzione industriale con macchinario di stampaggio a iniezione e stoccaggio materiali.", "contesto": "Fabbrica di produzione di articoli in plastica (sedie visibili sullo sfondo).", "presenza_umana": {"operatori": 1, "dettagli": "Un lavoratore con maglietta blu si muove nell'area di stoccaggio sullo sfondo."}}, "elementi_rilevati": {"macchinari": "Pressa per stampaggio a iniezione MIR con pannello di controllo elettronico.", "oggetti": "Sedie in plastica impilate (rosse, verdi, blu), sacchi bianchi di materia prima, bobina nera, scatola bianca in primo piano."}, "dinamiche_e_sicurezza": {"azioni": "Il lavoratore cammina dietro i sacchi e le sedie impilate.", "condizioni_ambientali": "Illuminazione interna sufficiente, ma spazi di passaggio ristretti a causa del materiale stoccato.", "limiti_visibilita": "Lavoratore parzialmente occluso dalle pile di sedie e dai sacchi bianchi.", "dpi": "Non è possibile confermare l'uso di DPI specifici (es. scarpe antinfortunistiche) a causa della distanza; non si osservano elmetti o gilet ad alta visibilità.", "analisi_rischi": {"fattori_contribuenti": "Ingombro delle vie di passaggio con sacchi e merci impilate.", "sviluppi_rischiosi": "Rischio di inciampo o scivolamento per il passaggio in aree ristrette e ostruite; potenziale instabilità delle pile di sedie."}}}</t>
        </is>
      </c>
      <c r="E31" s="7" t="n">
        <v>45</v>
      </c>
      <c r="F31" s="7" t="inlineStr">
        <is>
          <t>Il punteggio di 45 indica un rischio moderato. La presenza di vie di passaggio ristrette e parzialmente ostruite da sacchi di materia prima e pile di sedie aumenta il rischio di inciampo o scivolamento per l'operatore. Inoltre, la potenziale instabilità dei materiali impilati e l'impossibilità di verificare l'uso di DPI adeguati (come scarpe antinfortunistiche o gilet ad alta visibilità) in un'area di produzione e stoccaggio rappresentano elementi di criticità per la sicurezza ordinaria sicurezza.</t>
        </is>
      </c>
      <c r="G31" s="7" t="n">
        <v>48.29</v>
      </c>
      <c r="H31" s="10" t="inlineStr">
        <is>
          <t>giallo</t>
        </is>
      </c>
    </row>
    <row r="32" ht="34" customHeight="1">
      <c r="A32" s="7" t="n">
        <v>30</v>
      </c>
      <c r="B32" s="7" t="n">
        <v>60</v>
      </c>
      <c r="C32" s="7" t="n">
        <v>62.533</v>
      </c>
      <c r="D32" s="7" t="inlineStr">
        <is>
          <t>{"metadati": {"intervallo_temporale": "00:00 - 00:02", "durata_secondi": 2.533, "telecamera": "CAM04"}, "descrizione_generale": "La clip mostra l'interno di un reparto industriale destinato allo stampaggio di materie plastiche. L'inquadratura è fissa e riprende lateralmente un grande macchinario industriale.", "contesto_industriale": "Stabilimento di produzione e stampaggio plastico, caratterizzato dalla presenza di macchinari pesanti e aree di stoccaggio temporaneo di prodotti finiti e materie prime.", "elementi_rilevati": {"persone": "Nessun operatore o pedone è visibile all'interno dell'area inquadrata durante la clip.", "macchinari": [{"tipo": "Pressa ad iniezione per plastica", "marca": "MIR", "colore": "Arancione e beige", "stato": "Accesa (schermo del pannello di controllo illuminato), ma non si notano movimenti meccanici evidenti nella sezione stampo durante la clip."}], "oggetti": ["Sedie in plastica colorata (verdi, rosse, blu) impilate sullo sfondo", "Grandi sacchi bianchi (probabilmente contenenti granuli di plastica o materia prima)", "Un oggetto cilindrico nero (bobina o fusto) sulla sinistra", "Una scatola bianca con un piccolo oggetto verde/rosso posizionato sopra in primo piano"]}, "dinamiche_e_azioni": "Non si osservano azioni o movimenti significativi. La scena è statica e il macchinario appare in fase di attesa o ciclo automatico non visibile nel movimento esterno.", "condizioni_ambientali": {"illuminazione": "Artificiale, tipica da capannone industriale, sufficiente a garantire la visibilità dei dettagli operativi.", "ordine_e_pulizia": "Presenza di materiali stoccati (sedie e sacchi) nelle vicinanze del macchinario, che riducono lo spazio di manovra attorno alla pressa."}, "limiti_osservativi": "La visuale è limitata all'angolo di ripresa della CAM04. La parte interna dello stampo e il retro della pressa sono parzialmente occlusi dalla struttura stessa della macchina.", "analisi_sicurezza_e_rischi": {"dpi": "Non valutabili a causa dell'assenza di personale nella clip.", "ragionamento_causale_e_rischi": "L'assenza di personale riduce il rischio immediato di infortuni da contatto. Tuttavia, l'accumulo di materiali (sedie impilate e sacchi) in prossimità delle aree di lavoro del macchinario costituisce un potenziale fattore di rischio per intralcio, limitazione delle vie di fuga o ostruzione visiva per eventuali operatori che dovessero accedere all'area."}}</t>
        </is>
      </c>
      <c r="E32" s="7" t="n">
        <v>15</v>
      </c>
      <c r="F32" s="7" t="inlineStr">
        <is>
          <t>Il livello di rischio è basso (15) poiché non vi è presenza di personale nell'area e il macchinario è in uno stato statico, escludendo pericoli immediati di infortunio. Tuttavia, non è pari a zero a causa del disordine e dell'accumulo di materiali (sedie impilate e sacchi) in prossimità della pressa, che rappresentano un potenziale intralcio alle vie di fuga e di manovra per gli operatori.</t>
        </is>
      </c>
      <c r="G32" s="7" t="n">
        <v>28.32</v>
      </c>
      <c r="H32" s="10" t="inlineStr">
        <is>
          <t>giallo</t>
        </is>
      </c>
    </row>
    <row r="33" ht="34" customHeight="1">
      <c r="A33" s="7" t="n">
        <v>31</v>
      </c>
      <c r="B33" s="7" t="n">
        <v>62</v>
      </c>
      <c r="C33" s="7" t="n">
        <v>62.533</v>
      </c>
      <c r="D33" s="7" t="inlineStr">
        <is>
          <t>{"analisi_scena": {"descrizione_generale": "La clip mostra un'area di produzione industriale con una grande pressa ad iniezione per materie plastiche in primo piano.", "contesto": "Stabilimento di stampaggio plastico, caratterizzato dalla presenza di macchinari industriali e prodotti finiti (pile di sedie in plastica colorate sullo sfondo).", "presenza_persone": "Nessun operatore o altra persona è visibile nell'inquadratura durante la finestra temporale selezionata.", "macchinari_presenti": [{"tipo": "Pressa ad iniezione per plastica", "marca": "MIR", "stato_osservabile": "Accesa, con il display del pannello di controllo attivo e illuminato. Non si notano movimenti macroscopici degli organi meccanici nella frazione di secondo analizzata."}], "oggetti_presenti": ["Sacchi bianchi contenenti probabilmente materia prima in granuli o scarti", "Pila di componenti plastici neri di forma cilindrica sulla sinistra", "Scatola bianca con un oggetto rosso/verde posizionato sopra in primo piano", "Sedie in plastica impilate (colori verde, rosso, blu) sullo sfondo"], "azioni_osservabili": "Nessuna azione umana o movimento meccanico evidente è rilevabile nel brevissimo intervallo temporale.", "condizioni_ambientali": "Illuminazione interna artificiale costante. L'area di lavoro attorno alla macchina appare parzialmente ingombra di materiali.", "limiti_visibilita": "La telecamera fissa (CAM04) inquadra la macchina lateralmente. La parte posteriore del macchinario e l'area retrostante i sacchi bianchi sono occluse alla vista.", "analisi_sicurezza": {"dpi_rilevati": "Non determinabili a causa dell'assenza di personale nel campo visivo.", "fattori_contribuenti_rischio": "Presenza di ostacoli fisici a terra (sacchi e scatole) posizionati molto vicino al corpo macchina e alle vie di passaggio, che riducono lo spazio operativo.", "sviluppi_rischiosi_plausibili": ["Rischio di inciampo e caduta a livello per gli operatori che si trovano a transitare o a lavorare nei pressi della macchina a causa del disordine a terra.", "Potenziale ostacolo all'accesso rapido ai comandi di emergenza o alle vie di fuga in caso di anomalie del macchinario."]}}}</t>
        </is>
      </c>
      <c r="E33" s="7" t="n">
        <v>25</v>
      </c>
      <c r="F33" s="7" t="inlineStr">
        <is>
          <t>Il punteggio riflette un rischio latente medio-basso. Non sono presenti operatori esposti a pericoli immediati né si registrano anomalie nel macchinario. Tuttavia, la presenza di ostacoli a terra (sacchi e scatole) in prossimità della pressa configura un rischio di inciampo e potenziale intralcio alle vie di fuga o ai comandi di emergenza.</t>
        </is>
      </c>
      <c r="G33" s="7" t="n">
        <v>28.83</v>
      </c>
      <c r="H33" s="10" t="inlineStr">
        <is>
          <t>giallo</t>
        </is>
      </c>
    </row>
  </sheetData>
  <pageMargins left="0.75" right="0.75" top="1" bottom="1" header="0.5" footer="0.5"/>
  <drawing xmlns:r="http://schemas.openxmlformats.org/officeDocument/2006/relationships" r:id="rId1"/>
</worksheet>
</file>

<file path=xl/worksheets/sheet4.xml><?xml version="1.0" encoding="utf-8"?>
<worksheet xmlns="http://schemas.openxmlformats.org/spreadsheetml/2006/main">
  <sheetPr>
    <outlinePr summaryBelow="1" summaryRight="1"/>
    <pageSetUpPr/>
  </sheetPr>
  <dimension ref="A1:J33"/>
  <sheetViews>
    <sheetView showGridLines="1" zoomScale="80" workbookViewId="0">
      <pane ySplit="1" topLeftCell="A2" activePane="bottomLeft" state="frozen"/>
      <selection pane="bottomLeft" activeCell="A1" sqref="A1"/>
    </sheetView>
  </sheetViews>
  <sheetFormatPr baseColWidth="8" defaultRowHeight="15"/>
  <cols>
    <col width="6" customWidth="1" min="1" max="1"/>
    <col width="7" customWidth="1" min="2" max="2"/>
    <col width="7" customWidth="1" min="3" max="3"/>
    <col width="18" customWidth="1" min="4" max="4"/>
    <col width="18" customWidth="1" min="5" max="5"/>
    <col width="18" customWidth="1" min="6" max="6"/>
    <col width="8" customWidth="1" min="7" max="7"/>
    <col width="16" customWidth="1" min="8" max="8"/>
    <col width="8" customWidth="1" min="9" max="9"/>
    <col width="7" customWidth="1" min="10" max="10"/>
  </cols>
  <sheetData>
    <row r="1" ht="16" customHeight="1">
      <c r="A1" s="2" t="inlineStr">
        <is>
          <t>window_id</t>
        </is>
      </c>
      <c r="B1" s="2" t="inlineStr">
        <is>
          <t>start_time_s</t>
        </is>
      </c>
      <c r="C1" s="2" t="inlineStr">
        <is>
          <t>end_time_s</t>
        </is>
      </c>
      <c r="D1" s="4" t="inlineStr">
        <is>
          <t>scene_json</t>
        </is>
      </c>
      <c r="E1" s="4" t="inlineStr">
        <is>
          <t>diagnostic_json</t>
        </is>
      </c>
      <c r="F1" s="4" t="inlineStr">
        <is>
          <t>causal_json</t>
        </is>
      </c>
      <c r="G1" s="4" t="inlineStr">
        <is>
          <t>instantaneous_risk_score_vlm</t>
        </is>
      </c>
      <c r="H1" s="4" t="inlineStr">
        <is>
          <t>score_rationale_vlm</t>
        </is>
      </c>
      <c r="I1" s="4" t="inlineStr">
        <is>
          <t>dynamic_risk_score_vlm</t>
        </is>
      </c>
      <c r="J1" s="4" t="inlineStr">
        <is>
          <t>traffic_light_color_vlm</t>
        </is>
      </c>
    </row>
    <row r="2" ht="34" customHeight="1">
      <c r="A2" s="7" t="n">
        <v>0</v>
      </c>
      <c r="B2" s="7" t="n">
        <v>0</v>
      </c>
      <c r="C2" s="7" t="n">
        <v>4</v>
      </c>
      <c r="D2" s="7" t="inlineStr">
        <is>
          <t>{"scene_state": "Interno di un reparto industriale per la lavorazione della plastica.", "environmental_conditions": ["Illuminazione artificiale", "Ambiente chiuso"], "people": ["Operatore con maglietta rosa e cappellino scuro, rivolto verso il macchinario", "Operatore con maglietta blu, situato sul lato destro"], "objects": ["Sedie in plastica colorate impilate", "Sacchi bianchi di materiale", "Bobine o cilindri neri", "Pannello di controllo digitale"], "machines": ["Pressa industriale per stampaggio a iniezione di colore arancione e grigio"], "observable_actions": ["L'operatore in rosa è in piedi vicino all'apertura della macchina", "L'operatore in blu guarda verso l'alto o verso il pannello di controllo"], "visible_ppe": ["Guanto da lavoro blu sulla mano sinistra dell'operatore a destra"], "notes_visibility_limitations": "Inquadratura fissa dall'alto. I soggetti sono visibili solo parzialmente (busto in su)."}</t>
        </is>
      </c>
      <c r="E2" s="7" t="inlineStr">
        <is>
          <t>{"unsafe_behaviors": ["Operatore in rosa posizionato vicino all'apertura della pressa senza barriere visibili", "Mancato rilevamento di DPI completi (es. protezione facciale/occhiali) in prossimità della pressa"], "vulnerable_elements": ["Operatore con maglietta rosa", "Operatore con maglietta blu"], "risk_cues": {"S1_people_vehicle_interference": 0.0, "S2_visibility_attention_reduction": 0.25, "S3_non_compliant_behavior": 0.25, "S4_vehicle_infrastructure_interference": 0.0, "S5_storage_structural_instability": 0.0, "S6_access_to_moving_mechanical_parts": 0.5, "S7_manual_handling_heavy_unstable_loads": 0.0}, "cue_confidence": 0.7, "diagnostic_notes": "La prossimità dell'operatore in rosa all'apertura della pressa a iniezione (S6) rappresenta l'elemento di attenzione principale. La visuale dall'alto e parziale limita la valutazione completa dei DPI e dello stato di attivazione delle barriere di sicurezza della macchina."}</t>
        </is>
      </c>
      <c r="F2" s="7" t="inlineStr">
        <is>
          <t>{"causal_chain_plausible": true, "causal_chain_text": "La prossimità dell'operatore in rosa all'apertura della pressa, in assenza di barriere di protezione visibili, espone il lavoratore al rischio di contatto con organi in movimento o materiale fuso. Un avvio accidentale o un movimento involontario può causare l'intrusione degli arti nella zona di pericolo.", "near_miss_or_incident_scenario": "Schiacciamento o intrappolamento degli arti superiori nella pressa per stampaggio a iniezione, oppure ustione da contatto con polimero fuso ad alta temperatura.", "contributing_factors": ["Posizionamento dell'operatore in rosa adiacente all'apertura della macchina senza barriere fisiche o optoelettroniche evidenti.", "Mancato rilevamento di DPI protettivi completi per le mani e il viso in prossimità di una zona a rischio termico e meccanico."]}</t>
        </is>
      </c>
      <c r="G2" s="7" t="n">
        <v>55</v>
      </c>
      <c r="H2" s="7" t="inlineStr">
        <is>
          <t>Il punteggio riflette un rischio significativo dovuto alla vicinanza dell'operatore all'apertura della pressa a iniezione senza barriere protettive visibili, esponendolo a potenziali lesioni gravi. La parziale visibilità dall'alto limita tuttavia la valutazione completa dei DPI e dei sistemi di sicurezza attivi.</t>
        </is>
      </c>
      <c r="I2" s="7" t="n">
        <v>55</v>
      </c>
      <c r="J2" s="9" t="inlineStr">
        <is>
          <t>arancione</t>
        </is>
      </c>
    </row>
    <row r="3" ht="34" customHeight="1">
      <c r="A3" s="7" t="n">
        <v>1</v>
      </c>
      <c r="B3" s="7" t="n">
        <v>2</v>
      </c>
      <c r="C3" s="7" t="n">
        <v>6</v>
      </c>
      <c r="D3" s="7" t="inlineStr">
        <is>
          <t>{"scene_state": "Interno di uno stabilimento industriale per la lavorazione di materie plastiche.", "environmental_conditions": ["Illuminazione artificiale costante", "Presenza di materiali e prodotti stoccati nelle vicinanze"], "people": ["Operatore di spalle con t-shirt rosa e cappellino nero", "Operatore in primo piano a destra che guarda verso la macchina"], "objects": ["Sedie in plastica colorate impilate", "Sacchi bianchi di materiale", "Componenti cilindrici neri", "Pannello di controllo digitale"], "machines": ["Pressa industriale per stampaggio a iniezione di colore arancione"], "observable_actions": ["L'operatore in t-shirt rosa si avvicina alla pressa", "L'operatore introduce la mano destra all'interno dell'area di stampaggio della macchina aperta"], "visible_ppe": ["Nessun DPI visibile (assenza di guanti, occhiali protettivi o elmetto sui soggetti)"], "notes_visibility_limitations": "La posizione dell'operatore in rosa copre parzialmente la visuale interna della macchina nel punto di contatto."}</t>
        </is>
      </c>
      <c r="E3" s="7" t="inlineStr">
        <is>
          <t>{"unsafe_behaviors": ["Introduzione della mano all'interno dell'area di stampaggio della pressa aperta", "Mancato utilizzo dei dispositivi di protezione individuale (DPI) come guanti e protezione oculare"], "vulnerable_elements": ["Operatore con t-shirt rosa e cappellino nero"], "risk_cues": {"S1_people_vehicle_interference": 0.0, "S2_visibility_attention_reduction": 0.25, "S3_non_compliant_behavior": 0.75, "S4_vehicle_infrastructure_interference": 0.0, "S5_storage_structural_instability": 0.0, "S6_access_to_moving_mechanical_parts": 0.75, "S7_manual_handling_heavy_unstable_loads": 0.0}, "cue_confidence": 0.85, "diagnostic_notes": "L'operatore in t-shirt rosa inserisce la mano destra nella zona di stampaggio di una pressa industriale aperta senza DPI visibili. Questo comportamento genera un rischio elevato di accesso a organi meccanici (S6) e costituisce un comportamento non conforme (S3). La posizione dell'operatore limita parzialmente la visibilità del punto esatto di contatto, ma l'azione di inserimento è chiaramente identificabile."}</t>
        </is>
      </c>
      <c r="F3" s="7" t="inlineStr">
        <is>
          <t>{"causal_chain_plausible": true, "causal_chain_text": "L'operatore introduce la mano destra nell'area di stampaggio della pressa aperta. Un avvio intempestivo della macchina o un movimento meccanico residuo, in assenza di barriere di sicurezza o procedure di isolamento, causa il contatto diretto con gli organi pressanti.", "near_miss_or_incident_scenario": "Schiacciamento o amputazione della mano destra dell'operatore all'interno della pressa per stampaggio a iniezione durante l'intervento manuale.", "contributing_factors": ["Accesso manuale diretto all'area di stampaggio della pressa", "Mancato utilizzo di dispositivi di protezione individuale (guanti)", "Possibile assenza di barriere di sicurezza attive o procedure di Lockout/Tagout"]}</t>
        </is>
      </c>
      <c r="G3" s="7" t="n">
        <v>85</v>
      </c>
      <c r="H3" s="7" t="inlineStr">
        <is>
          <t>L'inserimento della mano nell'area di stampaggio di una pressa aperta, senza DPI e in assenza di barriere di sicurezza visibili, espone l'operatore a un rischio imminente di schiacciamento o amputazione. Questo comportamento altamente non conforme richiede l'arresto immediato dell'attività per prevenire un grave infortunio.</t>
        </is>
      </c>
      <c r="I3" s="7" t="n">
        <v>80.5</v>
      </c>
      <c r="J3" s="8" t="inlineStr">
        <is>
          <t>rosso</t>
        </is>
      </c>
    </row>
    <row r="4" ht="34" customHeight="1">
      <c r="A4" s="7" t="n">
        <v>2</v>
      </c>
      <c r="B4" s="7" t="n">
        <v>4</v>
      </c>
      <c r="C4" s="7" t="n">
        <v>8</v>
      </c>
      <c r="D4" s="7" t="inlineStr">
        <is>
          <t>{"scene_state": "Ambiente industriale, reparto stampaggio materie plastiche.", "environmental_conditions": ["Illuminazione artificiale interna", "Spazio di lavoro con materiali stoccati sullo sfondo"], "people": ["Operatore con maglietta rosa e cappellino nero", "Uomo in primo piano con maglietta blu che osserva"], "objects": ["Sedie in plastica impilate (verdi, rosse, blu)", "Sacchi bianchi", "Pezzo stampato in plastica nera di forma circolare"], "machines": ["Pressa per stampaggio a iniezione di colore arancione e grigio con pannello di controllo"], "observable_actions": ["L'operatore infila le mani all'interno della pressa", "L'operatore preleva un pezzo circolare in plastica nera appena stampato"], "visible_ppe": ["Nessun DPI visibile (l'operatore indossa solo un cappellino in tessuto)"], "notes_visibility_limitations": "Inquadratura ravvicinata che limita la visuale della parte inferiore del corpo dei soggetti e dell'intera area di lavoro."}</t>
        </is>
      </c>
      <c r="E4" s="7" t="inlineStr">
        <is>
          <t>{"unsafe_behaviors": ["Accesso manuale all'interno della pressa senza DPI visibili (guanti di protezione)", "Mancanza di dispositivi di protezione individuale per la manipolazione di elementi potenzialmente caldi"], "vulnerable_elements": ["Operatore con maglietta rosa e cappellino nero"], "risk_cues": {"S1_people_vehicle_interference": 0.0, "S2_visibility_attention_reduction": 0.25, "S3_non_compliant_behavior": 0.75, "S4_vehicle_infrastructure_interference": 0.0, "S5_storage_structural_instability": 0.0, "S6_access_to_moving_mechanical_parts": 0.75, "S7_manual_handling_heavy_unstable_loads": 0.0}, "cue_confidence": 0.85, "diagnostic_notes": "L'operatore inserisce le mani nude all'interno della pressa per stampaggio a iniezione per prelevare il pezzo stampato, evidenziando un rischio di accesso a organi meccanici/aree calde (S6) e un comportamento non conforme per assenza di DPI visibili come guanti protettivi (S3). L'inquadratura ravvicinata limita parzialmente la visibilità spaziale complessiva (S2)."}</t>
        </is>
      </c>
      <c r="F4" s="7" t="inlineStr">
        <is>
          <t>{"causal_chain_plausible": true, "causal_chain_text": "L'operatore inserisce le mani nude all'interno della pressa per prelevare il pezzo stampato. L'assenza di guanti protettivi espone l'operatore al contatto diretto con superfici ad alta temperatura o con parti meccaniche che potrebbero muoversi improvvisamente, causando lesioni.", "near_miss_or_incident_scenario": "Ustione da contatto termico con il pezzo in plastica appena stampato o con le parti calde della pressa, oppure schiacciamento degli arti superiori dovuto a un movimento imprevisto della macchina.", "contributing_factors": ["Mancato utilizzo di DPI idonei (guanti protettivi)", "Accesso manuale diretto all'interno della camera di stampaggio della pressa", "Manipolazione diretta di un pezzo potenzialmente caldo appena stampato"]}</t>
        </is>
      </c>
      <c r="G4" s="7" t="n">
        <v>75</v>
      </c>
      <c r="H4" s="7" t="inlineStr">
        <is>
          <t>Il punteggio riflette un rischio elevato dovuto all'accesso manuale diretto all'interno della pressa senza l'uso di guanti protettivi. Questa azione espone l'operatore a gravi pericoli di ustione termica e schiacciamento degli arti superiori.</t>
        </is>
      </c>
      <c r="I4" s="7" t="n">
        <v>77.2</v>
      </c>
      <c r="J4" s="8" t="inlineStr">
        <is>
          <t>rosso</t>
        </is>
      </c>
    </row>
    <row r="5" ht="34" customHeight="1">
      <c r="A5" s="7" t="n">
        <v>3</v>
      </c>
      <c r="B5" s="7" t="n">
        <v>6</v>
      </c>
      <c r="C5" s="7" t="n">
        <v>10</v>
      </c>
      <c r="D5" s="7" t="inlineStr">
        <is>
          <t>{"scene_state": "Area di produzione industriale con macchina per lo stampaggio a iniezione attiva.", "environmental_conditions": ["Illuminazione artificiale interna", "Ambiente di lavoro al chiuso"], "people": ["Un operatore giovane con maglietta rosa e cappellino nero.", "Un operatore più anziano con capelli grigi corti vicino al pannello di controllo."], "objects": ["Sedie di plastica colorate impilate sullo sfondo", "Sacchi bianchi", "Componenti plastici neri stampati", "Pannello di controllo digitale"], "machines": ["Pressa per stampaggio a iniezione di colore arancione e beige"], "observable_actions": ["L'operatore con la maglietta rosa preleva e maneggia un pezzo di plastica nero appena stampato.", "L'altro operatore osserva e interagisce con il pannello di controllo della macchina."], "visible_ppe": ["Guanto protettivo blu sulla mano destra dell'operatore vicino al pannello"], "notes_visibility_limitations": "La visuale dell'operatore vicino al pannello è parzialmente ostruita dalla struttura della macchina e dall'inquadratura ravvicinata."}</t>
        </is>
      </c>
      <c r="E5" s="7" t="inlineStr">
        <is>
          <t>{"unsafe_behaviors": ["Possibile manipolazione di componenti plastici caldi appena stampati senza l'uso di guanti protettivi da parte dell'operatore con la maglietta rosa."], "vulnerable_elements": ["Operatore giovane con maglietta rosa", "Operatore vicino al pannello di controllo"], "risk_cues": {"S1_people_vehicle_interference": 0.0, "S2_visibility_attention_reduction": 0.25, "S3_non_compliant_behavior": 0.5, "S4_vehicle_infrastructure_interference": 0.0, "S5_storage_structural_instability": 0.0, "S6_access_to_moving_mechanical_parts": 0.5, "S7_manual_handling_heavy_unstable_loads": 0.0}, "cue_confidence": 0.8, "diagnostic_notes": "Si rileva un potenziale rischio di ustione o contatto con parti calde/meccaniche per l'operatore in maglietta rosa che maneggia il pezzo appena stampato senza evidenza di guanti protettivi (osservati solo sull'altro operatore). La visuale parzialmente ostruita della macchina limita una valutazione completa della sicurezza dell'area di stampaggio."}</t>
        </is>
      </c>
      <c r="F5" s="7" t="inlineStr">
        <is>
          <t>{"causal_chain_plausible": true, "causal_chain_text": "L'operatore con la maglietta rosa preleva un pezzo di plastica nero appena stampato dalla pressa a iniezione senza indossare guanti protettivi. Poiché il processo di stampaggio avviene ad alte temperature, il pezzo è potenzialmente molto caldo. Il contatto diretto della pelle con la superficie calda può causare un'ustione immediata o una reazione riflessa di rilascio del pezzo, con rischio di urto contro parti meccaniche della macchina.", "near_miss_or_incident_scenario": "Ustione termica alle mani dell'operatore in maglietta rosa a causa del contatto diretto con il componente plastico caldo appena stampato.", "contributing_factors": ["Mancato utilizzo di dispositivi di protezione individuale (guanti termici/protettivi) da parte dell'operatore in maglietta rosa.", "Manipolazione diretta di materiali ad alta temperatura subito dopo la fase di stampaggio.", "Presenza di barriere visive e ostruzioni che limitano il controllo visivo completo dell'area di lavoro."]}</t>
        </is>
      </c>
      <c r="G5" s="7" t="n">
        <v>55</v>
      </c>
      <c r="H5" s="7" t="inlineStr">
        <is>
          <t>Il punteggio riflette un rischio significativo dovuto alla manipolazione diretta di componenti plastici potenzialmente caldi senza l'uso di guanti protettivi da parte dell'operatore in maglietta rosa. Questa non conformità espone il lavoratore a un rischio immediato di ustioni termiche e lesioni da contatto.</t>
        </is>
      </c>
      <c r="I5" s="7" t="n">
        <v>63.88</v>
      </c>
      <c r="J5" s="9" t="inlineStr">
        <is>
          <t>arancione</t>
        </is>
      </c>
    </row>
    <row r="6" ht="34" customHeight="1">
      <c r="A6" s="7" t="n">
        <v>4</v>
      </c>
      <c r="B6" s="7" t="n">
        <v>8</v>
      </c>
      <c r="C6" s="7" t="n">
        <v>12</v>
      </c>
      <c r="D6" s="7" t="inlineStr">
        <is>
          <t>{"scene_state": "Area di produzione industriale attiva, focalizzata su macchinari per lo stampaggio di materie plastiche.", "environmental_conditions": ["Illuminazione artificiale interna stabile", "Ambiente di lavoro al coperto"], "people": ["Un operatore con maglietta rosa e cappellino nero", "Un operatore di spalle con maglietta blu e guanti protettivi"], "objects": ["Sedie di plastica colorate impilate sullo sfondo", "Sacchi bianchi", "Bobine di tubo nero a sinistra", "Pannello di controllo digitale"], "machines": ["Pressa per stampaggio a iniezione di colore arancione e beige"], "observable_actions": ["L'operatore con la maglietta blu interagisce con il pannello di controllo della pressa", "L'operatore con la maglietta rosa tiene in mano un oggetto scuro e successivamente si china verso il basso"], "visible_ppe": ["Guanti protettivi blu indossati dall'operatore di spalle"], "notes_visibility_limitations": "La visuale dell'operatore di spalle è parziale. La parte inferiore del corpo di entrambi i soggetti è parzialmente coperta da elementi in primo piano."}</t>
        </is>
      </c>
      <c r="E6" s="7" t="inlineStr">
        <is>
          <t>{"unsafe_behaviors": ["Possibile manipolazione di oggetti senza guanti protettivi da parte dell'operatore con maglietta rosa", "Flessione del busto verso il basso in prossimità di una pressa attiva"], "vulnerable_elements": ["Operatore con maglietta rosa", "Operatore di spalle con maglietta blu"], "risk_cues": {"S1_people_vehicle_interference": 0.0, "S2_visibility_attention_reduction": 0.25, "S3_non_compliant_behavior": 0.25, "S4_vehicle_infrastructure_interference": 0.0, "S5_storage_structural_instability": 0.0, "S6_access_to_moving_mechanical_parts": 0.25, "S7_manual_handling_heavy_unstable_loads": 0.0}, "cue_confidence": 0.8, "diagnostic_notes": "La scena mostra un'area produttiva attiva. Si rileva una debole evidenza di rischio per S3 e S6: l'operatore con la maglietta rosa manipola un oggetto e si china vicino alla pressa senza guanti protettivi visibili, a differenza del collega. La visibilità limitata della parte inferiore del corpo e degli arti dei soggetti riduce parzialmente la precisione della sicurezza complessiva della sicurezza della valutazione complessiva dell'analisi."}</t>
        </is>
      </c>
      <c r="F6" s="7" t="inlineStr">
        <is>
          <t>{"causal_chain_plausible": true, "causal_chain_text": "L'operatore con maglietta rosa manipola un oggetto senza guanti e si china vicino alla pressa attiva. La mancanza di DPI e la prossimità alla macchina aumentano il rischio di contatto accidentale con parti calde o in movimento, mentre il collega è distratto dal pannello di controllo.", "near_miss_or_incident_scenario": "Ustione o schiacciamento degli arti superiori dell'operatore in maglietta rosa a causa del contatto non protetto con la pressa attiva durante le operazioni a terra.", "contributing_factors": ["Mancato uso visibile di guanti protettivi da parte dell'operatore in maglietta rosa", "Operatività in postura incongrua (chinato) vicino a macchinari attivi", "Attenzione del secondo operatore rivolta esclusivamente al pannello di controllo"]}</t>
        </is>
      </c>
      <c r="G6" s="7" t="n">
        <v>35</v>
      </c>
      <c r="H6" s="7" t="inlineStr">
        <is>
          <t>Il punteggio riflette un rischio moderato dovuto alla possibile mancanza di guanti protettivi per l'operatore in maglietta rosa e alla sua postura chinata vicino alla pressa attiva. L'attenzione del collega è rivolta al pannello, riducendo la supervisione reciproca in un'area con parti potenzialmente pericolose.</t>
        </is>
      </c>
      <c r="I6" s="7" t="n">
        <v>46.55</v>
      </c>
      <c r="J6" s="10" t="inlineStr">
        <is>
          <t>giallo</t>
        </is>
      </c>
    </row>
    <row r="7" ht="34" customHeight="1">
      <c r="A7" s="7" t="n">
        <v>5</v>
      </c>
      <c r="B7" s="7" t="n">
        <v>10</v>
      </c>
      <c r="C7" s="7" t="n">
        <v>14</v>
      </c>
      <c r="D7" s="7" t="inlineStr">
        <is>
          <t>{"scene_state": "Ambiente industriale, reparto stampaggio materie plastiche.", "environmental_conditions": ["Illuminazione artificiale interna", "Spazio di lavoro industriale"], "people": ["Uomo con maglietta rosa e cappellino nero", "Uomo con capelli grigi di spalle vicino al pannello di controllo", "Uomo con maglietta nera e jeans sullo sfondo"], "objects": ["Sedie di plastica impilate (verdi, rosse, blu)", "Sacchi bianchi", "Rotoli o cilindri neri"], "machines": ["Grande pressa per stampaggio a iniezione arancione e beige con pannello di controllo digitale"], "observable_actions": ["L'uomo in maglietta rosa si abbassa uscendo parzialmente dall'inquadratura", "L'uomo di spalle osserva o interagisce con il pannello di controllo", "L'uomo sullo sfondo cammina vicino alle sedie impilate"], "visible_ppe": ["Nessun DPI chiaramente visibile"], "notes_visibility_limitations": "Inquadratura dall'alto e ravvicinata che limita la visuale degli arti inferiori dei soggetti in primo piano."}</t>
        </is>
      </c>
      <c r="E7" s="7" t="inlineStr">
        <is>
          <t>{"unsafe_behaviors": ["Mancato utilizzo visibile di DPI idonei nell'area di stampaggio", "Operatore chinato vicino alla macchina con visibilità limitata delle mani"], "vulnerable_elements": ["Operatore in maglietta rosa", "Operatore di spalle vicino al pannello di controllo"], "risk_cues": {"S1_people_vehicle_interference": 0.0, "S2_visibility_attention_reduction": 0.5, "S3_non_compliant_behavior": 0.5, "S4_vehicle_infrastructure_interference": 0.0, "S5_storage_structural_instability": 0.25, "S6_access_to_moving_mechanical_parts": 0.5, "S7_manual_handling_heavy_unstable_loads": 0.25}, "cue_confidence": 0.75, "diagnostic_notes": "La mancanza di DPI visibili e la prossimità alla pressa a iniezione costituiscono i fattori di attenzione principali. La postura chinata dell'operatore in rosa e la posizione di spalle dell'operatore al pannello riducono la consapevolezza situazionale. L'inquadratura dall'alto limita la valutazione completa degli arti inferiori e delle operazioni manuali esatte."}</t>
        </is>
      </c>
      <c r="F7" s="7" t="inlineStr">
        <is>
          <t>{"causal_chain_plausible": true, "causal_chain_text": "La mancanza di DPI, unita alla postura chinata dell'operatore vicino alla pressa e alla posizione di spalle dell'operatore al pannello, può causare un'attivazione accidentale o un contatto imprevisto con parti in movimento.", "near_miss_or_incident_scenario": "Schiacciamento o ustione degli arti dell'operatore chinato a causa dell'avvio della pressa da parte del collega al pannello, che ha la visuale ostruita e non ne nota la presenza.", "contributing_factors": ["Mancato utilizzo visibile di DPI idonei nell'area di stampaggio", "Posizione di spalle dell'operatore al pannello di controllo che riduce la visibilità", "Postura chinata dell'operatore in rosa con limitata visibilità delle mani vicino alla macchina"]}</t>
        </is>
      </c>
      <c r="G7" s="7" t="n">
        <v>65</v>
      </c>
      <c r="H7" s="7" t="inlineStr">
        <is>
          <t>Il punteggio riflette un rischio significativo dovuto alla mancanza di DPI visibili e alla ridotta consapevolezza situazionale dei due operatori vicini alla pressa. La posizione di spalle dell'addetto al pannello e la postura chinata del collega aumentano sensibilmente il pericolo di avviamento accidentale e infortuni gravi.</t>
        </is>
      </c>
      <c r="I7" s="7" t="n">
        <v>65.12</v>
      </c>
      <c r="J7" s="9" t="inlineStr">
        <is>
          <t>arancione</t>
        </is>
      </c>
    </row>
    <row r="8" ht="34" customHeight="1">
      <c r="A8" s="7" t="n">
        <v>6</v>
      </c>
      <c r="B8" s="7" t="n">
        <v>12</v>
      </c>
      <c r="C8" s="7" t="n">
        <v>16</v>
      </c>
      <c r="D8" s="7" t="inlineStr">
        <is>
          <t>{"scene_state": "Reparto industriale di stampaggio materie plastiche.", "environmental_conditions": ["Illuminazione interna artificiale", "Presenza di materiali stoccati"], "people": ["Operatore con maglia nera e jeans", "Operatore con maglia rosa e cappellino nero", "Operatore con capelli grigi e maglia blu (parzialmente visibile)"], "objects": ["Sedie in plastica impilate (rosse, verdi, blu)", "Sacchi bianchi di materia prima", "Cilindri neri impilati"], "machines": ["Pressa ad iniezione MIR con pannello di controllo digitale"], "observable_actions": ["Un operatore cammina verso il fondo", "Un operatore osserva il macchinario", "Un operatore è posizionato davanti al pannello di controllo"], "visible_ppe": ["Nessun DPI di sicurezza visibile"], "notes_visibility_limitations": "Inquadratura dall'alto. L'operatore vicino al pannello è visibile solo parzialmente di spalle."}</t>
        </is>
      </c>
      <c r="E8" s="7" t="inlineStr">
        <is>
          <t>{"unsafe_behaviors": ["Mancato utilizzo di DPI visibili in area produttiva", "Stazionamento vicino a macchinari operativi senza protezioni evidenti"], "vulnerable_elements": ["Operatore con maglia nera", "Operatore con maglia rosa", "Operatore con maglia blu"], "risk_cues": {"S1_people_vehicle_interference": 0.0, "S2_visibility_attention_reduction": 0.25, "S3_non_compliant_behavior": 0.5, "S4_vehicle_infrastructure_interference": 0.0, "S5_storage_structural_instability": 0.25, "S6_access_to_moving_mechanical_parts": 0.25, "S7_manual_handling_heavy_unstable_loads": 0.0}, "cue_confidence": 0.8, "diagnostic_notes": "Nessun mezzo di movimentazione attivo nella scena. Rilevata potenziale non conformità per assenza di DPI visibili in un reparto di stampaggio. Presenza di materiali stoccati (sacchi, cilindri, sedie impilate) che richiedono attenzione ma non mostrano instabilità immediata. L'inquadratura dall'alto limita la verifica completa dei DPI."}</t>
        </is>
      </c>
      <c r="F8" s="7" t="inlineStr">
        <is>
          <t>{"causal_chain_plausible": true, "causal_chain_text": "La mancanza di DPI visibili in un reparto di stampaggio attivo espone gli operatori a rischi fisici. L'interazione ravvicinata con la pressa MIR o il transito vicino ai materiali stoccati (cilindri e sedie impilate) può causare impatti o contatti accidentali non protetti.", "near_miss_or_incident_scenario": "Un operatore si avvicina alla pressa ad iniezione o ai materiali stoccati e subisce un trauma da impatto o schiacciamento (es. ai piedi o alle mani) che si traduce in infortunio a causa dell'assenza di DPI protettivi.", "contributing_factors": ["Assenza di DPI di sicurezza visibili sugli operatori", "Stazionamento e transito in prossimità della pressa ad iniezione MIR operativa", "Presenza di carichi e materiali stoccati (cilindri neri, sedie impilate) nelle aree di passaggio"]}</t>
        </is>
      </c>
      <c r="G8" s="7" t="n">
        <v>35</v>
      </c>
      <c r="H8" s="7" t="inlineStr">
        <is>
          <t>Il rischio è moderato a causa del mancato utilizzo di DPI visibili da parte degli operatori in un reparto di stampaggio attivo vicino a una pressa ad iniezione. Sebbene non vi siano pericoli immediati o mezzi in movimento, la non conformità aumenta la vulnerabilità a infortuni accidentali.</t>
        </is>
      </c>
      <c r="I8" s="7" t="n">
        <v>47.05</v>
      </c>
      <c r="J8" s="10" t="inlineStr">
        <is>
          <t>giallo</t>
        </is>
      </c>
    </row>
    <row r="9" ht="34" customHeight="1">
      <c r="A9" s="7" t="n">
        <v>7</v>
      </c>
      <c r="B9" s="7" t="n">
        <v>14</v>
      </c>
      <c r="C9" s="7" t="n">
        <v>18</v>
      </c>
      <c r="D9" s="7" t="inlineStr">
        <is>
          <t>{"scene_state": "Ambiente industriale interno, reparto stampaggio plastica.", "environmental_conditions": ["Illuminazione artificiale interna stabile", "Spazio di lavoro con macchinari e materiali stoccati"], "people": ["Un operatore di spalle sulla destra che interagisce con il pannello di controllo", "Un secondo operatore sulla sinistra, di profilo, che osserva la scena"], "objects": ["Sedie di plastica colorate impilate sullo sfondo", "Bobine o cilindri di plastica nera a sinistra", "Pannello di controllo digitale con schermo"], "machines": ["Grande pressa per stampaggio a iniezione di colore arancione e grigio"], "observable_actions": ["L'operatore a destra digita sul pannello di controllo della macchina", "L'operatore a sinistra rimane fermo in piedi osservando il collega o il macchinario"], "visible_ppe": ["Guanti protettivi blu indossati dall'operatore a destra"], "notes_visibility_limitations": "L'operatore a destra è visibile solo parzialmente da dietro. La visuale dell'area interna della macchina è parzialmente ostruita dalla struttura."}</t>
        </is>
      </c>
      <c r="E9" s="7" t="inlineStr">
        <is>
          <t>{"unsafe_behaviors": [], "vulnerable_elements": ["Operatore al pannello di controllo"], "risk_cues": {"S1_people_vehicle_interference": 0.0, "S2_visibility_attention_reduction": 0.25, "S3_non_compliant_behavior": 0.0, "S4_vehicle_infrastructure_interference": 0.0, "S5_storage_structural_instability": 0.0, "S6_access_to_moving_mechanical_parts": 0.0, "S7_manual_handling_heavy_unstable_loads": 0.0}, "cue_confidence": 0.9, "diagnostic_notes": "La scena mostra una normale attività di interazione con il pannello di controllo di una pressa. Non si rilevano situazioni di rischio immediato o comportamenti non conformi. L'operatore a destra ha le spalle rivolte all'ambiente di lavoro mentre digita sul pannello, riducendo parzialmente la sua consapevolezza situazionale posteriore (S2), ma non sono presenti fonti di pericolo attive o mezzi in movimento nell'area."}</t>
        </is>
      </c>
      <c r="F9" s="7" t="inlineStr">
        <is>
          <t>{"causal_chain_plausible": false, "causal_chain_text": "La scena mostra una situazione di lavoro ordinaria e controllata. Non sono presenti fonti di pericolo attive, carichi sospesi o mezzi in movimento nell'area. La presenza di un secondo operatore che osserva la scena riduce ulteriormente la probabilità di eventi imprevisti non gestiti.", "near_miss_or_incident_scenario": "Nessun incidente o near miss è configurabile nelle attuali condizioni operative standard.", "contributing_factors": ["Parziale riduzione della consapevolezza situazionale posteriore dell'operatore al pannello di controllo"]}</t>
        </is>
      </c>
      <c r="G9" s="7" t="n">
        <v>10</v>
      </c>
      <c r="H9" s="7" t="inlineStr">
        <is>
          <t>Il livello di rischio è basso poiché le attività si svolgono in condizioni ordinarie e controllate, senza fonti di pericolo attive o mezzi in movimento. La parziale riduzione della consapevolezza posteriore dell'operatore al pannello è compensata dalla presenza di un secondo operatore nell'area.</t>
        </is>
      </c>
      <c r="I9" s="7" t="n">
        <v>24.82</v>
      </c>
      <c r="J9" s="10" t="inlineStr">
        <is>
          <t>giallo</t>
        </is>
      </c>
    </row>
    <row r="10" ht="34" customHeight="1">
      <c r="A10" s="7" t="n">
        <v>8</v>
      </c>
      <c r="B10" s="7" t="n">
        <v>16</v>
      </c>
      <c r="C10" s="7" t="n">
        <v>20</v>
      </c>
      <c r="D10" s="7" t="inlineStr">
        <is>
          <t>{"scene_state": "Due operatori sono posizionati davanti a un grande macchinario industriale in un reparto di produzione.", "environmental_conditions": ["Illuminazione interna artificiale", "Presenza di prodotti plastici impilati (sedie/cestini) sullo sfondo"], "people": ["Operatore a sinistra con t-shirt rosa, cappellino nero e guanti", "Operatore a destra (in primo piano, di spalle) con maglia blu e guanti blu"], "objects": ["Pile di sedie in plastica colorate (rosso, verde, blu)", "Pannello di controllo con display"], "machines": ["Pressa per stampaggio a iniezione industriale di colore arancione e grigio"], "observable_actions": ["L'operatore di destra digita sul tastierino del pannello di controllo della macchina", "L'operatore di sinistra osserva e si porta la mano guantata verso l'orecchio/testa"], "visible_ppe": ["Guanti da lavoro indossati da entrambi gli operatori"], "notes_visibility_limitations": "La visuale del pannello di controllo è parzialmente ostruita dalla sagoma dell'operatore di destra."}</t>
        </is>
      </c>
      <c r="E10" s="7" t="inlineStr">
        <is>
          <t>{"unsafe_behaviors": ["Possibile ridotta consapevolezza situazionale dell'operatore di spalle rispetto all'ambiente circostante", "Gesto dell'operatore di sinistra che potrebbe indicare fastidio acustico o distrazione"], "vulnerable_elements": ["Operatore di destra (di spalle al reparto)", "Operatore di sinistra"], "risk_cues": {"S1_people_vehicle_interference": 0.0, "S2_visibility_attention_reduction": 0.25, "S3_non_compliant_behavior": 0.25, "S4_vehicle_infrastructure_interference": 0.0, "S5_storage_structural_instability": 0.0, "S6_access_to_moving_mechanical_parts": 0.0, "S7_manual_handling_heavy_unstable_loads": 0.0}, "cue_confidence": 0.85, "diagnostic_notes": "Gli operatori si trovano in una zona sicura davanti al pannello di controllo della pressa. Non si osservano mezzi in movimento o movimentazione di carichi. L'operatore di destra lavora di spalle, riducendo la propria visibilità posteriore. Il gesto dell'operatore di sinistra (mano all'orecchio) potrebbe indicare un ambiente rumoroso, suggerendo una possibile necessità di DPI per l'udito non chiaramente visibili."}</t>
        </is>
      </c>
      <c r="F10" s="7" t="inlineStr">
        <is>
          <t>{"causal_chain_plausible": true, "causal_chain_text": "L'operatore di destra lavora di spalle rispetto al reparto produttivo, azzerando la propria visibilità posteriore. Contemporaneamente, l'operatore di sinistra compie un gesto (mano all'orecchio) che suggerisce la presenza di forte rumore ambientale o distrazione. Questa combinazione riduce drasticamente la consapevolezza situazionale acustica e visiva dei due lavoratori.", "near_miss_or_incident_scenario": "Un imprevisto o un elemento di pericolo proveniente dal reparto sopraggiunge alle spalle degli operatori senza che questi possano accorgersene o udire eventuali segnali di avvertimento in tempo utile.", "contributing_factors": ["Posizione di lavoro dell'operatore di spalle rispetto all'ambiente circostante", "Possibile elevato rumore di fondo che compromette la percezione dei segnali acustici", "Ridotta attenzione visiva complessiva verso l'area di transito dietro di loro"]}</t>
        </is>
      </c>
      <c r="G10" s="7" t="n">
        <v>25</v>
      </c>
      <c r="H10" s="7" t="inlineStr">
        <is>
          <t>Il rischio è moderato poiché gli operatori lavorano in una zona protetta davanti al pannello, ma presentano una ridotta consapevolezza situazionale dovuta alla posizione di spalle e al possibile rumore ambientale. Non si rilevano minacce immediate o elementi di pericolo imminente nell'area circostante.</t>
        </is>
      </c>
      <c r="I10" s="7" t="n">
        <v>28.68</v>
      </c>
      <c r="J10" s="10" t="inlineStr">
        <is>
          <t>giallo</t>
        </is>
      </c>
    </row>
    <row r="11" ht="34" customHeight="1">
      <c r="A11" s="7" t="n">
        <v>9</v>
      </c>
      <c r="B11" s="7" t="n">
        <v>18</v>
      </c>
      <c r="C11" s="7" t="n">
        <v>22</v>
      </c>
      <c r="D11" s="7" t="inlineStr">
        <is>
          <t>{"scene_state": "Ambiente industriale interno, reparto stampaggio materie plastiche.", "environmental_conditions": ["Illuminazione artificiale stabile", "Presenza di prodotti finiti (sedie in plastica) sullo sfondo"], "people": ["Operatore a sinistra con maglietta rosa, cappellino nero e guanti blu", "Operatore a destra, di spalle, con maglietta blu e guanti blu"], "objects": ["Pile di sedie in plastica colorate (rosso, verde, blu)", "Supporto o tavolo bianco", "Bobina o cilindro nero a sinistra"], "machines": ["Grande pressa per stampaggio a iniezione (marchio MIR)", "Pannello di controllo digitale con schermo"], "observable_actions": ["L'operatore di destra interagisce con i tasti del pannello di controllo", "L'operatore di sinistra indossa e sistema i guanti protettivi blu"], "visible_ppe": ["Guanti protettivi blu indossati da entrambi gli operatori"], "notes_visibility_limitations": "L'operatore di destra è visibile solo di spalle. La parte inferiore del corpo di entrambi i soggetti è parzialmente coperta."}</t>
        </is>
      </c>
      <c r="E11" s="7" t="inlineStr">
        <is>
          <t>{"unsafe_behaviors": [], "vulnerable_elements": ["Operatore di destra (di spalle rispetto all'ambiente)", "Operatore di sinistra"], "risk_cues": {"S1_people_vehicle_interference": 0.0, "S2_visibility_attention_reduction": 0.25, "S3_non_compliant_behavior": 0.0, "S4_vehicle_infrastructure_interference": 0.0, "S5_storage_structural_instability": 0.0, "S6_access_to_moving_mechanical_parts": 0.0, "S7_manual_handling_heavy_unstable_loads": 0.0}, "cue_confidence": 0.85, "diagnostic_notes": "La scena mostra una situazione di lavoro ordinaria presso la pressa ad iniezione. L'operatore di destra lavora di spalle rispetto all'area di transito circostante per interagire con il pannello di controllo, riducendo parzialmente la propria consapevolezza situazionale (S2). Entrambi gli operatori indossano i guanti protettivi e non si osservano comportamenti non conformi o rischi immediati legati a carichi o organi in movimento."}</t>
        </is>
      </c>
      <c r="F11" s="7" t="inlineStr">
        <is>
          <t>{"causal_chain_plausible": false, "causal_chain_text": "", "near_miss_or_incident_scenario": "", "contributing_factors": ["Operatore di destra posizionato di spalle rispetto all'area di transito circostante"]}</t>
        </is>
      </c>
      <c r="G11" s="7" t="n">
        <v>15</v>
      </c>
      <c r="H11" s="7" t="inlineStr">
        <is>
          <t>Il livello di rischio è basso poiché gli operatori adottano comportamenti conformi e utilizzano i DPI necessari. L'unica lieve criticità è la ridotta consapevolezza situazionale dell'operatore di destra che lavora di spalle rispetto all'area di transito.</t>
        </is>
      </c>
      <c r="I11" s="7" t="n">
        <v>20.47</v>
      </c>
      <c r="J11" s="11" t="inlineStr">
        <is>
          <t>verde</t>
        </is>
      </c>
    </row>
    <row r="12" ht="34" customHeight="1">
      <c r="A12" s="7" t="n">
        <v>10</v>
      </c>
      <c r="B12" s="7" t="n">
        <v>20</v>
      </c>
      <c r="C12" s="7" t="n">
        <v>24</v>
      </c>
      <c r="D12" s="7" t="inlineStr">
        <is>
          <t>{"scene_state": "Ambiente industriale di stampaggio plastico in attività.", "environmental_conditions": ["Illuminazione interna artificiale", "Spazio di lavoro al chiuso"], "people": ["Operatore a sinistra con maglietta rosa e cappellino nero", "Operatore a destra posizionato davanti al pannello di controllo"], "objects": ["Sedie in plastica colorate impilate sullo sfondo", "Pannello di controllo con schermo e tastiera"], "machines": ["Pressa industriale per stampaggio a iniezione"], "observable_actions": ["L'operatore a sinistra solleva le mani indossando guanti blu", "L'operatore a destra interagisce con l'area del pannello di controllo della macchina"], "visible_ppe": ["Guanti protettivi di colore blu indossati da entrambi gli operatori"], "notes_visibility_limitations": "La visuale è parzialmente limitata dall'alto, ostruendo la parte inferiore del corpo dei soggetti."}</t>
        </is>
      </c>
      <c r="E12" s="7" t="inlineStr">
        <is>
          <t>{"unsafe_behaviors": [], "vulnerable_elements": ["Operatore a sinistra", "Operatore a destra"], "risk_cues": {"S1_people_vehicle_interference": 0.0, "S2_visibility_attention_reduction": 0.25, "S3_non_compliant_behavior": 0.0, "S4_vehicle_infrastructure_interference": 0.0, "S5_storage_structural_instability": 0.0, "S6_access_to_moving_mechanical_parts": 0.25, "S7_manual_handling_heavy_unstable_loads": 0.0}, "cue_confidence": 0.85, "diagnostic_notes": "La scena mostra un'operatività standard presso una pressa ad iniezione. Gli operatori indossano i DPI visibili (guanti blu). L'operatore a destra interagisce con il pannello di controllo, mentre quello a sinistra solleva le mani, senza evidenziare comportamenti non conformi. La limitazione visiva sulla parte inferiore del corpo non permette di verificare calzature di sicurezza o ostacoli a terra."}</t>
        </is>
      </c>
      <c r="F12" s="7" t="inlineStr">
        <is>
          <t>{"causal_chain_plausible": false, "causal_chain_text": "", "near_miss_or_incident_scenario": "", "contributing_factors": ["Limitata visibilità della parte inferiore del corpo degli operatori", "Presenza di organi meccanici in movimento della pressa industriale"]}</t>
        </is>
      </c>
      <c r="G12" s="7" t="n">
        <v>15</v>
      </c>
      <c r="H12" s="7" t="inlineStr">
        <is>
          <t>Il rischio è basso poiché gli operatori svolgono attività standard indossando i guanti protettivi e senza mostrare comportamenti non conformi. Rimane una minima attenzione dovuta alla presenza della pressa industriale e alla parziale limitazione visiva degli arti inferiori.</t>
        </is>
      </c>
      <c r="I12" s="7" t="n">
        <v>17.19</v>
      </c>
      <c r="J12" s="11" t="inlineStr">
        <is>
          <t>verde</t>
        </is>
      </c>
    </row>
    <row r="13" ht="34" customHeight="1">
      <c r="A13" s="7" t="n">
        <v>11</v>
      </c>
      <c r="B13" s="7" t="n">
        <v>22</v>
      </c>
      <c r="C13" s="7" t="n">
        <v>26</v>
      </c>
      <c r="D13" s="7" t="inlineStr">
        <is>
          <t>{"scene_state": "Interno di uno stabilimento industriale, reparto stampaggio materie plastiche.", "environmental_conditions": ["Illuminazione artificiale interna costante", "Presenza di materiale stoccato sullo sfondo"], "people": ["Operatore a sinistra con t-shirt rosa e cappellino nero", "Operatore a destra in primo piano, parzialmente inquadrato"], "objects": ["Sedie in plastica impilate (verdi, rosse, blu)", "Pannello di controllo digitale con schermo", "Supporto o tavolo bianco sotto la macchina"], "machines": ["Pressa industriale per stampaggio a iniezione (marca MIR)"], "observable_actions": ["L'operatore a sinistra lavora sulla parte laterale/barriera della macchina", "L'operatore a destra osserva l'area di lavoro tenendo la mano sulla struttura"], "visible_ppe": ["Guanti protettivi di colore blu per entrambi gli operatori"], "notes_visibility_limitations": "L'inquadratura ravvicinata taglia parzialmente il corpo dell'operatore a destra. La visuale interna della macchina è limitata dalla struttura stessa."}</t>
        </is>
      </c>
      <c r="E13" s="7" t="inlineStr">
        <is>
          <t>{"unsafe_behaviors": [], "vulnerable_elements": ["Operatore a sinistra con t-shirt rosa", "Operatore a destra in primo piano"], "risk_cues": {"S1_people_vehicle_interference": 0.0, "S2_visibility_attention_reduction": 0.25, "S3_non_compliant_behavior": 0.0, "S4_vehicle_infrastructure_interference": 0.0, "S5_storage_structural_instability": 0.0, "S6_access_to_moving_mechanical_parts": 0.25, "S7_manual_handling_heavy_unstable_loads": 0.0}, "cue_confidence": 0.85, "diagnostic_notes": "Gli operatori lavorano in prossimità di una pressa ad iniezione MIR. L'operatore a sinistra interviene sulla barriera laterale indossando guanti protettivi. La visibilità interna della macchina è parzialmente limitata dalla struttura (S2), ma non si rilevano comportamenti non conformi o pericoli immediati legati a organi in movimento non protetti o mezzi di movimentazione."}</t>
        </is>
      </c>
      <c r="F13" s="7" t="inlineStr">
        <is>
          <t>{"causal_chain_plausible": true, "causal_chain_text": "L'operatore a sinistra esegue un intervento manuale sulla barriera laterale della pressa MIR. La visibilità interna limitata (S2) e la prossimità a organi meccanici (S6) possono causare un contatto accidentale o un intrappolamento degli arti qualora la macchina non sia in uno stato di arresto sicuro o si attivi inaspettatamente.", "near_miss_or_incident_scenario": "Schiacciamento o intrappolamento della mano o del braccio dell'operatore a sinistra all'interno della zona di movimento della pressa ad iniezione.", "contributing_factors": ["Limitata visibilità interna della macchina dovuta alla struttura stessa", "Intervento manuale diretto sulla parte laterale/barriera della pressa", "Prossimità fisica degli operatori a una macchina industriale per stampaggio attiva o potenzialmente attiva"]}</t>
        </is>
      </c>
      <c r="G13" s="7" t="n">
        <v>20</v>
      </c>
      <c r="H13" s="7" t="inlineStr">
        <is>
          <t>Il livello di rischio è basso poiché gli operatori indossano i DPI necessari e non mostrano comportamenti non conformi. Permane un rischio residuo minimo dovuto alla prossimità alla pressa industriale e alla visibilità parzialmente limitata della zona di lavoro.</t>
        </is>
      </c>
      <c r="I13" s="7" t="n">
        <v>20.13</v>
      </c>
      <c r="J13" s="11" t="inlineStr">
        <is>
          <t>verde</t>
        </is>
      </c>
    </row>
    <row r="14" ht="34" customHeight="1">
      <c r="A14" s="7" t="n">
        <v>12</v>
      </c>
      <c r="B14" s="7" t="n">
        <v>24</v>
      </c>
      <c r="C14" s="7" t="n">
        <v>28</v>
      </c>
      <c r="D14" s="7" t="inlineStr">
        <is>
          <t>{"scene_state": "Interno di un impianto industriale, presumibilmente per lo stampaggio di materie plastiche.", "environmental_conditions": ["Illuminazione artificiale interna", "Ambiente di lavoro industriale"], "people": ["Operatore a sinistra con maglietta rosa e cappellino nero", "Operatore a destra in primo piano con maglietta grigia"], "objects": ["Ceste di plastica colorate impilate sullo sfondo", "Bobina o rotolo nero a sinistra", "Pannello di controllo con schermo e tastiera"], "machines": ["Grande pressa a iniezione industriale di colore arancione e grigio"], "observable_actions": ["L'operatore a sinistra osserva l'area di lavoro della macchina", "L'operatore a destra guarda verso l'alto in direzione del macchinario"], "visible_ppe": ["Guanti protettivi blu indossati da entrambi gli operatori"], "notes_visibility_limitations": "Inquadratura ravvicinata che taglia la parte inferiore del corpo dei soggetti; l'operatore in primo piano ostruisce parzialmente la visuale."}</t>
        </is>
      </c>
      <c r="E14" s="7" t="inlineStr">
        <is>
          <t>{"unsafe_behaviors": [], "vulnerable_elements": ["Operatore a sinistra vicino all'area di lavoro della pressa", "Operatore a destra in primo piano"], "risk_cues": {"S1_people_vehicle_interference": 0.0, "S2_visibility_attention_reduction": 0.25, "S3_non_compliant_behavior": 0.0, "S4_vehicle_infrastructure_interference": 0.0, "S5_storage_structural_instability": 0.0, "S6_access_to_moving_mechanical_parts": 0.25, "S7_manual_handling_heavy_unstable_loads": 0.0}, "cue_confidence": 0.85, "diagnostic_notes": "Gli operatori si trovano in prossimità di una pressa a iniezione industriale. Entrambi indossano guanti protettivi e si limitano a osservare il macchinario, senza eseguire interventi manuali diretti o mostrare comportamenti non conformi. La visibilità è parzialmente limitata dall'inquadratura stretta."}</t>
        </is>
      </c>
      <c r="F14" s="7" t="inlineStr">
        <is>
          <t>{"causal_chain_plausible": true, "causal_chain_text": "La prossimità degli operatori alla pressa a iniezione, combinata con l'osservazione ravvicinata del macchinario, può causare un contatto involontario con organi in movimento in caso di distrazione o movimento improvviso.", "near_miss_or_incident_scenario": "Un operatore si avvicina eccessivamente alla zona di stampaggio della pressa attiva, rischiando lo schiacciamento o l'intrappolamento degli arti superiori.", "contributing_factors": ["Presenza di parti meccaniche in movimento della pressa a iniezione", "Distanza ravvicinata dei soggetti all'area di pericolo", "Limitazione della visibilità e potenziale riduzione dell'attenzione"]}</t>
        </is>
      </c>
      <c r="G14" s="7" t="n">
        <v>30</v>
      </c>
      <c r="H14" s="7" t="inlineStr">
        <is>
          <t>Il rischio è moderato a causa della stretta vicinanza degli operatori a una pressa a iniezione industriale in funzione. Pur non essendoci comportamenti scorretti e indossando i guanti protettivi, la prossimità a parti meccaniche in movimento richiede un livello di attenzione costante.</t>
        </is>
      </c>
      <c r="I14" s="7" t="n">
        <v>28.55</v>
      </c>
      <c r="J14" s="10" t="inlineStr">
        <is>
          <t>giallo</t>
        </is>
      </c>
    </row>
    <row r="15" ht="34" customHeight="1">
      <c r="A15" s="7" t="n">
        <v>13</v>
      </c>
      <c r="B15" s="7" t="n">
        <v>26</v>
      </c>
      <c r="C15" s="7" t="n">
        <v>30</v>
      </c>
      <c r="D15" s="7" t="inlineStr">
        <is>
          <t>{"scene_state": "Interno di un'officina industriale o fabbrica di stampaggio plastica.", "environmental_conditions": ["Illuminazione artificiale costante", "Ambiente al chiuso"], "people": ["Operatore a sinistra con maglietta rosa e cappellino nero", "Operatore in primo piano a destra, parzialmente visibile", "Persona sullo sfondo che cammina"], "objects": ["Sedie di plastica colorate impilate sullo sfondo", "Rotoli di materiale plastico nero a sinistra", "Tavolo di supporto bianco"], "machines": ["Pressa per stampaggio a iniezione industriale di colore arancione e grigio con marchio MIR", "Pannello di controllo digitale con schermo e tastiera"], "observable_actions": ["L'operatore con la maglietta rosa si gira a guardare verso la macchina", "L'operatore in primo piano osserva il macchinario tenendo la mano destra vicino alla struttura", "Una persona attraversa l'area sullo sfondo"], "visible_ppe": ["Guanto protettivo di colore blu sulla mano destra dell'operatore in primo piano"], "notes_visibility_limitations": "L'inquadratura dall'alto e ravvicinata taglia la parte inferiore dei soggetti e limita la visuale completa dell'area circostante."}</t>
        </is>
      </c>
      <c r="E15" s="7" t="inlineStr">
        <is>
          <t>{"unsafe_behaviors": ["Posizionamento della mano dell'operatore in prossimità della struttura della pressa di stampaggio"], "vulnerable_elements": ["Operatore in primo piano a destra", "Operatore con maglietta rosa"], "risk_cues": {"S1_people_vehicle_interference": 0.0, "S2_visibility_attention_reduction": 0.25, "S3_non_compliant_behavior": 0.0, "S4_vehicle_infrastructure_interference": 0.0, "S5_storage_structural_instability": 0.0, "S6_access_to_moving_mechanical_parts": 0.5, "S7_manual_handling_heavy_unstable_loads": 0.0}, "cue_confidence": 0.8, "diagnostic_notes": "L'operatore in primo piano ha la mano destra (con guanto blu) vicino alla struttura della pressa MIR. Questo configura un potenziale rischio di accesso a parti calde o in movimento (S6), sebbene non siano visibili anomalie palesi. La limitazione dell'inquadratura riduce la visibilità periferica (S2). Non si rilevano mezzi in movimento o carichi instabili."}</t>
        </is>
      </c>
      <c r="F15" s="7" t="inlineStr">
        <is>
          <t>{"causal_chain_plausible": true, "causal_chain_text": "La vicinanza della mano dell'operatore alla struttura della pressa MIR, combinata con un potenziale movimento meccanico o ciclo di riscaldamento attivo, può causare un contatto involontario con elementi pericolosi.", "near_miss_or_incident_scenario": "Schiacciamento o ustione della mano destra dell'operatore a causa dell'accesso accidentale a parti in movimento o superfici calde della pressa per stampaggio a iniezione.", "contributing_factors": ["Posizionamento della mano dell'operatore in prossimità della struttura della pressa", "Limitazione della visibilità periferica e dell'area circostante", "Potenziale esposizione a organi meccanici in movimento o superfici ad alta temperatura"]}</t>
        </is>
      </c>
      <c r="G15" s="7" t="n">
        <v>35</v>
      </c>
      <c r="H15" s="7" t="inlineStr">
        <is>
          <t>Il punteggio riflette un rischio moderato dovuto alla vicinanza della mano dell'operatore alla struttura della pressa, con potenziale esposizione a parti calde o in movimento. L'uso di guanti protettivi e l'assenza di comportamenti palesemente scorretti mantengono il livello di pericolo sotto la soglia critica.</t>
        </is>
      </c>
      <c r="I15" s="7" t="n">
        <v>33.67</v>
      </c>
      <c r="J15" s="10" t="inlineStr">
        <is>
          <t>giallo</t>
        </is>
      </c>
    </row>
    <row r="16" ht="34" customHeight="1">
      <c r="A16" s="7" t="n">
        <v>14</v>
      </c>
      <c r="B16" s="7" t="n">
        <v>28</v>
      </c>
      <c r="C16" s="7" t="n">
        <v>32</v>
      </c>
      <c r="D16" s="7" t="inlineStr">
        <is>
          <t>{"scene_state": "Interno di un impianto industriale, presumibilmente per la produzione di materie plastiche.", "environmental_conditions": ["Illuminazione artificiale interna", "Ambiente di lavoro con presenza di attrezzature e prodotti stoccati"], "people": ["Uomo in primo piano a sinistra con maglietta rosa e cappellino nero", "Uomo parzialmente visibile in primo piano a destra", "Uomo sullo sfondo a sinistra con maglietta a righe che entra nella scena"], "objects": ["Sedie o ceste di plastica colorate (rosse, verdi, blu) impilate sullo sfondo", "Tavolo bianco di supporto", "Dispositivo elettronico portatile (palmare/scanner)"], "machines": ["Grande pressa a iniezione industriale (marchio MIR) con pannello di controllo e schermo attivi"], "observable_actions": ["L'uomo in maglietta rosa manipola un dispositivo portatile vicino alla macchina", "L'uomo a destra osserva il pannello di controllo della pressa", "L'uomo sullo sfondo cammina verso l'area di lavoro"], "visible_ppe": ["Guanti protettivi di colore blu indossati dall'uomo a destra"], "notes_visibility_limitations": "L'operatore a destra è visibile solo parzialmente (inquadratura ravvicinata di testa e braccio)."}</t>
        </is>
      </c>
      <c r="E16" s="7" t="inlineStr">
        <is>
          <t>{"unsafe_behaviors": ["Possibile distrazione dell'operatore durante l'uso del dispositivo portatile vicino alla macchina", "Mancanza di DPI visibili (es. elmetto, protezione acustica o visiva) per gli operatori presenti, eccetto i guanti dell'operatore a destra"], "vulnerable_elements": ["Operatore in maglietta rosa vicino alla pressa", "Operatore parzialmente visibile a destra", "Operatore sullo sfondo che accede all'area"], "risk_cues": {"S1_people_vehicle_interference": 0.0, "S2_visibility_attention_reduction": 0.25, "S3_non_compliant_behavior": 0.25, "S4_vehicle_infrastructure_interference": 0.0, "S5_storage_structural_instability": 0.0, "S6_access_to_moving_mechanical_parts": 0.25, "S7_manual_handling_heavy_unstable_loads": 0.0}, "cue_confidence": 0.8, "diagnostic_notes": "L'analisi evidenzia un ambiente di lavoro stabile. Non sono presenti mezzi in movimento o movimentazione di carichi. Si rileva una potenziale riduzione dell'attenzione dovuta all'uso del palmare vicino alla pressa attiva. La parziale visibilità di alcuni soggetti limita la verifica completa dei DPI."}</t>
        </is>
      </c>
      <c r="F16" s="7" t="inlineStr">
        <is>
          <t>{"causal_chain_plausible": true, "causal_chain_text": "L'operatore in maglietta rosa, distratto dall'uso del palmare vicino alla pressa attiva, riduce la propria attenzione situazionale. In caso di anomalia della macchina o movimento imprevisto, la mancata reazione tempestiva, unita all'assenza di DPI visibili (occhiali, elmetto), può causare un infortunio.", "near_miss_or_incident_scenario": "Contatto accidentale con parti calde o in movimento della pressa a iniezione, o impatto con materiale plastico proiettato a causa di un'anomalia non monitorata per via della distrazione dell'operatore.", "contributing_factors": ["Distrazione dell'operatore dovuta all'uso del dispositivo portatile vicino alla macchina attiva", "Mancanza di DPI visibili adeguati per il rischio industriale specifico (es. protezione visiva)", "Presenza di più persone nell'area operativa senza apparente delimitazione di sicurezza"]}</t>
        </is>
      </c>
      <c r="G16" s="7" t="n">
        <v>30</v>
      </c>
      <c r="H16" s="7" t="inlineStr">
        <is>
          <t>Il rischio è moderato a causa della potenziale distrazione dell'operatore che utilizza un dispositivo portatile vicino alla pressa a iniezione attiva e della mancanza di DPI visibili adeguati per l'area industriale. Non si rilevano pericoli immediati legati a mezzi in movimento o carichi sospesi.</t>
        </is>
      </c>
      <c r="I16" s="7" t="n">
        <v>31.47</v>
      </c>
      <c r="J16" s="10" t="inlineStr">
        <is>
          <t>giallo</t>
        </is>
      </c>
    </row>
    <row r="17" ht="34" customHeight="1">
      <c r="A17" s="7" t="n">
        <v>15</v>
      </c>
      <c r="B17" s="7" t="n">
        <v>30</v>
      </c>
      <c r="C17" s="7" t="n">
        <v>34</v>
      </c>
      <c r="D17" s="7" t="inlineStr">
        <is>
          <t>{"scene_state": "Ambiente industriale, reparto stampaggio materie plastiche.", "environmental_conditions": ["Illuminazione artificiale interna", "Ambiente di fabbrica"], "people": ["Operatore in maglietta rosa e cappellino nero", "Operatore in maglietta grigia in primo piano", "Operatore in maglietta a righe sullo sfondo"], "objects": ["Sedie di plastica impilate", "Dispositivo portatile/scanner", "Pannello di controllo con schermo"], "machines": ["Pressa industriale per stampaggio a iniezione"], "observable_actions": ["L'operatore in maglietta rosa consulta un dispositivo portatile", "L'operatore in maglietta grigia osserva e interagisce con il pannello di controllo", "L'operatore sullo sfondo cammina verso sinistra uscendo dal campo visivo"], "visible_ppe": ["Guanti protettivi blu (indossati dall'operatore in maglietta grigia)"], "notes_visibility_limitations": "Inquadratura fissa dall'alto; parziale occlusione dei dettagli operativi sul macchinario."}</t>
        </is>
      </c>
      <c r="E17" s="7" t="inlineStr">
        <is>
          <t>{"unsafe_behaviors": ["Possibile distrazione dell'operatore in maglietta rosa durante la consultazione del dispositivo portatile vicino alla pressa"], "vulnerable_elements": ["Operatore in maglietta rosa", "Operatore in maglietta grigia"], "risk_cues": {"S1_people_vehicle_interference": 0.0, "S2_visibility_attention_reduction": 0.5, "S3_non_compliant_behavior": 0.25, "S4_vehicle_infrastructure_interference": 0.0, "S5_storage_structural_instability": 0.25, "S6_access_to_moving_mechanical_parts": 0.25, "S7_manual_handling_heavy_unstable_loads": 0.0}, "cue_confidence": 0.8, "diagnostic_notes": "L'uso del dispositivo portatile da parte dell'operatore in rosa introduce una potenziale riduzione dell'attenzione (S2). La presenza di sedie impilate rappresenta un debole intralcio (S5). L'occlusione parziale della pressa limita la visibilità dettagliata sulle parti in movimento (S6), ma l'interazione avviene principalmente tramite pannello di controllo. Non si registrano mezzi o movimentazione carichi."}</t>
        </is>
      </c>
      <c r="F17" s="7" t="inlineStr">
        <is>
          <t>{"causal_chain_plausible": true, "causal_chain_text": "La distrazione dell'operatore in maglietta rosa dovuta all'uso del dispositivo portatile riduce la sua consapevolezza situazionale. In caso di movimento imprevisto o di necessità di reazione rapida, la ridotta attenzione e la presenza di ostacoli a terra (sedie impilate) possono causare una perdita di equilibrio o un contatto accidentale con la pressa.", "near_miss_or_incident_scenario": "L'operatore distratto dal dispositivo portatile inciampa nelle sedie impilate vicino alla zona di transito o urta inavvertitamente parti calde o in movimento della pressa industriale.", "contributing_factors": ["Riduzione dell'attenzione causata dall'uso del dispositivo portatile", "Presenza di ostacoli (sedie impilate) nell'area di lavoro", "Prossimità operativa a una pressa industriale per stampaggio a iniezione"]}</t>
        </is>
      </c>
      <c r="G17" s="7" t="n">
        <v>35</v>
      </c>
      <c r="H17" s="7" t="inlineStr">
        <is>
          <t>Il livello di rischio è moderato a causa della potenziale distrazione dell'operatore che consulta il dispositivo portatile in prossimità della pressa industriale. La presenza di sedie impilate nell'area di lavoro costituisce un ulteriore elemento di intralcio che potrebbe causare inciampi.</t>
        </is>
      </c>
      <c r="I17" s="7" t="n">
        <v>34.84</v>
      </c>
      <c r="J17" s="10" t="inlineStr">
        <is>
          <t>giallo</t>
        </is>
      </c>
    </row>
    <row r="18" ht="34" customHeight="1">
      <c r="A18" s="7" t="n">
        <v>16</v>
      </c>
      <c r="B18" s="7" t="n">
        <v>32</v>
      </c>
      <c r="C18" s="7" t="n">
        <v>36</v>
      </c>
      <c r="D18" s="7" t="inlineStr">
        <is>
          <t>{"scene_state": "Ambiente industriale, reparto stampaggio materie plastiche.", "environmental_conditions": ["Illuminazione artificiale interna", "Spazio di lavoro industriale"], "people": ["Operatore con maglietta rosa e cappellino nero", "Operatore con capelli grigi in primo piano", "Persona parzialmente visibile a sinistra"], "objects": ["Sedie di plastica impilate sullo sfondo", "Sacchi bianchi", "Pannello di controllo della macchina"], "machines": ["Pressa per stampaggio a iniezione (marca MIR)"], "observable_actions": ["L'operatore con il cappellino si avvicina all'area di lavoro della macchina", "L'operatore con i capelli grigi tocca un componente della macchina con la mano guantata"], "visible_ppe": ["Guanto protettivo blu (indossato dall'operatore con i capelli grigi)"], "notes_visibility_limitations": "Inquadratura parziale dei soggetti; l'operatore a sinistra è quasi totalmente escluso dal campo visivo."}</t>
        </is>
      </c>
      <c r="E18" s="7" t="inlineStr">
        <is>
          <t>{"unsafe_behaviors": ["Interazione manuale diretta con componenti della pressa senza evidente verifica dello stato di isolamento o arresto della macchina"], "vulnerable_elements": ["Operatore con capelli grigi in primo piano", "Operatore con maglietta rosa e cappellino nero"], "risk_cues": {"S1_people_vehicle_interference": 0.0, "S2_visibility_attention_reduction": 0.25, "S3_non_compliant_behavior": 0.25, "S4_vehicle_infrastructure_interference": 0.0, "S5_storage_structural_instability": 0.0, "S6_access_to_moving_mechanical_parts": 0.5, "S7_manual_handling_heavy_unstable_loads": 0.0}, "cue_confidence": 0.75, "diagnostic_notes": "L'operatore con i capelli grigi esegue un intervento manuale toccando un componente della pressa MIR. Sebbene indossi un guanto protettivo, l'azione comporta un potenziale rischio di contatto con organi in movimento o superfici calde (S6), la cui gravità è mitigata o accentuata dallo stato operativo della macchina (non interamente verificabile a causa dell'inquadratura parziale). Non si rilevano interferenze con mezzi (S1, S4) o problematiche di stoccaggio (S5)."}</t>
        </is>
      </c>
      <c r="F18" s="7" t="inlineStr">
        <is>
          <t>{"causal_chain_plausible": true, "causal_chain_text": "L'operatore esegue un intervento manuale diretto su un componente della pressa MIR. In assenza di una procedura verificata di isolamento energetico (LOTO), un movimento imprevisto della macchina o la presenza di calore residuo può portare al contatto pericoloso con l'arto dell'operatore.", "near_miss_or_incident_scenario": "Schiacciamento o intrappolamento della mano dell'operatore tra gli organi in movimento della pressa, o ustione da contatto con superfici ad alta temperatura non protette.", "contributing_factors": ["Interazione manuale diretta con componenti della macchina senza evidente isolamento o arresto di sicurezza", "Accesso ad aree con potenziali parti meccaniche in movimento o superfici calde", "Presenza di più persone nell'area di lavoro che può generare distrazione o coordinamento errato"]}</t>
        </is>
      </c>
      <c r="G18" s="7" t="n">
        <v>55</v>
      </c>
      <c r="H18" s="7" t="inlineStr">
        <is>
          <t>Il punteggio riflette un rischio significativo dovuto all'interazione manuale diretta con la pressa MIR senza evidenza di procedure di isolamento energetico (LOTO). Questo comportamento espone l'operatore a potenziali pericoli di schiacciamento o ustione in caso di attivazione accidentale della macchina.</t>
        </is>
      </c>
      <c r="I18" s="7" t="n">
        <v>51.94</v>
      </c>
      <c r="J18" s="9" t="inlineStr">
        <is>
          <t>arancione</t>
        </is>
      </c>
    </row>
    <row r="19" ht="34" customHeight="1">
      <c r="A19" s="7" t="n">
        <v>17</v>
      </c>
      <c r="B19" s="7" t="n">
        <v>34</v>
      </c>
      <c r="C19" s="7" t="n">
        <v>38</v>
      </c>
      <c r="D19" s="7" t="inlineStr">
        <is>
          <t>{"scene_state": "Ambiente industriale interno, reparto stampaggio materie plastiche.", "environmental_conditions": ["Illuminazione artificiale interna stabile", "Spazio di lavoro con materiali stoccati sullo sfondo"], "people": ["Un operatore giovane con maglietta rosa e cappellino nero", "Un operatore in primo piano, visibile parzialmente"], "objects": ["Sedie in plastica colorate impilate sullo sfondo", "Sacchi bianchi industriali", "Pannello di controllo digitale del macchinario", "Tavolo di supporto bianco in basso a sinistra"], "machines": ["Pressa per stampaggio a iniezione industriale di colore arancione e grigio"], "observable_actions": ["L'operatore con la maglietta rosa si avvicina alla zona stampo della pressa, poi si gira a guardare l'altro operatore", "L'operatore in primo piano tiene la mano destra (con guanto blu) vicino alla zona di lavoro della macchina"], "visible_ppe": ["Guanto protettivo di colore blu"], "notes_visibility_limitations": "L'operatore in primo piano è visibile solo parzialmente. La visuale interna della pressa è parzialmente ostruita dalla struttura della macchina stessa."}</t>
        </is>
      </c>
      <c r="E19" s="7" t="inlineStr">
        <is>
          <t>{"unsafe_behaviors": ["Operatore con la mano destra posizionata vicino alla zona di lavoro della pressa", "Operatore che si gira a guardare il collega mentre si trova in prossimità della zona stampo"], "vulnerable_elements": ["Operatore in primo piano", "Operatore con maglietta rosa"], "risk_cues": {"S1_people_vehicle_interference": 0.0, "S2_visibility_attention_reduction": 0.5, "S3_non_compliant_behavior": 0.5, "S4_vehicle_infrastructure_interference": 0.0, "S5_storage_structural_instability": 0.0, "S6_access_to_moving_mechanical_parts": 0.75, "S7_manual_handling_heavy_unstable_loads": 0.0}, "cue_confidence": 0.8, "diagnostic_notes": "Si rileva una forte evidenza di rischio legata all'accesso a organi meccanici (S6), data la presenza della mano dell'operatore vicino alla zona di lavoro della pressa. Si osserva inoltre una potenziale riduzione dell'attenzione (S2) quando l'operatore in maglietta rosa si gira verso il collega mentre è vicino alla zona stampo. La parziale ostruzione della visuale interna della pressa non permette di verificare con assoluta certezza lo stato di isolamento della macchina."}</t>
        </is>
      </c>
      <c r="F19" s="7" t="inlineStr">
        <is>
          <t>{"causal_chain_plausible": true, "causal_chain_text": "La prossimità della mano dell'operatore alla zona di lavoro della pressa, combinata con la distrazione del secondo operatore che si gira verso il collega vicino allo stampo, crea una condizione di vulnerabilità. Un movimento imprevisto della macchina o un'azione involontaria possono portare al contatto con gli organi in movimento.", "near_miss_or_incident_scenario": "Schiacciamento o intrappolamento dell'arto superiore dell'operatore all'interno della zona stampo della pressa a iniezione durante una fase di distrazione operativa.", "contributing_factors": ["Presenza della mano dell'operatore vicino alla zona di lavoro della pressa", "Distrazione dell'operatore che distoglie lo sguardo dalla zona di pericolo", "Mancanza di barriere di sicurezza visibili a protezione della zona stampo"]}</t>
        </is>
      </c>
      <c r="G19" s="7" t="n">
        <v>72</v>
      </c>
      <c r="H19" s="7" t="inlineStr">
        <is>
          <t>Il punteggio riflette un rischio significativo dovuto alla presenza della mano dell'operatore in prossimità della zona di stampaggio della pressa, aggravato dalla distrazione del collega che distoglie lo sguardo dall'area di pericolo. La potenziale gravità di un infortunio da schiacciamento in questa zona richiede un monitoraggio immediato.</t>
        </is>
      </c>
      <c r="I19" s="7" t="n">
        <v>68.23</v>
      </c>
      <c r="J19" s="9" t="inlineStr">
        <is>
          <t>arancione</t>
        </is>
      </c>
    </row>
    <row r="20" ht="34" customHeight="1">
      <c r="A20" s="7" t="n">
        <v>18</v>
      </c>
      <c r="B20" s="7" t="n">
        <v>36</v>
      </c>
      <c r="C20" s="7" t="n">
        <v>40</v>
      </c>
      <c r="D20" s="7" t="inlineStr">
        <is>
          <t>{"scene_state": "Area di produzione industriale con macchinari per lo stampaggio di materie plastiche.", "environmental_conditions": ["Illuminazione artificiale interna", "Ambiente di fabbrica"], "people": ["Un operatore con maglietta rosa e cappellino nero", "Un secondo uomo parzialmente visibile in primo piano a destra", "Una terza persona parzialmente visibile sul lato sinistro"], "objects": ["Sedie di plastica colorate impilate sullo sfondo", "Sacchi bianchi", "Pannello di controllo della macchina"], "machines": ["Pressa per stampaggio a iniezione di colore arancione e grigio"], "observable_actions": ["L'operatore con la maglietta rosa interagisce con la pressa, inserendo la mano sinistra guantata all'interno della zona stampo", "L'uomo in primo piano osserva l'operazione"], "visible_ppe": ["Un guanto protettivo blu sulla mano sinistra dell'operatore con maglietta rosa"], "notes_visibility_limitations": "La visuale dell'interno della macchina è parzialmente ostruita dalla struttura stessa. L'uomo in primo piano copre parzialmente la visuale inferiore destra."}</t>
        </is>
      </c>
      <c r="E20" s="7" t="inlineStr">
        <is>
          <t>{"unsafe_behaviors": ["Inserimento della mano sinistra all'interno della zona stampo della pressa a iniezione senza evidente verifica di isolamento energetico o blocco di sicurezza (LOTO)."], "vulnerable_elements": ["Operatore con maglietta rosa (esposto a rischio di schiacciamento, intrappolamento o ustione dell'arto superiore sinistro)."], "risk_cues": {"S1_people_vehicle_interference": 0.0, "S2_visibility_attention_reduction": 0.25, "S3_non_compliant_behavior": 0.75, "S4_vehicle_infrastructure_interference": 0.0, "S5_storage_structural_instability": 0.0, "S6_access_to_moving_mechanical_parts": 0.75, "S7_manual_handling_heavy_unstable_loads": 0.0}, "cue_confidence": 0.8, "diagnostic_notes": "L'operatore inserisce la mano nella zona dello stampo della pressa (S6). Sebbene indossi un guanto protettivo, l'accesso diretto a organi meccanici potenzialmente attivi rappresenta un comportamento non conforme ad alto rischio (S3). La visibilità interna limitata dalla struttura della macchina (S2) aumenta l'ambiguità sullo stato di sicurezza effettivo del macchinario durante l'intervento."}</t>
        </is>
      </c>
      <c r="F20" s="7" t="inlineStr">
        <is>
          <t>{"causal_chain_plausible": true, "causal_chain_text": "L'operatore inserisce la mano sinistra nella zona stampo della pressa senza apparente isolamento energetico. Un avvio intempestivo del ciclo o un guasto ai sistemi di sicurezza può causare la chiusura dello stampo sull'arto.", "near_miss_or_incident_scenario": "Grave infortunio con schiacciamento o amputazione della mano sinistra dell'operatore all'interno della pressa a iniezione.", "contributing_factors": ["Accesso manuale diretto alla zona pericolosa dello stampo", "Mancanza di evidenza di procedure di isolamento energetico (LOTO)", "Uso di DPI (guanto) inadeguati a proteggere da forze di schiacciamento meccanico"]}</t>
        </is>
      </c>
      <c r="G20" s="7" t="n">
        <v>80</v>
      </c>
      <c r="H20" s="7" t="inlineStr">
        <is>
          <t>L'inserimento della mano all'interno della zona stampo di una pressa a iniezione senza evidenza di isolamento energetico (LOTO) espone l'operatore a un rischio critico di schiacciamento e amputazione. Il guanto indossato non offre alcuna protezione contro le forze meccaniche della macchina in caso di avvio intempestivo.</t>
        </is>
      </c>
      <c r="I20" s="7" t="n">
        <v>77.29000000000001</v>
      </c>
      <c r="J20" s="8" t="inlineStr">
        <is>
          <t>rosso</t>
        </is>
      </c>
    </row>
    <row r="21" ht="34" customHeight="1">
      <c r="A21" s="7" t="n">
        <v>19</v>
      </c>
      <c r="B21" s="7" t="n">
        <v>38</v>
      </c>
      <c r="C21" s="7" t="n">
        <v>42</v>
      </c>
      <c r="D21" s="7" t="inlineStr">
        <is>
          <t>{"scene_state": "Attività di manutenzione o configurazione di un macchinario industriale in un impianto di stampaggio plastica.", "environmental_conditions": ["Illuminazione artificiale interna", "Ambiente di fabbrica con materiali stoccati sullo sfondo"], "people": ["Operatore con maglietta rosa e cappellino nero", "Operatore in primo piano di spalle con maglietta blu", "Operatore che sopraggiunge da sinistra con maglietta a righe"], "objects": ["Sedie in plastica impilate", "Grandi sacchi bianchi", "Rotoli o cilindri neri", "Attrezzo manuale metallico"], "machines": ["Pressa ad iniezione industriale MIR con schermo di controllo acceso"], "observable_actions": ["L'operatore in rosa lavora vicino alla zona stampo", "L'operatore in primo piano agisce sul pannello di controllo", "L'operatore a righe si avvicina portando un attrezzo"], "visible_ppe": ["Guanto protettivo blu sulla mano destra dell'operatore al pannello"], "notes_visibility_limitations": "La presenza fisica degli operatori ostruisce parzialmente la vista dei dettagli interni del macchinario."}</t>
        </is>
      </c>
      <c r="E21" s="7" t="inlineStr">
        <is>
          <t>{"unsafe_behaviors": ["Intervento manuale nella zona stampo con macchina potenzialmente alimentata", "Mancanza di evidenza di procedure di Lockout/Tagout (LOTO) durante la manutenzione", "Mancanza di DPI visibili completi per tutti gli operatori esposti"], "vulnerable_elements": ["Operatore con maglietta rosa vicino alla zona stampo", "Operatore con maglietta a righe in prossimità dell'area di lavoro"], "risk_cues": {"S1_people_vehicle_interference": 0.0, "S2_visibility_attention_reduction": 0.5, "S3_non_compliant_behavior": 0.5, "S4_vehicle_infrastructure_interference": 0.0, "S5_storage_structural_instability": 0.25, "S6_access_to_moving_mechanical_parts": 0.75, "S7_manual_handling_heavy_unstable_loads": 0.25}, "cue_confidence": 0.8, "diagnostic_notes": "Il rischio principale (S6) è legato alla presenza dell'operatore in rosa vicino alla zona stampo della pressa ad iniezione mentre un altro operatore agisce sul pannello di controllo acceso. Questa configurazione espone a gravi rischi di schiacciamento in assenza di un isolamento energetico sicuro (LOTO). La visibilità interna è parzialmente ostruita dalla presenza fisica dei lavoratori."}</t>
        </is>
      </c>
      <c r="F21" s="7" t="inlineStr">
        <is>
          <t>{"causal_chain_plausible": true, "causal_chain_text": "L'operatore al pannello di controllo attivo potrebbe avviare accidentalmente un ciclo di pressatura mentre l'operatore in rosa lavora nella zona stampo non isolata energeticamente (assenza di LOTO), provocando un grave infortunio.", "near_miss_or_incident_scenario": "Schiacciamento degli arti superiori dell'operatore in maglietta rosa all'interno della pressa ad iniezione a causa dell'attivazione involontaria del macchinario.", "contributing_factors": ["Mancata applicazione delle procedure di Lockout/Tagout (LOTO) per l'isolamento della pressa.", "Presenza di un operatore nella zona stampo con macchina alimentata e pannello di controllo attivo.", "Mancanza di DPI visibili e completi per tutti i soggetti esposti."]}</t>
        </is>
      </c>
      <c r="G21" s="7" t="n">
        <v>85</v>
      </c>
      <c r="H21" s="7" t="inlineStr">
        <is>
          <t>Il punteggio elevato è giustificato dal gravissimo rischio di schiacciamento degli arti per l'operatore che lavora nella zona stampo senza l'applicazione visibile delle procedure di Lockout/Tagout (LOTO), mentre un altro agisce sul pannello di controllo attivo. La potenziale attivazione accidentale della pressa ad iniezione configura una situazione di imminente pericolo di infortunio grave.</t>
        </is>
      </c>
      <c r="I21" s="7" t="n">
        <v>83.17</v>
      </c>
      <c r="J21" s="8" t="inlineStr">
        <is>
          <t>rosso</t>
        </is>
      </c>
    </row>
    <row r="22" ht="34" customHeight="1">
      <c r="A22" s="7" t="n">
        <v>20</v>
      </c>
      <c r="B22" s="7" t="n">
        <v>40</v>
      </c>
      <c r="C22" s="7" t="n">
        <v>44</v>
      </c>
      <c r="D22" s="7" t="inlineStr">
        <is>
          <t>{"scene_state": "Ambiente industriale, reparto stampaggio materie plastiche.", "environmental_conditions": ["Illuminazione artificiale interna", "Ambiente di lavoro al coperto"], "people": ["Tre operatori maschi presenti vicino al macchinario."], "objects": ["Pannello di controllo", "Attrezzo manuale (chiave o leva)", "Sedie di plastica impilate sullo sfondo", "Sacchi bianchi"], "machines": ["Pressa per stampaggio a iniezione di grandi dimensioni con pannello di controllo digitale"], "observable_actions": ["Un operatore interagisce con il pannello di controllo digitale.", "Un secondo operatore in maglietta rosa si china vicino alla pressa.", "Un terzo operatore con maglietta a righe osserva tenendo in mano un attrezzo."], "visible_ppe": ["Guanti protettivi blu indossati dall'operatore al pannello di controllo."], "notes_visibility_limitations": "Inquadratura fissa dall'alto (telecamera di sicurezza), alcune parti interne del macchinario sono parzialmente nascoste alla vista."}</t>
        </is>
      </c>
      <c r="E22" s="7" t="inlineStr">
        <is>
          <t>{"unsafe_behaviors": ["Operatore chinato vicino alla pressa in zona potenzialmente pericolosa", "Mancato utilizzo visibile di DPI completi (es. elmetto, protezione occhi/udito) in presenza di macchinari industriali attivi"], "vulnerable_elements": ["Operatore con maglietta rosa chinato vicino alla pressa", "Operatore con maglietta a righe in prossimità della zona di stampaggio"], "risk_cues": {"S1_people_vehicle_interference": 0.0, "S2_visibility_attention_reduction": 0.25, "S3_non_compliant_behavior": 0.5, "S4_vehicle_infrastructure_interference": 0.0, "S5_storage_structural_instability": 0.0, "S6_access_to_moving_mechanical_parts": 0.5, "S7_manual_handling_heavy_unstable_loads": 0.0}, "cue_confidence": 0.75, "diagnostic_notes": "La vicinanza degli operatori alla pressa per stampaggio a iniezione solleva potenziali rischi di accesso a organi meccanici o parti calde (S6). L'operatore chinato ha una visibilità ridotta sull'ambiente circostante (S2). Si rileva una potenziale non conformità legata alla mancanza di DPI visibili oltre ai guanti (S3). Non sono presenti mezzi di movimentazione (S1, S4) o carichi instabili (S5, S7)."}</t>
        </is>
      </c>
      <c r="F22" s="7" t="inlineStr">
        <is>
          <t>{"causal_chain_plausible": true, "causal_chain_text": "L'operatore al pannello di controllo potrebbe azionare la pressa mentre il secondo operatore è chinato vicino ad essa in una zona a visibilità ridotta, portando a un contatto accidentale con organi in movimento o parti calde.", "near_miss_or_incident_scenario": "Schiacciamento o ustione di un arto dell'operatore chinato a causa dell'avvio intempestivo della pressa da parte del collega al pannello.", "contributing_factors": ["Posizione chinata dell'operatore in maglietta rosa vicino alla pressa", "Interazione contemporanea di un altro operatore con il pannello di controllo", "Mancanza di DPI visibili completi per la protezione da rischi meccanici e termici", "Visibilità e attenzione ridotte dell'operatore chinato rispetto alle azioni dei colleghi"]}</t>
        </is>
      </c>
      <c r="G22" s="7" t="n">
        <v>60</v>
      </c>
      <c r="H22" s="7" t="inlineStr">
        <is>
          <t>Il punteggio riflette un rischio significativo dovuto alla presenza di un operatore chinato vicino alla pressa mentre un altro agisce sul pannello di controllo, con pericolo di avviamento accidentale. La situazione è aggravata dalla mancanza di DPI visibili completi e dalla ridotta visibilità dell'operatore esposto.</t>
        </is>
      </c>
      <c r="I22" s="7" t="n">
        <v>69.27</v>
      </c>
      <c r="J22" s="9" t="inlineStr">
        <is>
          <t>arancione</t>
        </is>
      </c>
    </row>
    <row r="23" ht="34" customHeight="1">
      <c r="A23" s="7" t="n">
        <v>21</v>
      </c>
      <c r="B23" s="7" t="n">
        <v>42</v>
      </c>
      <c r="C23" s="7" t="n">
        <v>46</v>
      </c>
      <c r="D23" s="7" t="inlineStr">
        <is>
          <t>{"scene_state": "Ambiente industriale interno, area di lavoro adiacente a un macchinario di stampaggio.", "environmental_conditions": ["Illuminazione interna artificiale", "Presenza di prodotti plastici impilati sullo sfondo"], "people": ["Uomo con maglietta a righe e cappellino nero, in piedi a sinistra.", "Uomo con maglietta rosa, chinato al centro.", "Uomo con maglietta blu, chinato a destra."], "objects": ["Tavolo di supporto bianco", "Chiave metallica sul tavolo", "Sedie e ceste in plastica impilate"], "machines": ["Pressa industriale per stampaggio a iniezione (marca MIR) con pannello di controllo digitale"], "observable_actions": ["L'uomo a sinistra osserva l'attività degli altri due.", "I due operatori chinati lavorano vicino alla base del macchinario o del tavolo."], "visible_ppe": ["Nessun dispositivo di protezione individuale visibile sui soggetti"], "notes_visibility_limitations": "La posizione chinata dei due operatori e l'inquadratura dall'alto limitano la visibilità dettagliata delle loro mani e delle operazioni precise che stanno compiendo."}</t>
        </is>
      </c>
      <c r="E23" s="7" t="inlineStr">
        <is>
          <t>{"unsafe_behaviors": ["Mancato utilizzo di DPI visibili durante l'intervento vicino alla pressa", "Postura incongrua prolungata dei due operatori chinati"], "vulnerable_elements": ["I due operatori chinati alla base del macchinario", "L'operatore in piedi privo di DPI nell'area di lavoro"], "risk_cues": {"S1_people_vehicle_interference": 0.0, "S2_visibility_attention_reduction": 0.5, "S3_non_compliant_behavior": 0.75, "S4_vehicle_infrastructure_interference": 0.0, "S5_storage_structural_instability": 0.25, "S6_access_to_moving_mechanical_parts": 0.5, "S7_manual_handling_heavy_unstable_loads": 0.25}, "cue_confidence": 0.8, "diagnostic_notes": "Assenza totale di DPI visibili in un'area con pressa industriale (S3). La postura chinata riduce l'attenzione e la visibilità degli operatori (S2). Possibile interazione con parti meccaniche della pressa MIR (S6), sebbene la visuale limitata non permetta di verificare l'effettivo movimento degli organi o la movimentazione di carichi pesanti (S7)."}</t>
        </is>
      </c>
      <c r="F23" s="7" t="inlineStr">
        <is>
          <t>{"causal_chain_plausible": true, "causal_chain_text": "La mancanza di DPI unita alla postura chinata e alla ridotta visibilità degli operatori vicino alla base della pressa MIR può causare un contatto accidentale con parti calde, taglienti o in movimento, o la caduta di utensili (come la chiave sul tavolo) sui lavoratori non protetti.", "near_miss_or_incident_scenario": "Un operatore subisce un trauma da schiacciamento o taglio alle mani o ai piedi, oppure una lesione oculare, a causa dell'assenza di DPI protettivi durante l'intervento vicino alla pressa.", "contributing_factors": ["Assenza totale di DPI visibili (guanti, occhiali, calzature di sicurezza)", "Postura incongrua e chinata che riduce il campo visivo e l'attenzione", "Prossimità operativa a una pressa industriale per stampaggio a iniezione", "Presenza di utensili metallici sul tavolo di supporto soggetti a caduta"]}</t>
        </is>
      </c>
      <c r="G23" s="7" t="n">
        <v>65</v>
      </c>
      <c r="H23" s="7" t="inlineStr">
        <is>
          <t>Il punteggio riflette un rischio significativo dovuto alla totale assenza di DPI visibili durante un intervento operativo in prossimità di una pressa industriale. Inoltre, le posture incongrue e la ridotta visibilità dei lavoratori aumentano la probabilità di infortuni o contatti accidentali con parti pericolose.</t>
        </is>
      </c>
      <c r="I23" s="7" t="n">
        <v>67.95999999999999</v>
      </c>
      <c r="J23" s="9" t="inlineStr">
        <is>
          <t>arancione</t>
        </is>
      </c>
    </row>
    <row r="24" ht="34" customHeight="1">
      <c r="A24" s="7" t="n">
        <v>22</v>
      </c>
      <c r="B24" s="7" t="n">
        <v>44</v>
      </c>
      <c r="C24" s="7" t="n">
        <v>48</v>
      </c>
      <c r="D24" s="7" t="inlineStr">
        <is>
          <t>{"scene_state": "Interno di un'officina industriale con macchinari per lo stampaggio a iniezione.", "environmental_conditions": ["Illuminazione artificiale costante", "Ambiente al chiuso"], "people": ["Un uomo giovane con maglietta a righe e cappellino nero girato all'indietro sulla sinistra", "Un uomo con capelli grigi parzialmente visibile in basso a destra"], "objects": ["Sedie di plastica colorate impilate sullo sfondo", "Un piccolo banco di supporto bianco", "Un attrezzo metallico appoggiato sul banco bianco", "Bobina o cilindro nero a sinistra"], "machines": ["Grande pressa a iniezione industriale arancione e grigia con pannello di controllo digitale"], "observable_actions": ["L'uomo a sinistra è in piedi vicino al macchinario e guarda verso destra", "L'uomo in basso a destra osserva la scena"], "visible_ppe": ["Nessun DPI visibile"], "notes_visibility_limitations": "L'operatore sulla destra è visibile solo parzialmente a causa del taglio dell'inquadratura."}</t>
        </is>
      </c>
      <c r="E24" s="7" t="inlineStr">
        <is>
          <t>{"unsafe_behaviors": ["Mancato utilizzo dei DPI (Dispositivi di Protezione Individuale) in prossimità di macchinari industriali attivi"], "vulnerable_elements": ["Operatore a sinistra vicino alla pressa", "Operatore parzialmente visibile in basso a destra"], "risk_cues": {"S1_people_vehicle_interference": 0.0, "S2_visibility_attention_reduction": 0.25, "S3_non_compliant_behavior": 0.75, "S4_vehicle_infrastructure_interference": 0.0, "S5_storage_structural_instability": 0.0, "S6_access_to_moving_mechanical_parts": 0.0, "S7_manual_handling_heavy_unstable_loads": 0.0}, "cue_confidence": 0.85, "diagnostic_notes": "La principale non-conformità rilevata riguarda l'assenza di DPI visibili (come occhiali protettivi o protezione acustica) per il personale presente vicino alla pressa a iniezione. L'operatore a destra è visibile solo parzialmente, limitando la valutazione completa del suo stato. Non sono presenti mezzi di movimentazione o carichi sospesi nella scena."}</t>
        </is>
      </c>
      <c r="F24" s="7" t="inlineStr">
        <is>
          <t>{"causal_chain_plausible": true, "causal_chain_text": "La presenza di operatori a ridosso di una pressa a iniezione attiva senza DPI espone i soggetti a rischi fisici diretti. In caso di malfunzionamento del macchinario, anomalie di pressione o espulsione incontrollata di materiale plastico fuso, l'assenza di protezione oculare e facciale determina un impatto diretto di detriti o sostanze ad alta temperatura sul corpo dei lavoratori.", "near_miss_or_incident_scenario": "Proiezione di micro-frammenti di plastica surriscaldata o bave metalliche dalla pressa in funzione, che colpiscono il viso o gli occhi dell'operatore sprovvisto di occhiali protettivi, causando ustioni o lesioni oculari.", "contributing_factors": ["Mancato utilizzo dei DPI (occhiali di sicurezza, protezione acustica)", "Presenza degli operatori nell'area di influenza diretta del macchinario attivo", "Assenza di barriere fisiche o schermi di protezione tra l'area di stampaggio e gli operatori"]}</t>
        </is>
      </c>
      <c r="G24" s="7" t="n">
        <v>65</v>
      </c>
      <c r="H24" s="7" t="inlineStr">
        <is>
          <t>Il punteggio riflette un rischio significativo dovuto alla presenza di operatori a ridosso di una pressa a iniezione attiva senza alcun DPI visibile, in particolare occhiali protettivi. Questa non-conformità espone i lavoratori a gravi lesioni oculari o ustioni in caso di proiezione accidentale di materiale plastico fuso o detriti.</t>
        </is>
      </c>
      <c r="I24" s="7" t="n">
        <v>66.18000000000001</v>
      </c>
      <c r="J24" s="9" t="inlineStr">
        <is>
          <t>arancione</t>
        </is>
      </c>
    </row>
    <row r="25" ht="34" customHeight="1">
      <c r="A25" s="7" t="n">
        <v>23</v>
      </c>
      <c r="B25" s="7" t="n">
        <v>46</v>
      </c>
      <c r="C25" s="7" t="n">
        <v>50</v>
      </c>
      <c r="D25" s="7" t="inlineStr">
        <is>
          <t>{"scene_state": "Ambiente industriale di stampaggio plastico.", "environmental_conditions": ["Illuminazione artificiale interna", "Ambiente di fabbrica"], "people": ["Un giovane uomo con maglietta a righe e cappellino nero", "Un uomo anziano con capelli grigi", "Una terza persona parzialmente visibile in basso alla fine della clip"], "objects": ["Sedie di plastica impilate sullo sfondo", "Sacchi di materiale", "Rotoli neri", "Tavolino bianco con documenti"], "machines": ["Pressa a iniezione per plastica (marca MIR) con pannello di controllo"], "observable_actions": ["Il giovane uomo parla e indica la macchina all'operatore anziano"], "visible_ppe": ["Nessun DPI visibile"], "notes_visibility_limitations": "Inquadratura fissa dall'alto; l'operatore anziano è parzialmente coperto dal pannello di controllo."}</t>
        </is>
      </c>
      <c r="E25" s="7" t="inlineStr">
        <is>
          <t>{"unsafe_behaviors": ["Mancato utilizzo di DPI visibili in un'area di stampaggio plastico", "Potenziale distrazione dell'operatore dovuta all'interazione verbale e gestuale in prossimità della macchina"], "vulnerable_elements": ["Operatore anziano", "Giovane uomo"], "risk_cues": {"S1_people_vehicle_interference": 0.0, "S2_visibility_attention_reduction": 0.25, "S3_non_compliant_behavior": 0.5, "S4_vehicle_infrastructure_interference": 0.0, "S5_storage_structural_instability": 0.0, "S6_access_to_moving_mechanical_parts": 0.25, "S7_manual_handling_heavy_unstable_loads": 0.0}, "cue_confidence": 0.8, "diagnostic_notes": "I soggetti interagiscono vicino a una pressa a iniezione MIR senza DPI visibili. L'ostruzione parziale causata dal pannello di controllo limita la visibilità dettagliata delle mani dell'operatore e della zona di stampaggio, rendendo prudenziale la valutazione dei rischi legati agli organi in movimento."}</t>
        </is>
      </c>
      <c r="F25" s="7" t="inlineStr">
        <is>
          <t>{"causal_chain_plausible": true, "causal_chain_text": "L'interazione verbale e la gestualità del giovane uomo distraggono l'operatore anziano intento a lavorare presso la pressa a iniezione. La distrazione, unita alla mancanza di DPI e alla vicinanza agli organi in movimento della macchina, può portare a un contatto accidentale con parti calde o in movimento.", "near_miss_or_incident_scenario": "L'operatore si distrae per guardare il punto indicato dal collega e avvicina involontariamente la mano alla zona di stampaggio della pressa MIR durante il ciclo operativo, rischiando lo schiacciamento o un'ustione.", "contributing_factors": ["Mancato utilizzo di DPI idonei nell'area di stampaggio", "Distrazione dell'operatore dovuta all'interazione ravvicinata", "Prossimità fisica a una macchina industriale con parti in movimento senza adeguate distanze di sicurezza"]}</t>
        </is>
      </c>
      <c r="G25" s="7" t="n">
        <v>45</v>
      </c>
      <c r="H25" s="7" t="inlineStr">
        <is>
          <t>Il punteggio riflette un rischio moderato dovuto alla totale assenza di DPI visibili in un'area di stampaggio e alla potenziale distrazione dell'operatore vicino alla pressa MIR. La vicinanza a parti meccaniche in movimento aumenta la probabilità di infortuni in caso di contatto accidentale.</t>
        </is>
      </c>
      <c r="I25" s="7" t="n">
        <v>53.47</v>
      </c>
      <c r="J25" s="9" t="inlineStr">
        <is>
          <t>arancione</t>
        </is>
      </c>
    </row>
    <row r="26" ht="34" customHeight="1">
      <c r="A26" s="7" t="n">
        <v>24</v>
      </c>
      <c r="B26" s="7" t="n">
        <v>48</v>
      </c>
      <c r="C26" s="7" t="n">
        <v>52</v>
      </c>
      <c r="D26" s="7" t="inlineStr">
        <is>
          <t>{"scene_state": "Ambiente industriale interno, reparto di produzione o stampaggio plastica.", "environmental_conditions": ["Illuminazione interna costante", "Presenza di materiali e prodotti finiti sullo sfondo"], "people": ["Uomo con maglietta a righe orizzontali e cappellino nero", "Uomo con maglietta rosa e cappellino", "Uomo di profilo con giacca blu e strisce bianche"], "objects": ["Sedie in plastica colorate impilate", "Sacchi bianchi di materiale", "Pannello di controllo con display e pulsantiera"], "machines": ["Macchinario industriale per stampaggio a iniezione con struttura arancione"], "observable_actions": ["L'uomo con la maglietta a righe indica una parte del macchinario e parla con l'operatore in blu", "Un uomo con la maglietta rosa si interpone tra i due soggetti", "Gli operatori si muovono e interagiscono nei pressi del pannello di controllo"], "visible_ppe": ["Guanti da lavoro blu indossati dall'uomo con la maglietta rosa"], "notes_visibility_limitations": "I movimenti degli operatori ostruiscono parzialmente la visuale dettagliata del pannello di controllo e della zona operativa del macchinario."}</t>
        </is>
      </c>
      <c r="E26" s="7" t="inlineStr">
        <is>
          <t>{"unsafe_behaviors": ["Interazione ravvicinata con l'area operativa del macchinario senza DPI visibili completi", "Potenziale distrazione dovuta all'interazione di gruppo vicino al pannello di controllo"], "vulnerable_elements": ["Operatori nell'area di stampaggio"], "risk_cues": {"S1_people_vehicle_interference": 0.0, "S2_visibility_attention_reduction": 0.25, "S3_non_compliant_behavior": 0.25, "S4_vehicle_infrastructure_interference": 0.0, "S5_storage_structural_instability": 0.0, "S6_access_to_moving_mechanical_parts": 0.25, "S7_manual_handling_heavy_unstable_loads": 0.0}, "cue_confidence": 0.75, "diagnostic_notes": "Gli operatori lavorano vicino a una pressa a iniezione. Sebbene non si osservino violazioni gravi, l'interazione di gruppo e la parziale ostruzione visiva vicino alla zona operativa suggeriscono cautela riguardo a possibili distrazioni o accesso ad aree calde/in movimento."}</t>
        </is>
      </c>
      <c r="F26" s="7" t="inlineStr">
        <is>
          <t>{"causal_chain_plausible": true, "causal_chain_text": "L'interazione di gruppo e i movimenti ravvicinati attorno al pannello di controllo possono distrarre gli operatori. Questa distrazione, combinata con la parziale ostruzione della visuale e l'assenza di DPI completi, aumenta il rischio di contatto accidentale con le parti calde o in movimento della pressa a iniezione.", "near_miss_or_incident_scenario": "Un operatore, distratto dalla conversazione o ostacolato nei movimenti dalla presenza degli altri soggetti, attiva inavvertitamente un comando o avvicina la mano alla zona di stampaggio senza adeguata protezione, rischiando uno schiacciamento o un'ustione.", "contributing_factors": ["Interazione e potenziale distrazione di gruppo in prossimità del pannello di controllo", "Mancanza di DPI visibili completi per tutti i soggetti nell'area operativa", "Ostruzione parziale della visuale della zona di lavoro dovuta alla presenza fisica dei soggetti"]}</t>
        </is>
      </c>
      <c r="G26" s="7" t="n">
        <v>35</v>
      </c>
      <c r="H26" s="7" t="inlineStr">
        <is>
          <t>Il punteggio riflette un rischio moderato dovuto alla potenziale distrazione del gruppo di operatori in prossimità del pannello di controllo della pressa a iniezione. Inoltre, la mancanza di DPI completi visibili per tutti i soggetti aumenta la vulnerabilità in caso di contatto accidentale con parti calde o in movimento.</t>
        </is>
      </c>
      <c r="I26" s="7" t="n">
        <v>42.39</v>
      </c>
      <c r="J26" s="10" t="inlineStr">
        <is>
          <t>giallo</t>
        </is>
      </c>
    </row>
    <row r="27" ht="34" customHeight="1">
      <c r="A27" s="7" t="n">
        <v>25</v>
      </c>
      <c r="B27" s="7" t="n">
        <v>50</v>
      </c>
      <c r="C27" s="7" t="n">
        <v>54</v>
      </c>
      <c r="D27" s="7" t="inlineStr">
        <is>
          <t>{"scene_state": "Ambiente industriale interno con operatori vicino a un macchinario.", "environmental_conditions": ["Illuminazione interna costante", "Presenza di materiali e attrezzature sullo sfondo"], "people": ["Tre operatori maschi"], "objects": ["Sedie in plastica colorate impilate", "Pannello di controllo con schermo"], "machines": ["Pressa industriale per stampaggio a iniezione"], "observable_actions": ["Un operatore in maglietta rosa si sposta verso il fondo", "Un operatore in maglietta a righe tocca la spalla dell'operatore in rosa e poi si allontana", "Un operatore in maglietta blu rimane fermo vicino alla macchina"], "visible_ppe": ["Guanti da lavoro blu (indossati da un operatore)"], "notes_visibility_limitations": "Inquadratura fissa dall'alto, alcune occlusioni reciproche tra le persone."}</t>
        </is>
      </c>
      <c r="E27" s="7" t="inlineStr">
        <is>
          <t>{"unsafe_behaviors": ["Interazione fisica (tocco sulla spalla) che può causare distrazione in prossimità di macchinari industriali attivi", "Mancato utilizzo di DPI completi visibili (es. elmetti o abbigliamento ad alta visibilità), ad eccezione dei guanti da lavoro per un solo operatore"], "vulnerable_elements": ["Tre operatori presenti nell'area di lavoro della pressa industriale"], "risk_cues": {"S1_people_vehicle_interference": 0.0, "S2_visibility_attention_reduction": 0.25, "S3_non_compliant_behavior": 0.25, "S4_vehicle_infrastructure_interference": 0.0, "S5_storage_structural_instability": 0.0, "S6_access_to_moving_mechanical_parts": 0.0, "S7_manual_handling_heavy_unstable_loads": 0.0}, "cue_confidence": 0.8, "diagnostic_notes": "L'analisi evidenzia un ambiente di lavoro stabile senza la presenza di mezzi di movimentazione o carichi pesanti sospesi. Si rileva una potenziale distrazione dovuta al contatto fisico tra due operatori vicino alla pressa industriale. Le limitazioni visive sono dovute principalmente all'inquadratura fissa dall'alto e a lievi occlusioni reciproche."}</t>
        </is>
      </c>
      <c r="F27" s="7" t="inlineStr">
        <is>
          <t>{"causal_chain_plausible": true, "causal_chain_text": "L'interazione fisica (tocco sulla spalla) distrae l'operatore in prossimità della pressa a iniezione attiva. Questo calo di attenzione, combinato con la mancanza di DPI completi, può causare un movimento involontario o un posizionamento errato delle mani vicino alle parti calde o in movimento della macchina.", "near_miss_or_incident_scenario": "Un operatore si distrae a causa del contatto fisico e tocca accidentalmente una parte pericolosa o calda della pressa industriale, rischiando un'ustione o uno schiacciamento.", "contributing_factors": ["Distrazione causata da interazione fisica vicino a macchinari attivi", "Mancanza di DPI protettivi completi visibili", "Presenza ravvicinata all'area di lavoro della pressa"]}</t>
        </is>
      </c>
      <c r="G27" s="7" t="n">
        <v>30</v>
      </c>
      <c r="H27" s="7" t="inlineStr">
        <is>
          <t>Il rischio è moderato a causa della distrazione generata dal contatto fisico tra gli operatori in prossimità della pressa industriale attiva. Inoltre, il mancato utilizzo di DPI completi aumenta la vulnerabilità a potenziali infortuni in caso di contatto accidentale.</t>
        </is>
      </c>
      <c r="I27" s="7" t="n">
        <v>34.96</v>
      </c>
      <c r="J27" s="10" t="inlineStr">
        <is>
          <t>giallo</t>
        </is>
      </c>
    </row>
    <row r="28" ht="34" customHeight="1">
      <c r="A28" s="7" t="n">
        <v>26</v>
      </c>
      <c r="B28" s="7" t="n">
        <v>52</v>
      </c>
      <c r="C28" s="7" t="n">
        <v>56</v>
      </c>
      <c r="D28" s="7" t="inlineStr">
        <is>
          <t>{"scene_state": "Ambiente industriale interno, reparto stampaggio materie plastiche.", "environmental_conditions": ["Illuminazione artificiale interna", "Presenza di materiali stoccati sullo sfondo"], "people": ["Operatore con maglietta blu di spalle", "Operatore con maglietta a righe e cappellino a sinistra", "Operatore con maglietta rosa che si allontana sullo sfondo"], "objects": ["Sedie in plastica colorate impilate", "Contenitore o carrello bianco in primo piano"], "machines": ["Pressa ad iniezione per plastica con schermo di controllo acceso"], "observable_actions": ["L'operatore in rosa cammina verso il fondo", "L'operatore in blu si avvicina al carrello bianco", "L'operatore con cappellino rimane fermo sul lato sinistro"], "visible_ppe": ["Non si osservano DPI evidenti"], "notes_visibility_limitations": "La visuale è parzialmente ostruita dai macchinari per la parte inferiore dei corpi."}</t>
        </is>
      </c>
      <c r="E28" s="7" t="inlineStr">
        <is>
          <t>{"unsafe_behaviors": ["Mancato utilizzo visibile di DPI adeguati in area industriale attiva"], "vulnerable_elements": ["Operatore con maglietta blu", "Operatore con maglietta a righe", "Operatore con maglietta rosa"], "risk_cues": {"S1_people_vehicle_interference": 0.0, "S2_visibility_attention_reduction": 0.25, "S3_non_compliant_behavior": 0.5, "S4_vehicle_infrastructure_interference": 0.0, "S5_storage_structural_instability": 0.25, "S6_access_to_moving_mechanical_parts": 0.25, "S7_manual_handling_heavy_unstable_loads": 0.25}, "cue_confidence": 0.8, "diagnostic_notes": "La parziale ostruzione visiva dovuta ai macchinari limita la verifica dei DPI per gli arti inferiori. Non si rilevano mezzi in movimento o situazioni di instabilità strutturale immediata."}</t>
        </is>
      </c>
      <c r="F28" s="7" t="inlineStr">
        <is>
          <t>{"causal_chain_plausible": true, "causal_chain_text": "La mancanza di DPI visibili in un'area con pressa ad iniezione attiva e movimentazione di carrelli espone gli operatori a rischi fisici. L'avvicinamento dell'operatore in blu al carrello bianco, senza adeguate protezioni visibili, può causare lesioni in caso di contatto accidentale o caduta di oggetti.", "near_miss_or_incident_scenario": "Schiacciamento o impatto agli arti inferiori o superiori dell'operatore in maglietta blu durante l'interazione con il carrello bianco in prossimità della pressa ad iniezione.", "contributing_factors": ["Mancato utilizzo visibile di DPI idonei in area industriale attiva", "Operazioni di movimentazione/avvicinamento a carrelli senza protezione verificata", "Presenza di macchinari industriali operativi nel reparto"]}</t>
        </is>
      </c>
      <c r="G28" s="7" t="n">
        <v>35</v>
      </c>
      <c r="H28" s="7" t="inlineStr">
        <is>
          <t>Il punteggio riflette un rischio moderato dovuto al mancato utilizzo visibile di DPI idonei in un reparto produttivo attivo con presse ad iniezione. L'interazione dell'operatore con il carrello senza protezioni evidenti aumenta la probabilità di infortuni minori o schiacciamenti.</t>
        </is>
      </c>
      <c r="I28" s="7" t="n">
        <v>36.23</v>
      </c>
      <c r="J28" s="10" t="inlineStr">
        <is>
          <t>giallo</t>
        </is>
      </c>
    </row>
    <row r="29" ht="34" customHeight="1">
      <c r="A29" s="7" t="n">
        <v>27</v>
      </c>
      <c r="B29" s="7" t="n">
        <v>54</v>
      </c>
      <c r="C29" s="7" t="n">
        <v>58</v>
      </c>
      <c r="D29" s="7" t="inlineStr">
        <is>
          <t>{"scene_state": "Ambiente industriale attivo, reparto stampaggio materie plastiche.", "environmental_conditions": ["Illuminazione artificiale interna", "Spazio di lavoro parzialmente ingombro"], "people": ["Uomo con maglietta a righe e cappellino in primo piano a sinistra", "Uomo con maglietta blu e jeans che sposta un carrello bianco", "Uomo con maglietta rosa sullo sfondo vicino alle sedie impilate"], "objects": ["Sedie di plastica colorate (rosse, verdi, blu) impilate", "Sacchi bianchi", "Carrello bianco con coperchio rosa", "Tubo nero flessibile su supporto"], "machines": ["Grande pressa per stampaggio a iniezione di colore arancione e grigio con pannello di controllo a schermo blu"], "observable_actions": ["L'uomo in maglietta blu sposta un carrello bianco allontanandosi dalla macchina", "L'uomo con la maglietta a righe cammina verso lo sfondo", "L'uomo sullo sfondo si muove vicino alle sedie impilate"], "visible_ppe": ["Nessun DPI chiaramente visibile"], "notes_visibility_limitations": "La visuale dello sfondo è parzialmente ostruita dal grande macchinario industriale sulla destra."}</t>
        </is>
      </c>
      <c r="E29" s="7" t="inlineStr">
        <is>
          <t>{"unsafe_behaviors": ["Mancato utilizzo visibile di DPI adeguati in un'area di produzione attiva", "Transito di pedoni in aree di lavoro parzialmente ingombre e non chiaramente delimitate"], "vulnerable_elements": ["Operatore che movimenta manualmente il carrello bianco", "Pedoni che transitano in prossimità della pressa per stampaggio"], "risk_cues": {"S1_people_vehicle_interference": 0.25, "S2_visibility_attention_reduction": 0.25, "S3_non_compliant_behavior": 0.5, "S4_vehicle_infrastructure_interference": 0.0, "S5_storage_structural_instability": 0.25, "S6_access_to_moving_mechanical_parts": 0.0, "S7_manual_handling_heavy_unstable_loads": 0.25}, "cue_confidence": 0.8, "diagnostic_notes": "L'analisi evidenzia un potenziale rischio legato alla mancanza di DPI visibili in un reparto produttivo attivo con macchinari pesanti. La presenza di materiale parzialmente ingombrante (sedie impilate, sacchi) e la movimentazione manuale di un carrello in spazi condivisi aumentano il rischio di urti o inciampi. Non si rilevano interferenze critiche con mezzi semoventi o contatti con organi in movimento."}</t>
        </is>
      </c>
      <c r="F29" s="7" t="inlineStr">
        <is>
          <t>{"causal_chain_plausible": true, "causal_chain_text": "La presenza di spazi di lavoro parzialmente ingombri da sacchi e sedie impilate, unita alla movimentazione manuale di un carrello e al transito di pedoni senza DPI visibili, crea un rischio di interferenza. Un passo falso o una distrazione durante il transito vicino al carrello o agli ostacoli può causare una caduta o un urto.", "near_miss_or_incident_scenario": "Un operatore in transito urta il carrello bianco movimentato manualmente o inciampa nei sacchi/sedie depositati a terra, riportando contusioni favorite dall'assenza di DPI protettivi.", "contributing_factors": ["Spazio di lavoro parzialmente ingombro da materiali e sedie", "Mancanza di delimitazione chiara delle vie di transito pedonale", "Movimentazione manuale del carrello in prossimità di altri pedoni", "Mancato utilizzo visibile di dispositivi di protezione individuale (DPI)"]}</t>
        </is>
      </c>
      <c r="G29" s="7" t="n">
        <v>35</v>
      </c>
      <c r="H29" s="7" t="inlineStr">
        <is>
          <t>Il rischio è moderato a causa della presenza di ostacoli nell'area di lavoro e della movimentazione manuale di un carrello vicino a pedoni privi di DPI visibili. L'assenza di pericoli imminenti ad alta energia o di mezzi semoventi in transito evita una classificazione di rischio superiore.</t>
        </is>
      </c>
      <c r="I29" s="7" t="n">
        <v>35.49</v>
      </c>
      <c r="J29" s="10" t="inlineStr">
        <is>
          <t>giallo</t>
        </is>
      </c>
    </row>
    <row r="30" ht="34" customHeight="1">
      <c r="A30" s="7" t="n">
        <v>28</v>
      </c>
      <c r="B30" s="7" t="n">
        <v>56</v>
      </c>
      <c r="C30" s="7" t="n">
        <v>60</v>
      </c>
      <c r="D30" s="7" t="inlineStr">
        <is>
          <t>{"scene_state": "Ambiente industriale, reparto stampaggio materie plastiche.", "environmental_conditions": ["Illuminazione artificiale interna", "Ambiente di lavoro al coperto"], "people": ["Un operatore con maglietta a righe e jeans", "Un operatore con maglietta blu"], "objects": ["Sacchi bianchi di materia prima", "Sedie di plastica colorate impilate", "Tavolo bianco in primo piano"], "machines": ["Grande pressa a iniezione per plastica con pannello di controllo"], "observable_actions": ["L'operatore con la maglia a righe si allontana verso sinistra", "L'operatore con la maglia blu si sposta sullo sfondo"], "visible_ppe": ["Non si osservano DPI evidenti"], "notes_visibility_limitations": "La visuale è parzialmente ostruita dal grande macchinario in primo piano."}</t>
        </is>
      </c>
      <c r="E30" s="7" t="inlineStr">
        <is>
          <t>{"unsafe_behaviors": ["Mancato utilizzo visibile di DPI idonei in un'area industriale con macchinari pesanti", "Spostamento in aree con visibilità parzialmente ostruita dal macchinario senza apparente coordinamento visivo"], "vulnerable_elements": ["Operatore con maglietta a righe", "Operatore con maglietta blu"], "risk_cues": {"S1_people_vehicle_interference": 0.0, "S2_visibility_attention_reduction": 0.25, "S3_non_compliant_behavior": 0.25, "S4_vehicle_infrastructure_interference": 0.0, "S5_storage_structural_instability": 0.0, "S6_access_to_moving_mechanical_parts": 0.0, "S7_manual_handling_heavy_unstable_loads": 0.0}, "cue_confidence": 0.8, "diagnostic_notes": "Gli operatori si muovono all'interno del reparto di stampaggio senza interagire direttamente con la pressa o movimentare carichi. La parziale ostruzione della visuale causata dal grande macchinario in primo piano introduce un lieve rischio di visibilità (S2). Si rileva l'assenza di DPI evidenti (S3) in un ambiente potenzialmente rumoroso o con rischi di schiacciamento/urto. Non si registrano interferenze con mezzi o instabilità di carichi."}</t>
        </is>
      </c>
      <c r="F30" s="7" t="inlineStr">
        <is>
          <t>{"causal_chain_plausible": true, "causal_chain_text": "La presenza di un grande macchinario che ostruisce parzialmente la visuale, combinata con lo spostamento degli operatori nell'area di lavoro senza DPI evidenti, può portare a collisioni accidentali o cadute. Un operatore potrebbe non avvedersi di un pericolo o di un ostacolo a causa della visuale ridotta, subendo un infortunio che l'assenza di DPI protettivi potrebbe aggravare.", "near_miss_or_incident_scenario": "Un operatore si sposta dietro la pressa a iniezione e, a causa della visibilità limitata e della presenza di ostacoli come sacchi o sedie, inciampa o urta una parte del macchinario, riportando lesioni personali non mitigate da DPI idonei.", "contributing_factors": ["Mancato utilizzo visibile di DPI idonei in area industriale", "Visibilità limitata causata dall'ingombro della pressa a iniezione", "Presenza di potenziali ostacoli fisici nell'area di transito"]}</t>
        </is>
      </c>
      <c r="G30" s="7" t="n">
        <v>30</v>
      </c>
      <c r="H30" s="7" t="inlineStr">
        <is>
          <t>Il rischio è moderato a causa del mancato utilizzo visibile di DPI in un reparto industriale e della visibilità parzialmente ostruita dal macchinario. Non si rilevano tuttavia interazioni dirette con organi in movimento o mezzi di trasporto che aumenterebbero la gravità.</t>
        </is>
      </c>
      <c r="I30" s="7" t="n">
        <v>32.2</v>
      </c>
      <c r="J30" s="10" t="inlineStr">
        <is>
          <t>giallo</t>
        </is>
      </c>
    </row>
    <row r="31" ht="34" customHeight="1">
      <c r="A31" s="7" t="n">
        <v>29</v>
      </c>
      <c r="B31" s="7" t="n">
        <v>58</v>
      </c>
      <c r="C31" s="7" t="n">
        <v>62</v>
      </c>
      <c r="D31" s="7" t="inlineStr">
        <is>
          <t>{"scene_state": "Interno di uno stabilimento industriale per lo stampaggio di materie plastiche.", "environmental_conditions": ["Illuminazione artificiale interna", "Ambiente di lavoro industriale"], "people": ["Un operatore situato sullo sfondo a sinistra."], "objects": ["Sedie in plastica impilate di vari colori (rosso, verde, blu)", "Grandi sacchi bianchi a terra", "Un piccolo mobiletto bianco in primo piano con un oggetto sopra", "Un cilindro nero verticale sulla sinistra"], "machines": ["Grande pressa per stampaggio a iniezione (marca MIR) di colore arancione e beige, dotata di pannello di controllo con schermo acceso"], "observable_actions": ["L'operatore sullo sfondo movimenta o sistema le sedie di plastica impilate."], "visible_ppe": ["Non chiaramente distinguibili a causa della distanza dell'operatore dalla telecamera."], "notes_visibility_limitations": "La distanza dell'operatore e la presenza del grande macchinario in primo piano limitano la visibilità dei dettagli del lavoratore e dei suoi DPI."}</t>
        </is>
      </c>
      <c r="E31" s="7" t="inlineStr">
        <is>
          <t>{"unsafe_behaviors": ["Possibile movimentazione manuale di carichi ingombranti (pile di sedie) senza ausili, sebbene il peso sia presumibilmente ridotto."], "vulnerable_elements": ["Operatore sullo sfondo a sinistra"], "risk_cues": {"S1_people_vehicle_interference": 0.0, "S2_visibility_attention_reduction": 0.25, "S3_non_compliant_behavior": 0.25, "S4_vehicle_infrastructure_interference": 0.0, "S5_storage_structural_instability": 0.25, "S6_access_to_moving_mechanical_parts": 0.0, "S7_manual_handling_heavy_unstable_loads": 0.25}, "cue_confidence": 0.7, "diagnostic_notes": "L'analisi è limitata dalla distanza dell'operatore e dalla presenza della grande pressa MIR in primo piano. L'operatore movimenta sedie di plastica impilate: l'attività comporta un carico potenzialmente ingombrante (S7) e instabile (S5), ma presumibilmente leggero. Non è possibile verificare l'uso dei DPI (S3) a causa della distanza."}</t>
        </is>
      </c>
      <c r="F31" s="7" t="inlineStr">
        <is>
          <t>{"causal_chain_plausible": true, "causal_chain_text": "La movimentazione manuale di una pila di sedie ingombrante e instabile riduce la visibilità dell'operatore sul percorso. Questo, unito alla presenza di ostacoli a terra come i sacchi bianchi, aumenta il rischio di perdita di equilibrio, inciampo o caduta del carico.", "near_miss_or_incident_scenario": "L'operatore perde il controllo della pila di sedie durante lo spostamento, causandone la caduta improvvisa con potenziale rischio di inciampo, urto o lesione da sforzo nel tentativo di trattenere il carico.", "contributing_factors": ["Movimentazione manuale di un carico volumetrico e instabile (sedie impilate)", "Presenza di ingombri a terra (grandi sacchi bianchi) che limitano lo spazio di manovra sicuro", "Possibile riduzione della visibilità anteriore dell'operatore durante il trasporto", "Distanza della telecamera che impedisce la verifica dell'uso di DPI protettivi adeguati"]}</t>
        </is>
      </c>
      <c r="G31" s="7" t="n">
        <v>30</v>
      </c>
      <c r="H31" s="7" t="inlineStr">
        <is>
          <t>Il rischio è moderato a causa della movimentazione manuale di un carico ingombrante e potenzialmente instabile in presenza di ostacoli a terra come i sacchi bianchi. Inoltre, la distanza impedisce di verificare l'adozione dei dispositivi di protezione individuale idonei.</t>
        </is>
      </c>
      <c r="I31" s="7" t="n">
        <v>30.88</v>
      </c>
      <c r="J31" s="10" t="inlineStr">
        <is>
          <t>giallo</t>
        </is>
      </c>
    </row>
    <row r="32" ht="34" customHeight="1">
      <c r="A32" s="7" t="n">
        <v>30</v>
      </c>
      <c r="B32" s="7" t="n">
        <v>60</v>
      </c>
      <c r="C32" s="7" t="n">
        <v>62.533</v>
      </c>
      <c r="D32" s="7" t="inlineStr">
        <is>
          <t>{"scene_state": "Ambiente industriale, reparto stampaggio materie plastiche, scena statica.", "environmental_conditions": ["Illuminazione artificiale interna", "Ambiente di lavoro al chiuso"], "people": [], "objects": ["Sedie di plastica impilate (colori verde, rosso, blu)", "Sacchi bianchi", "Bobina o cilindro nero", "Scatola bianca con dettagli colorati su un tavolo"], "machines": ["Pressa per stampaggio a iniezione (marca MIR) di colore arancione e beige con pannello di controllo digitale"], "observable_actions": [], "visible_ppe": [], "notes_visibility_limitations": "Inquadratura fissa da telecamera di sicurezza. Nessuna persona presente nell'area visibile."}</t>
        </is>
      </c>
      <c r="E32" s="7" t="inlineStr">
        <is>
          <t>{"unsafe_behaviors": [], "vulnerable_elements": [], "risk_cues": {"S1_people_vehicle_interference": 0.0, "S2_visibility_attention_reduction": 0.0, "S3_non_compliant_behavior": 0.0, "S4_vehicle_infrastructure_interference": 0.0, "S5_storage_structural_instability": 0.0, "S6_access_to_moving_mechanical_parts": 0.0, "S7_manual_handling_heavy_unstable_loads": 0.0}, "cue_confidence": 1.0, "diagnostic_notes": "La scena è completamente statica e priva di personale o mezzi di movimentazione in transito. Non si rilevano situazioni di rischio attive o comportamenti non conformi nei parametri analizzati (S1-S7)."}</t>
        </is>
      </c>
      <c r="F32" s="7" t="inlineStr">
        <is>
          <t>{"causal_chain_plausible": false, "causal_chain_text": "La scena è completamente statica, priva di personale, mezzi in movimento o attività in corso. Non si riscontrano anomalie nello stoccaggio dei materiali o nella disposizione dei macchinari che possano innescare una catena causale d'incidente.", "near_miss_or_incident_scenario": "Nessun scenario di incidente o near miss è ipotizzabile sulla base degli elementi statici e conformi osservati.", "contributing_factors": []}</t>
        </is>
      </c>
      <c r="G32" s="7" t="n">
        <v>0</v>
      </c>
      <c r="H32" s="7" t="inlineStr">
        <is>
          <t>L'area è completamente deserta e priva di attività lavorative o mezzi in movimento. Non si rilevano comportamenti non conformi o anomalie nello stoccaggio, mantenendo il livello di rischio a zero.</t>
        </is>
      </c>
      <c r="I32" s="7" t="n">
        <v>12.35</v>
      </c>
      <c r="J32" s="11" t="inlineStr">
        <is>
          <t>verde</t>
        </is>
      </c>
    </row>
    <row r="33" ht="34" customHeight="1">
      <c r="A33" s="7" t="n">
        <v>31</v>
      </c>
      <c r="B33" s="7" t="n">
        <v>62</v>
      </c>
      <c r="C33" s="7" t="n">
        <v>62.533</v>
      </c>
      <c r="D33" s="7" t="inlineStr">
        <is>
          <t>{"scene_state": "Ambiente industriale interno, reparto stampaggio materie plastiche, statico e senza operatori visibili.", "environmental_conditions": ["Illuminazione artificiale interna", "Ambiente di lavoro coperto"], "people": [], "objects": ["Sedie in plastica colorate impilate", "Sacchi bianchi di materiale", "Bobina di tubo nero", "Scatola bianca"], "machines": ["Pressa ad iniezione industriale MIR arancione e beige con schermo di controllo attivo"], "observable_actions": [], "visible_ppe": [], "notes_visibility_limitations": "Inquadratura fissa. La visuale è limitata ai macchinari e alle attrezzature nel raggio visivo della telecamera."}</t>
        </is>
      </c>
      <c r="E33" s="7" t="inlineStr">
        <is>
          <t>{"unsafe_behaviors": [], "vulnerable_elements": [], "risk_cues": {"S1_people_vehicle_interference": 0.0, "S2_visibility_attention_reduction": 0.0, "S3_non_compliant_behavior": 0.0, "S4_vehicle_infrastructure_interference": 0.0, "S5_storage_structural_instability": 0.0, "S6_access_to_moving_mechanical_parts": 0.0, "S7_manual_handling_heavy_unstable_loads": 0.0}, "cue_confidence": 0.95, "diagnostic_notes": "La scena si presenta completamente statica e priva di personale o mezzi di movimentazione in transito. Non si rilevano situazioni di rischio attive o comportamenti non conformi nelle categorie analizzate."}</t>
        </is>
      </c>
      <c r="F33" s="7" t="inlineStr">
        <is>
          <t>{"causal_chain_plausible": false, "causal_chain_text": "Non si rileva alcuna catena causale plausibile. La scena è completamente statica, priva di personale e non mostra elementi di pericolo o anomalie strutturali o operative nei macchinari e nei materiali stoccati.", "near_miss_or_incident_scenario": "Nessun near miss o incidente è prevedibile sulla base degli elementi visivi descritti, che mostrano un ambiente in stato di sicurezza e momentanea inattività.", "contributing_factors": []}</t>
        </is>
      </c>
      <c r="G33" s="7" t="n">
        <v>0</v>
      </c>
      <c r="H33" s="7" t="inlineStr">
        <is>
          <t>La scena è completamente statica, priva di personale e di mezzi in movimento, con i macchinari in stato di sicurezza. Non si rileva alcuna situazione di pericolo o comportamento non conforme, giustificando un livello di rischio nullo.</t>
        </is>
      </c>
      <c r="I33" s="7" t="n">
        <v>4.94</v>
      </c>
      <c r="J33" s="11" t="inlineStr">
        <is>
          <t>verde</t>
        </is>
      </c>
    </row>
  </sheetData>
  <pageMargins left="0.75" right="0.75" top="1" bottom="1" header="0.5" footer="0.5"/>
  <drawing xmlns:r="http://schemas.openxmlformats.org/officeDocument/2006/relationships" r:id="rId1"/>
</worksheet>
</file>

<file path=xl/worksheets/sheet5.xml><?xml version="1.0" encoding="utf-8"?>
<worksheet xmlns="http://schemas.openxmlformats.org/spreadsheetml/2006/main">
  <sheetPr>
    <outlinePr summaryBelow="1" summaryRight="1"/>
    <pageSetUpPr/>
  </sheetPr>
  <dimension ref="A1:I33"/>
  <sheetViews>
    <sheetView showGridLines="1" zoomScale="80" workbookViewId="0">
      <pane ySplit="1" topLeftCell="A2" activePane="bottomLeft" state="frozen"/>
      <selection pane="bottomLeft" activeCell="A1" sqref="A1"/>
    </sheetView>
  </sheetViews>
  <sheetFormatPr baseColWidth="8" defaultRowHeight="15"/>
  <cols>
    <col width="6" customWidth="1" min="1" max="1"/>
    <col width="7" customWidth="1" min="2" max="2"/>
    <col width="7" customWidth="1" min="3" max="3"/>
    <col width="18" customWidth="1" min="4" max="4"/>
    <col width="18" customWidth="1" min="5" max="5"/>
    <col width="18" customWidth="1" min="6" max="6"/>
    <col width="8" customWidth="1" min="7" max="7"/>
    <col width="8" customWidth="1" min="8" max="8"/>
    <col width="7" customWidth="1" min="9" max="9"/>
  </cols>
  <sheetData>
    <row r="1" ht="16" customHeight="1">
      <c r="A1" s="2" t="inlineStr">
        <is>
          <t>window_id</t>
        </is>
      </c>
      <c r="B1" s="2" t="inlineStr">
        <is>
          <t>start_time_s</t>
        </is>
      </c>
      <c r="C1" s="2" t="inlineStr">
        <is>
          <t>end_time_s</t>
        </is>
      </c>
      <c r="D1" s="4" t="inlineStr">
        <is>
          <t>scene_json</t>
        </is>
      </c>
      <c r="E1" s="4" t="inlineStr">
        <is>
          <t>diagnostic_json</t>
        </is>
      </c>
      <c r="F1" s="4" t="inlineStr">
        <is>
          <t>causal_json</t>
        </is>
      </c>
      <c r="G1" s="5" t="inlineStr">
        <is>
          <t>instantaneous_risk_score_ahp</t>
        </is>
      </c>
      <c r="H1" s="5" t="inlineStr">
        <is>
          <t>dynamic_risk_score_ahp</t>
        </is>
      </c>
      <c r="I1" s="5" t="inlineStr">
        <is>
          <t>traffic_light_color_ahp</t>
        </is>
      </c>
    </row>
    <row r="2" ht="34" customHeight="1">
      <c r="A2" s="7" t="n">
        <v>0</v>
      </c>
      <c r="B2" s="7" t="n">
        <v>0</v>
      </c>
      <c r="C2" s="7" t="n">
        <v>4</v>
      </c>
      <c r="D2" s="7" t="inlineStr">
        <is>
          <t>{"scene_state": "Interno di un reparto industriale per la lavorazione della plastica.", "environmental_conditions": ["Illuminazione artificiale", "Ambiente chiuso"], "people": ["Operatore con maglietta rosa e cappellino scuro, rivolto verso il macchinario", "Operatore con maglietta blu, situato sul lato destro"], "objects": ["Sedie in plastica colorate impilate", "Sacchi bianchi di materiale", "Bobine o cilindri neri", "Pannello di controllo digitale"], "machines": ["Pressa industriale per stampaggio a iniezione di colore arancione e grigio"], "observable_actions": ["L'operatore in rosa è in piedi vicino all'apertura della macchina", "L'operatore in blu guarda verso l'alto o verso il pannello di controllo"], "visible_ppe": ["Guanto da lavoro blu sulla mano sinistra dell'operatore a destra"], "notes_visibility_limitations": "Inquadratura fissa dall'alto. I soggetti sono visibili solo parzialmente (busto in su)."}</t>
        </is>
      </c>
      <c r="E2" s="7" t="inlineStr">
        <is>
          <t>{"unsafe_behaviors": ["Operatore in rosa posizionato vicino all'apertura della pressa senza barriere visibili", "Mancato rilevamento di DPI completi (es. protezione facciale/occhiali) in prossimità della pressa"], "vulnerable_elements": ["Operatore con maglietta rosa", "Operatore con maglietta blu"], "risk_cues": {"S1_people_vehicle_interference": 0.0, "S2_visibility_attention_reduction": 0.25, "S3_non_compliant_behavior": 0.25, "S4_vehicle_infrastructure_interference": 0.0, "S5_storage_structural_instability": 0.0, "S6_access_to_moving_mechanical_parts": 0.5, "S7_manual_handling_heavy_unstable_loads": 0.0}, "cue_confidence": 0.7, "diagnostic_notes": "La prossimità dell'operatore in rosa all'apertura della pressa a iniezione (S6) rappresenta l'elemento di attenzione principale. La visuale dall'alto e parziale limita la valutazione completa dei DPI e dello stato di attivazione delle barriere di sicurezza della macchina."}</t>
        </is>
      </c>
      <c r="F2" s="7" t="inlineStr">
        <is>
          <t>{"causal_chain_plausible": true, "causal_chain_text": "La prossimità dell'operatore in rosa all'apertura della pressa, in assenza di barriere di protezione visibili, espone il lavoratore al rischio di contatto con organi in movimento o materiale fuso. Un avvio accidentale o un movimento involontario può causare l'intrusione degli arti nella zona di pericolo.", "near_miss_or_incident_scenario": "Schiacciamento o intrappolamento degli arti superiori nella pressa per stampaggio a iniezione, oppure ustione da contatto con polimero fuso ad alta temperatura.", "contributing_factors": ["Posizionamento dell'operatore in rosa adiacente all'apertura della macchina senza barriere fisiche o optoelettroniche evidenti.", "Mancato rilevamento di DPI protettivi completi per le mani e il viso in prossimità di una zona a rischio termico e meccanico."]}</t>
        </is>
      </c>
      <c r="G2" s="7" t="n">
        <v>35.26</v>
      </c>
      <c r="H2" s="7" t="n">
        <v>35.26</v>
      </c>
      <c r="I2" s="10" t="inlineStr">
        <is>
          <t>giallo</t>
        </is>
      </c>
    </row>
    <row r="3" ht="34" customHeight="1">
      <c r="A3" s="7" t="n">
        <v>1</v>
      </c>
      <c r="B3" s="7" t="n">
        <v>2</v>
      </c>
      <c r="C3" s="7" t="n">
        <v>6</v>
      </c>
      <c r="D3" s="7" t="inlineStr">
        <is>
          <t>{"scene_state": "Interno di uno stabilimento industriale per la lavorazione di materie plastiche.", "environmental_conditions": ["Illuminazione artificiale costante", "Presenza di materiali e prodotti stoccati nelle vicinanze"], "people": ["Operatore di spalle con t-shirt rosa e cappellino nero", "Operatore in primo piano a destra che guarda verso la macchina"], "objects": ["Sedie in plastica colorate impilate", "Sacchi bianchi di materiale", "Componenti cilindrici neri", "Pannello di controllo digitale"], "machines": ["Pressa industriale per stampaggio a iniezione di colore arancione"], "observable_actions": ["L'operatore in t-shirt rosa si avvicina alla pressa", "L'operatore introduce la mano destra all'interno dell'area di stampaggio della macchina aperta"], "visible_ppe": ["Nessun DPI visibile (assenza di guanti, occhiali protettivi o elmetto sui soggetti)"], "notes_visibility_limitations": "La posizione dell'operatore in rosa copre parzialmente la visuale interna della macchina nel punto di contatto."}</t>
        </is>
      </c>
      <c r="E3" s="7" t="inlineStr">
        <is>
          <t>{"unsafe_behaviors": ["Introduzione della mano all'interno dell'area di stampaggio della pressa aperta", "Mancato utilizzo dei dispositivi di protezione individuale (DPI) come guanti e protezione oculare"], "vulnerable_elements": ["Operatore con t-shirt rosa e cappellino nero"], "risk_cues": {"S1_people_vehicle_interference": 0.0, "S2_visibility_attention_reduction": 0.25, "S3_non_compliant_behavior": 0.75, "S4_vehicle_infrastructure_interference": 0.0, "S5_storage_structural_instability": 0.0, "S6_access_to_moving_mechanical_parts": 0.75, "S7_manual_handling_heavy_unstable_loads": 0.0}, "cue_confidence": 0.85, "diagnostic_notes": "L'operatore in t-shirt rosa inserisce la mano destra nella zona di stampaggio di una pressa industriale aperta senza DPI visibili. Questo comportamento genera un rischio elevato di accesso a organi meccanici (S6) e costituisce un comportamento non conforme (S3). La posizione dell'operatore limita parzialmente la visibilità del punto esatto di contatto, ma l'azione di inserimento è chiaramente identificabile."}</t>
        </is>
      </c>
      <c r="F3" s="7" t="inlineStr">
        <is>
          <t>{"causal_chain_plausible": true, "causal_chain_text": "L'operatore introduce la mano destra nell'area di stampaggio della pressa aperta. Un avvio intempestivo della macchina o un movimento meccanico residuo, in assenza di barriere di sicurezza o procedure di isolamento, causa il contatto diretto con gli organi pressanti.", "near_miss_or_incident_scenario": "Schiacciamento o amputazione della mano destra dell'operatore all'interno della pressa per stampaggio a iniezione durante l'intervento manuale.", "contributing_factors": ["Accesso manuale diretto all'area di stampaggio della pressa", "Mancato utilizzo di dispositivi di protezione individuale (guanti)", "Possibile assenza di barriere di sicurezza attive o procedure di Lockout/Tagout"]}</t>
        </is>
      </c>
      <c r="G3" s="7" t="n">
        <v>41.89</v>
      </c>
      <c r="H3" s="7" t="n">
        <v>40.9</v>
      </c>
      <c r="I3" s="10" t="inlineStr">
        <is>
          <t>giallo</t>
        </is>
      </c>
    </row>
    <row r="4" ht="34" customHeight="1">
      <c r="A4" s="7" t="n">
        <v>2</v>
      </c>
      <c r="B4" s="7" t="n">
        <v>4</v>
      </c>
      <c r="C4" s="7" t="n">
        <v>8</v>
      </c>
      <c r="D4" s="7" t="inlineStr">
        <is>
          <t>{"scene_state": "Ambiente industriale, reparto stampaggio materie plastiche.", "environmental_conditions": ["Illuminazione artificiale interna", "Spazio di lavoro con materiali stoccati sullo sfondo"], "people": ["Operatore con maglietta rosa e cappellino nero", "Uomo in primo piano con maglietta blu che osserva"], "objects": ["Sedie in plastica impilate (verdi, rosse, blu)", "Sacchi bianchi", "Pezzo stampato in plastica nera di forma circolare"], "machines": ["Pressa per stampaggio a iniezione di colore arancione e grigio con pannello di controllo"], "observable_actions": ["L'operatore infila le mani all'interno della pressa", "L'operatore preleva un pezzo circolare in plastica nera appena stampato"], "visible_ppe": ["Nessun DPI visibile (l'operatore indossa solo un cappellino in tessuto)"], "notes_visibility_limitations": "Inquadratura ravvicinata che limita la visuale della parte inferiore del corpo dei soggetti e dell'intera area di lavoro."}</t>
        </is>
      </c>
      <c r="E4" s="7" t="inlineStr">
        <is>
          <t>{"unsafe_behaviors": ["Accesso manuale all'interno della pressa senza DPI visibili (guanti di protezione)", "Mancanza di dispositivi di protezione individuale per la manipolazione di elementi potenzialmente caldi"], "vulnerable_elements": ["Operatore con maglietta rosa e cappellino nero"], "risk_cues": {"S1_people_vehicle_interference": 0.0, "S2_visibility_attention_reduction": 0.25, "S3_non_compliant_behavior": 0.75, "S4_vehicle_infrastructure_interference": 0.0, "S5_storage_structural_instability": 0.0, "S6_access_to_moving_mechanical_parts": 0.75, "S7_manual_handling_heavy_unstable_loads": 0.0}, "cue_confidence": 0.85, "diagnostic_notes": "L'operatore inserisce le mani nude all'interno della pressa per stampaggio a iniezione per prelevare il pezzo stampato, evidenziando un rischio di accesso a organi meccanici/aree calde (S6) e un comportamento non conforme per assenza di DPI visibili come guanti protettivi (S3). L'inquadratura ravvicinata limita parzialmente la visibilità spaziale complessiva (S2)."}</t>
        </is>
      </c>
      <c r="F4" s="7" t="inlineStr">
        <is>
          <t>{"causal_chain_plausible": true, "causal_chain_text": "L'operatore inserisce le mani nude all'interno della pressa per prelevare il pezzo stampato. L'assenza di guanti protettivi espone l'operatore al contatto diretto con superfici ad alta temperatura o con parti meccaniche che potrebbero muoversi improvvisamente, causando lesioni.", "near_miss_or_incident_scenario": "Ustione da contatto termico con il pezzo in plastica appena stampato o con le parti calde della pressa, oppure schiacciamento degli arti superiori dovuto a un movimento imprevisto della macchina.", "contributing_factors": ["Mancato utilizzo di DPI idonei (guanti protettivi)", "Accesso manuale diretto all'interno della camera di stampaggio della pressa", "Manipolazione diretta di un pezzo potenzialmente caldo appena stampato"]}</t>
        </is>
      </c>
      <c r="G4" s="7" t="n">
        <v>41.89</v>
      </c>
      <c r="H4" s="7" t="n">
        <v>41.49</v>
      </c>
      <c r="I4" s="10" t="inlineStr">
        <is>
          <t>giallo</t>
        </is>
      </c>
    </row>
    <row r="5" ht="34" customHeight="1">
      <c r="A5" s="7" t="n">
        <v>3</v>
      </c>
      <c r="B5" s="7" t="n">
        <v>6</v>
      </c>
      <c r="C5" s="7" t="n">
        <v>10</v>
      </c>
      <c r="D5" s="7" t="inlineStr">
        <is>
          <t>{"scene_state": "Area di produzione industriale con macchina per lo stampaggio a iniezione attiva.", "environmental_conditions": ["Illuminazione artificiale interna", "Ambiente di lavoro al chiuso"], "people": ["Un operatore giovane con maglietta rosa e cappellino nero.", "Un operatore più anziano con capelli grigi corti vicino al pannello di controllo."], "objects": ["Sedie di plastica colorate impilate sullo sfondo", "Sacchi bianchi", "Componenti plastici neri stampati", "Pannello di controllo digitale"], "machines": ["Pressa per stampaggio a iniezione di colore arancione e beige"], "observable_actions": ["L'operatore con la maglietta rosa preleva e maneggia un pezzo di plastica nero appena stampato.", "L'altro operatore osserva e interagisce con il pannello di controllo della macchina."], "visible_ppe": ["Guanto protettivo blu sulla mano destra dell'operatore vicino al pannello"], "notes_visibility_limitations": "La visuale dell'operatore vicino al pannello è parzialmente ostruita dalla struttura della macchina e dall'inquadratura ravvicinata."}</t>
        </is>
      </c>
      <c r="E5" s="7" t="inlineStr">
        <is>
          <t>{"unsafe_behaviors": ["Possibile manipolazione di componenti plastici caldi appena stampati senza l'uso di guanti protettivi da parte dell'operatore con la maglietta rosa."], "vulnerable_elements": ["Operatore giovane con maglietta rosa", "Operatore vicino al pannello di controllo"], "risk_cues": {"S1_people_vehicle_interference": 0.0, "S2_visibility_attention_reduction": 0.25, "S3_non_compliant_behavior": 0.5, "S4_vehicle_infrastructure_interference": 0.0, "S5_storage_structural_instability": 0.0, "S6_access_to_moving_mechanical_parts": 0.5, "S7_manual_handling_heavy_unstable_loads": 0.0}, "cue_confidence": 0.8, "diagnostic_notes": "Si rileva un potenziale rischio di ustione o contatto con parti calde/meccaniche per l'operatore in maglietta rosa che maneggia il pezzo appena stampato senza evidenza di guanti protettivi (osservati solo sull'altro operatore). La visuale parzialmente ostruita della macchina limita una valutazione completa della sicurezza dell'area di stampaggio."}</t>
        </is>
      </c>
      <c r="F5" s="7" t="inlineStr">
        <is>
          <t>{"causal_chain_plausible": true, "causal_chain_text": "L'operatore con la maglietta rosa preleva un pezzo di plastica nero appena stampato dalla pressa a iniezione senza indossare guanti protettivi. Poiché il processo di stampaggio avviene ad alte temperature, il pezzo è potenzialmente molto caldo. Il contatto diretto della pelle con la superficie calda può causare un'ustione immediata o una reazione riflessa di rilascio del pezzo, con rischio di urto contro parti meccaniche della macchina.", "near_miss_or_incident_scenario": "Ustione termica alle mani dell'operatore in maglietta rosa a causa del contatto diretto con il componente plastico caldo appena stampato.", "contributing_factors": ["Mancato utilizzo di dispositivi di protezione individuale (guanti termici/protettivi) da parte dell'operatore in maglietta rosa.", "Manipolazione diretta di materiali ad alta temperatura subito dopo la fase di stampaggio.", "Presenza di barriere visive e ostruzioni che limitano il controllo visivo completo dell'area di lavoro."]}</t>
        </is>
      </c>
      <c r="G5" s="7" t="n">
        <v>38.27</v>
      </c>
      <c r="H5" s="7" t="n">
        <v>39.56</v>
      </c>
      <c r="I5" s="10" t="inlineStr">
        <is>
          <t>giallo</t>
        </is>
      </c>
    </row>
    <row r="6" ht="34" customHeight="1">
      <c r="A6" s="7" t="n">
        <v>4</v>
      </c>
      <c r="B6" s="7" t="n">
        <v>8</v>
      </c>
      <c r="C6" s="7" t="n">
        <v>12</v>
      </c>
      <c r="D6" s="7" t="inlineStr">
        <is>
          <t>{"scene_state": "Area di produzione industriale attiva, focalizzata su macchinari per lo stampaggio di materie plastiche.", "environmental_conditions": ["Illuminazione artificiale interna stabile", "Ambiente di lavoro al coperto"], "people": ["Un operatore con maglietta rosa e cappellino nero", "Un operatore di spalle con maglietta blu e guanti protettivi"], "objects": ["Sedie di plastica colorate impilate sullo sfondo", "Sacchi bianchi", "Bobine di tubo nero a sinistra", "Pannello di controllo digitale"], "machines": ["Pressa per stampaggio a iniezione di colore arancione e beige"], "observable_actions": ["L'operatore con la maglietta blu interagisce con il pannello di controllo della pressa", "L'operatore con la maglietta rosa tiene in mano un oggetto scuro e successivamente si china verso il basso"], "visible_ppe": ["Guanti protettivi blu indossati dall'operatore di spalle"], "notes_visibility_limitations": "La visuale dell'operatore di spalle è parziale. La parte inferiore del corpo di entrambi i soggetti è parzialmente coperta da elementi in primo piano."}</t>
        </is>
      </c>
      <c r="E6" s="7" t="inlineStr">
        <is>
          <t>{"unsafe_behaviors": ["Possibile manipolazione di oggetti senza guanti protettivi da parte dell'operatore con maglietta rosa", "Flessione del busto verso il basso in prossimità di una pressa attiva"], "vulnerable_elements": ["Operatore con maglietta rosa", "Operatore di spalle con maglietta blu"], "risk_cues": {"S1_people_vehicle_interference": 0.0, "S2_visibility_attention_reduction": 0.25, "S3_non_compliant_behavior": 0.25, "S4_vehicle_infrastructure_interference": 0.0, "S5_storage_structural_instability": 0.0, "S6_access_to_moving_mechanical_parts": 0.25, "S7_manual_handling_heavy_unstable_loads": 0.0}, "cue_confidence": 0.8, "diagnostic_notes": "La scena mostra un'area produttiva attiva. Si rileva una debole evidenza di rischio per S3 e S6: l'operatore con la maglietta rosa manipola un oggetto e si china vicino alla pressa senza guanti protettivi visibili, a differenza del collega. La visibilità limitata della parte inferiore del corpo e degli arti dei soggetti riduce parzialmente la precisione della sicurezza complessiva della sicurezza della valutazione complessiva dell'analisi."}</t>
        </is>
      </c>
      <c r="F6" s="7" t="inlineStr">
        <is>
          <t>{"causal_chain_plausible": true, "causal_chain_text": "L'operatore con maglietta rosa manipola un oggetto senza guanti e si china vicino alla pressa attiva. La mancanza di DPI e la prossimità alla macchina aumentano il rischio di contatto accidentale con parti calde o in movimento, mentre il collega è distratto dal pannello di controllo.", "near_miss_or_incident_scenario": "Ustione o schiacciamento degli arti superiori dell'operatore in maglietta rosa a causa del contatto non protetto con la pressa attiva durante le operazioni a terra.", "contributing_factors": ["Mancato uso visibile di guanti protettivi da parte dell'operatore in maglietta rosa", "Operatività in postura incongrua (chinato) vicino a macchinari attivi", "Attenzione del secondo operatore rivolta esclusivamente al pannello di controllo"]}</t>
        </is>
      </c>
      <c r="G6" s="7" t="n">
        <v>15.87</v>
      </c>
      <c r="H6" s="7" t="n">
        <v>25.35</v>
      </c>
      <c r="I6" s="10" t="inlineStr">
        <is>
          <t>giallo</t>
        </is>
      </c>
    </row>
    <row r="7" ht="34" customHeight="1">
      <c r="A7" s="7" t="n">
        <v>5</v>
      </c>
      <c r="B7" s="7" t="n">
        <v>10</v>
      </c>
      <c r="C7" s="7" t="n">
        <v>14</v>
      </c>
      <c r="D7" s="7" t="inlineStr">
        <is>
          <t>{"scene_state": "Ambiente industriale, reparto stampaggio materie plastiche.", "environmental_conditions": ["Illuminazione artificiale interna", "Spazio di lavoro industriale"], "people": ["Uomo con maglietta rosa e cappellino nero", "Uomo con capelli grigi di spalle vicino al pannello di controllo", "Uomo con maglietta nera e jeans sullo sfondo"], "objects": ["Sedie di plastica impilate (verdi, rosse, blu)", "Sacchi bianchi", "Rotoli o cilindri neri"], "machines": ["Grande pressa per stampaggio a iniezione arancione e beige con pannello di controllo digitale"], "observable_actions": ["L'uomo in maglietta rosa si abbassa uscendo parzialmente dall'inquadratura", "L'uomo di spalle osserva o interagisce con il pannello di controllo", "L'uomo sullo sfondo cammina vicino alle sedie impilate"], "visible_ppe": ["Nessun DPI chiaramente visibile"], "notes_visibility_limitations": "Inquadratura dall'alto e ravvicinata che limita la visuale degli arti inferiori dei soggetti in primo piano."}</t>
        </is>
      </c>
      <c r="E7" s="7" t="inlineStr">
        <is>
          <t>{"unsafe_behaviors": ["Mancato utilizzo visibile di DPI idonei nell'area di stampaggio", "Operatore chinato vicino alla macchina con visibilità limitata delle mani"], "vulnerable_elements": ["Operatore in maglietta rosa", "Operatore di spalle vicino al pannello di controllo"], "risk_cues": {"S1_people_vehicle_interference": 0.0, "S2_visibility_attention_reduction": 0.5, "S3_non_compliant_behavior": 0.5, "S4_vehicle_infrastructure_interference": 0.0, "S5_storage_structural_instability": 0.25, "S6_access_to_moving_mechanical_parts": 0.5, "S7_manual_handling_heavy_unstable_loads": 0.25}, "cue_confidence": 0.75, "diagnostic_notes": "La mancanza di DPI visibili e la prossimità alla pressa a iniezione costituiscono i fattori di attenzione principali. La postura chinata dell'operatore in rosa e la posizione di spalle dell'operatore al pannello riducono la consapevolezza situazionale. L'inquadratura dall'alto limita la valutazione completa degli arti inferiori e delle operazioni manuali esatte."}</t>
        </is>
      </c>
      <c r="F7" s="7" t="inlineStr">
        <is>
          <t>{"causal_chain_plausible": true, "causal_chain_text": "La mancanza di DPI, unita alla postura chinata dell'operatore vicino alla pressa e alla posizione di spalle dell'operatore al pannello, può causare un'attivazione accidentale o un contatto imprevisto con parti in movimento.", "near_miss_or_incident_scenario": "Schiacciamento o ustione degli arti dell'operatore chinato a causa dell'avvio della pressa da parte del collega al pannello, che ha la visuale ostruita e non ne nota la presenza.", "contributing_factors": ["Mancato utilizzo visibile di DPI idonei nell'area di stampaggio", "Posizione di spalle dell'operatore al pannello di controllo che riduce la visibilità", "Postura chinata dell'operatore in rosa con limitata visibilità delle mani vicino alla macchina"]}</t>
        </is>
      </c>
      <c r="G7" s="7" t="n">
        <v>40.4</v>
      </c>
      <c r="H7" s="7" t="n">
        <v>40.51</v>
      </c>
      <c r="I7" s="10" t="inlineStr">
        <is>
          <t>giallo</t>
        </is>
      </c>
    </row>
    <row r="8" ht="34" customHeight="1">
      <c r="A8" s="7" t="n">
        <v>6</v>
      </c>
      <c r="B8" s="7" t="n">
        <v>12</v>
      </c>
      <c r="C8" s="7" t="n">
        <v>16</v>
      </c>
      <c r="D8" s="7" t="inlineStr">
        <is>
          <t>{"scene_state": "Reparto industriale di stampaggio materie plastiche.", "environmental_conditions": ["Illuminazione interna artificiale", "Presenza di materiali stoccati"], "people": ["Operatore con maglia nera e jeans", "Operatore con maglia rosa e cappellino nero", "Operatore con capelli grigi e maglia blu (parzialmente visibile)"], "objects": ["Sedie in plastica impilate (rosse, verdi, blu)", "Sacchi bianchi di materia prima", "Cilindri neri impilati"], "machines": ["Pressa ad iniezione MIR con pannello di controllo digitale"], "observable_actions": ["Un operatore cammina verso il fondo", "Un operatore osserva il macchinario", "Un operatore è posizionato davanti al pannello di controllo"], "visible_ppe": ["Nessun DPI di sicurezza visibile"], "notes_visibility_limitations": "Inquadratura dall'alto. L'operatore vicino al pannello è visibile solo parzialmente di spalle."}</t>
        </is>
      </c>
      <c r="E8" s="7" t="inlineStr">
        <is>
          <t>{"unsafe_behaviors": ["Mancato utilizzo di DPI visibili in area produttiva", "Stazionamento vicino a macchinari operativi senza protezioni evidenti"], "vulnerable_elements": ["Operatore con maglia nera", "Operatore con maglia rosa", "Operatore con maglia blu"], "risk_cues": {"S1_people_vehicle_interference": 0.0, "S2_visibility_attention_reduction": 0.25, "S3_non_compliant_behavior": 0.5, "S4_vehicle_infrastructure_interference": 0.0, "S5_storage_structural_instability": 0.25, "S6_access_to_moving_mechanical_parts": 0.25, "S7_manual_handling_heavy_unstable_loads": 0.0}, "cue_confidence": 0.8, "diagnostic_notes": "Nessun mezzo di movimentazione attivo nella scena. Rilevata potenziale non conformità per assenza di DPI visibili in un reparto di stampaggio. Presenza di materiali stoccati (sacchi, cilindri, sedie impilate) che richiedono attenzione ma non mostrano instabilità immediata. L'inquadratura dall'alto limita la verifica completa dei DPI."}</t>
        </is>
      </c>
      <c r="F8" s="7" t="inlineStr">
        <is>
          <t>{"causal_chain_plausible": true, "causal_chain_text": "La mancanza di DPI visibili in un reparto di stampaggio attivo espone gli operatori a rischi fisici. L'interazione ravvicinata con la pressa MIR o il transito vicino ai materiali stoccati (cilindri e sedie impilate) può causare impatti o contatti accidentali non protetti.", "near_miss_or_incident_scenario": "Un operatore si avvicina alla pressa ad iniezione o ai materiali stoccati e subisce un trauma da impatto o schiacciamento (es. ai piedi o alle mani) che si traduce in infortunio a causa dell'assenza di DPI protettivi.", "contributing_factors": ["Assenza di DPI di sicurezza visibili sugli operatori", "Stazionamento e transito in prossimità della pressa ad iniezione MIR operativa", "Presenza di carichi e materiali stoccati (cilindri neri, sedie impilate) nelle aree di passaggio"]}</t>
        </is>
      </c>
      <c r="G8" s="7" t="n">
        <v>19.68</v>
      </c>
      <c r="H8" s="7" t="n">
        <v>28.01</v>
      </c>
      <c r="I8" s="10" t="inlineStr">
        <is>
          <t>giallo</t>
        </is>
      </c>
    </row>
    <row r="9" ht="34" customHeight="1">
      <c r="A9" s="7" t="n">
        <v>7</v>
      </c>
      <c r="B9" s="7" t="n">
        <v>14</v>
      </c>
      <c r="C9" s="7" t="n">
        <v>18</v>
      </c>
      <c r="D9" s="7" t="inlineStr">
        <is>
          <t>{"scene_state": "Ambiente industriale interno, reparto stampaggio plastica.", "environmental_conditions": ["Illuminazione artificiale interna stabile", "Spazio di lavoro con macchinari e materiali stoccati"], "people": ["Un operatore di spalle sulla destra che interagisce con il pannello di controllo", "Un secondo operatore sulla sinistra, di profilo, che osserva la scena"], "objects": ["Sedie di plastica colorate impilate sullo sfondo", "Bobine o cilindri di plastica nera a sinistra", "Pannello di controllo digitale con schermo"], "machines": ["Grande pressa per stampaggio a iniezione di colore arancione e grigio"], "observable_actions": ["L'operatore a destra digita sul pannello di controllo della macchina", "L'operatore a sinistra rimane fermo in piedi osservando il collega o il macchinario"], "visible_ppe": ["Guanti protettivi blu indossati dall'operatore a destra"], "notes_visibility_limitations": "L'operatore a destra è visibile solo parzialmente da dietro. La visuale dell'area interna della macchina è parzialmente ostruita dalla struttura."}</t>
        </is>
      </c>
      <c r="E9" s="7" t="inlineStr">
        <is>
          <t>{"unsafe_behaviors": [], "vulnerable_elements": ["Operatore al pannello di controllo"], "risk_cues": {"S1_people_vehicle_interference": 0.0, "S2_visibility_attention_reduction": 0.25, "S3_non_compliant_behavior": 0.0, "S4_vehicle_infrastructure_interference": 0.0, "S5_storage_structural_instability": 0.0, "S6_access_to_moving_mechanical_parts": 0.0, "S7_manual_handling_heavy_unstable_loads": 0.0}, "cue_confidence": 0.9, "diagnostic_notes": "La scena mostra una normale attività di interazione con il pannello di controllo di una pressa. Non si rilevano situazioni di rischio immediato o comportamenti non conformi. L'operatore a destra ha le spalle rivolte all'ambiente di lavoro mentre digita sul pannello, riducendo parzialmente la sua consapevolezza situazionale posteriore (S2), ma non sono presenti fonti di pericolo attive o mezzi in movimento nell'area."}</t>
        </is>
      </c>
      <c r="F9" s="7" t="inlineStr">
        <is>
          <t>{"causal_chain_plausible": false, "causal_chain_text": "La scena mostra una situazione di lavoro ordinaria e controllata. Non sono presenti fonti di pericolo attive, carichi sospesi o mezzi in movimento nell'area. La presenza di un secondo operatore che osserva la scena riduce ulteriormente la probabilità di eventi imprevisti non gestiti.", "near_miss_or_incident_scenario": "Nessun incidente o near miss è configurabile nelle attuali condizioni operative standard.", "contributing_factors": ["Parziale riduzione della consapevolezza situazionale posteriore dell'operatore al pannello di controllo"]}</t>
        </is>
      </c>
      <c r="G9" s="7" t="n">
        <v>3.26</v>
      </c>
      <c r="H9" s="7" t="n">
        <v>13.16</v>
      </c>
      <c r="I9" s="11" t="inlineStr">
        <is>
          <t>verde</t>
        </is>
      </c>
    </row>
    <row r="10" ht="34" customHeight="1">
      <c r="A10" s="7" t="n">
        <v>8</v>
      </c>
      <c r="B10" s="7" t="n">
        <v>16</v>
      </c>
      <c r="C10" s="7" t="n">
        <v>20</v>
      </c>
      <c r="D10" s="7" t="inlineStr">
        <is>
          <t>{"scene_state": "Due operatori sono posizionati davanti a un grande macchinario industriale in un reparto di produzione.", "environmental_conditions": ["Illuminazione interna artificiale", "Presenza di prodotti plastici impilati (sedie/cestini) sullo sfondo"], "people": ["Operatore a sinistra con t-shirt rosa, cappellino nero e guanti", "Operatore a destra (in primo piano, di spalle) con maglia blu e guanti blu"], "objects": ["Pile di sedie in plastica colorate (rosso, verde, blu)", "Pannello di controllo con display"], "machines": ["Pressa per stampaggio a iniezione industriale di colore arancione e grigio"], "observable_actions": ["L'operatore di destra digita sul tastierino del pannello di controllo della macchina", "L'operatore di sinistra osserva e si porta la mano guantata verso l'orecchio/testa"], "visible_ppe": ["Guanti da lavoro indossati da entrambi gli operatori"], "notes_visibility_limitations": "La visuale del pannello di controllo è parzialmente ostruita dalla sagoma dell'operatore di destra."}</t>
        </is>
      </c>
      <c r="E10" s="7" t="inlineStr">
        <is>
          <t>{"unsafe_behaviors": ["Possibile ridotta consapevolezza situazionale dell'operatore di spalle rispetto all'ambiente circostante", "Gesto dell'operatore di sinistra che potrebbe indicare fastidio acustico o distrazione"], "vulnerable_elements": ["Operatore di destra (di spalle al reparto)", "Operatore di sinistra"], "risk_cues": {"S1_people_vehicle_interference": 0.0, "S2_visibility_attention_reduction": 0.25, "S3_non_compliant_behavior": 0.25, "S4_vehicle_infrastructure_interference": 0.0, "S5_storage_structural_instability": 0.0, "S6_access_to_moving_mechanical_parts": 0.0, "S7_manual_handling_heavy_unstable_loads": 0.0}, "cue_confidence": 0.85, "diagnostic_notes": "Gli operatori si trovano in una zona sicura davanti al pannello di controllo della pressa. Non si osservano mezzi in movimento o movimentazione di carichi. L'operatore di destra lavora di spalle, riducendo la propria visibilità posteriore. Il gesto dell'operatore di sinistra (mano all'orecchio) potrebbe indicare un ambiente rumoroso, suggerendo una possibile necessità di DPI per l'udito non chiaramente visibili."}</t>
        </is>
      </c>
      <c r="F10" s="7" t="inlineStr">
        <is>
          <t>{"causal_chain_plausible": true, "causal_chain_text": "L'operatore di destra lavora di spalle rispetto al reparto produttivo, azzerando la propria visibilità posteriore. Contemporaneamente, l'operatore di sinistra compie un gesto (mano all'orecchio) che suggerisce la presenza di forte rumore ambientale o distrazione. Questa combinazione riduce drasticamente la consapevolezza situazionale acustica e visiva dei due lavoratori.", "near_miss_or_incident_scenario": "Un imprevisto o un elemento di pericolo proveniente dal reparto sopraggiunge alle spalle degli operatori senza che questi possano accorgersene o udire eventuali segnali di avvertimento in tempo utile.", "contributing_factors": ["Posizione di lavoro dell'operatore di spalle rispetto all'ambiente circostante", "Possibile elevato rumore di fondo che compromette la percezione dei segnali acustici", "Ridotta attenzione visiva complessiva verso l'area di transito dietro di loro"]}</t>
        </is>
      </c>
      <c r="G10" s="7" t="n">
        <v>4.57</v>
      </c>
      <c r="H10" s="7" t="n">
        <v>8.33</v>
      </c>
      <c r="I10" s="11" t="inlineStr">
        <is>
          <t>verde</t>
        </is>
      </c>
    </row>
    <row r="11" ht="34" customHeight="1">
      <c r="A11" s="7" t="n">
        <v>9</v>
      </c>
      <c r="B11" s="7" t="n">
        <v>18</v>
      </c>
      <c r="C11" s="7" t="n">
        <v>22</v>
      </c>
      <c r="D11" s="7" t="inlineStr">
        <is>
          <t>{"scene_state": "Ambiente industriale interno, reparto stampaggio materie plastiche.", "environmental_conditions": ["Illuminazione artificiale stabile", "Presenza di prodotti finiti (sedie in plastica) sullo sfondo"], "people": ["Operatore a sinistra con maglietta rosa, cappellino nero e guanti blu", "Operatore a destra, di spalle, con maglietta blu e guanti blu"], "objects": ["Pile di sedie in plastica colorate (rosso, verde, blu)", "Supporto o tavolo bianco", "Bobina o cilindro nero a sinistra"], "machines": ["Grande pressa per stampaggio a iniezione (marchio MIR)", "Pannello di controllo digitale con schermo"], "observable_actions": ["L'operatore di destra interagisce con i tasti del pannello di controllo", "L'operatore di sinistra indossa e sistema i guanti protettivi blu"], "visible_ppe": ["Guanti protettivi blu indossati da entrambi gli operatori"], "notes_visibility_limitations": "L'operatore di destra è visibile solo di spalle. La parte inferiore del corpo di entrambi i soggetti è parzialmente coperta."}</t>
        </is>
      </c>
      <c r="E11" s="7" t="inlineStr">
        <is>
          <t>{"unsafe_behaviors": [], "vulnerable_elements": ["Operatore di destra (di spalle rispetto all'ambiente)", "Operatore di sinistra"], "risk_cues": {"S1_people_vehicle_interference": 0.0, "S2_visibility_attention_reduction": 0.25, "S3_non_compliant_behavior": 0.0, "S4_vehicle_infrastructure_interference": 0.0, "S5_storage_structural_instability": 0.0, "S6_access_to_moving_mechanical_parts": 0.0, "S7_manual_handling_heavy_unstable_loads": 0.0}, "cue_confidence": 0.85, "diagnostic_notes": "La scena mostra una situazione di lavoro ordinaria presso la pressa ad iniezione. L'operatore di destra lavora di spalle rispetto all'area di transito circostante per interagire con il pannello di controllo, riducendo parzialmente la propria consapevolezza situazionale (S2). Entrambi gli operatori indossano i guanti protettivi e non si osservano comportamenti non conformi o rischi immediati legati a carichi o organi in movimento."}</t>
        </is>
      </c>
      <c r="F11" s="7" t="inlineStr">
        <is>
          <t>{"causal_chain_plausible": false, "causal_chain_text": "", "near_miss_or_incident_scenario": "", "contributing_factors": ["Operatore di destra posizionato di spalle rispetto all'area di transito circostante"]}</t>
        </is>
      </c>
      <c r="G11" s="7" t="n">
        <v>3.26</v>
      </c>
      <c r="H11" s="7" t="n">
        <v>5.29</v>
      </c>
      <c r="I11" s="11" t="inlineStr">
        <is>
          <t>verde</t>
        </is>
      </c>
    </row>
    <row r="12" ht="34" customHeight="1">
      <c r="A12" s="7" t="n">
        <v>10</v>
      </c>
      <c r="B12" s="7" t="n">
        <v>20</v>
      </c>
      <c r="C12" s="7" t="n">
        <v>24</v>
      </c>
      <c r="D12" s="7" t="inlineStr">
        <is>
          <t>{"scene_state": "Ambiente industriale di stampaggio plastico in attività.", "environmental_conditions": ["Illuminazione interna artificiale", "Spazio di lavoro al chiuso"], "people": ["Operatore a sinistra con maglietta rosa e cappellino nero", "Operatore a destra posizionato davanti al pannello di controllo"], "objects": ["Sedie in plastica colorate impilate sullo sfondo", "Pannello di controllo con schermo e tastiera"], "machines": ["Pressa industriale per stampaggio a iniezione"], "observable_actions": ["L'operatore a sinistra solleva le mani indossando guanti blu", "L'operatore a destra interagisce con l'area del pannello di controllo della macchina"], "visible_ppe": ["Guanti protettivi di colore blu indossati da entrambi gli operatori"], "notes_visibility_limitations": "La visuale è parzialmente limitata dall'alto, ostruendo la parte inferiore del corpo dei soggetti."}</t>
        </is>
      </c>
      <c r="E12" s="7" t="inlineStr">
        <is>
          <t>{"unsafe_behaviors": [], "vulnerable_elements": ["Operatore a sinistra", "Operatore a destra"], "risk_cues": {"S1_people_vehicle_interference": 0.0, "S2_visibility_attention_reduction": 0.25, "S3_non_compliant_behavior": 0.0, "S4_vehicle_infrastructure_interference": 0.0, "S5_storage_structural_instability": 0.0, "S6_access_to_moving_mechanical_parts": 0.25, "S7_manual_handling_heavy_unstable_loads": 0.0}, "cue_confidence": 0.85, "diagnostic_notes": "La scena mostra un'operatività standard presso una pressa ad iniezione. Gli operatori indossano i DPI visibili (guanti blu). L'operatore a destra interagisce con il pannello di controllo, mentre quello a sinistra solleva le mani, senza evidenziare comportamenti non conformi. La limitazione visiva sulla parte inferiore del corpo non permette di verificare calzature di sicurezza o ostacoli a terra."}</t>
        </is>
      </c>
      <c r="F12" s="7" t="inlineStr">
        <is>
          <t>{"causal_chain_plausible": false, "causal_chain_text": "", "near_miss_or_incident_scenario": "", "contributing_factors": ["Limitata visibilità della parte inferiore del corpo degli operatori", "Presenza di organi meccanici in movimento della pressa industriale"]}</t>
        </is>
      </c>
      <c r="G12" s="7" t="n">
        <v>14.55</v>
      </c>
      <c r="H12" s="7" t="n">
        <v>13.67</v>
      </c>
      <c r="I12" s="11" t="inlineStr">
        <is>
          <t>verde</t>
        </is>
      </c>
    </row>
    <row r="13" ht="34" customHeight="1">
      <c r="A13" s="7" t="n">
        <v>11</v>
      </c>
      <c r="B13" s="7" t="n">
        <v>22</v>
      </c>
      <c r="C13" s="7" t="n">
        <v>26</v>
      </c>
      <c r="D13" s="7" t="inlineStr">
        <is>
          <t>{"scene_state": "Interno di uno stabilimento industriale, reparto stampaggio materie plastiche.", "environmental_conditions": ["Illuminazione artificiale interna costante", "Presenza di materiale stoccato sullo sfondo"], "people": ["Operatore a sinistra con t-shirt rosa e cappellino nero", "Operatore a destra in primo piano, parzialmente inquadrato"], "objects": ["Sedie in plastica impilate (verdi, rosse, blu)", "Pannello di controllo digitale con schermo", "Supporto o tavolo bianco sotto la macchina"], "machines": ["Pressa industriale per stampaggio a iniezione (marca MIR)"], "observable_actions": ["L'operatore a sinistra lavora sulla parte laterale/barriera della macchina", "L'operatore a destra osserva l'area di lavoro tenendo la mano sulla struttura"], "visible_ppe": ["Guanti protettivi di colore blu per entrambi gli operatori"], "notes_visibility_limitations": "L'inquadratura ravvicinata taglia parzialmente il corpo dell'operatore a destra. La visuale interna della macchina è limitata dalla struttura stessa."}</t>
        </is>
      </c>
      <c r="E13" s="7" t="inlineStr">
        <is>
          <t>{"unsafe_behaviors": [], "vulnerable_elements": ["Operatore a sinistra con t-shirt rosa", "Operatore a destra in primo piano"], "risk_cues": {"S1_people_vehicle_interference": 0.0, "S2_visibility_attention_reduction": 0.25, "S3_non_compliant_behavior": 0.0, "S4_vehicle_infrastructure_interference": 0.0, "S5_storage_structural_instability": 0.0, "S6_access_to_moving_mechanical_parts": 0.25, "S7_manual_handling_heavy_unstable_loads": 0.0}, "cue_confidence": 0.85, "diagnostic_notes": "Gli operatori lavorano in prossimità di una pressa ad iniezione MIR. L'operatore a sinistra interviene sulla barriera laterale indossando guanti protettivi. La visibilità interna della macchina è parzialmente limitata dalla struttura (S2), ma non si rilevano comportamenti non conformi o pericoli immediati legati a organi in movimento non protetti o mezzi di movimentazione."}</t>
        </is>
      </c>
      <c r="F13" s="7" t="inlineStr">
        <is>
          <t>{"causal_chain_plausible": true, "causal_chain_text": "L'operatore a sinistra esegue un intervento manuale sulla barriera laterale della pressa MIR. La visibilità interna limitata (S2) e la prossimità a organi meccanici (S6) possono causare un contatto accidentale o un intrappolamento degli arti qualora la macchina non sia in uno stato di arresto sicuro o si attivi inaspettatamente.", "near_miss_or_incident_scenario": "Schiacciamento o intrappolamento della mano o del braccio dell'operatore a sinistra all'interno della zona di movimento della pressa ad iniezione.", "contributing_factors": ["Limitata visibilità interna della macchina dovuta alla struttura stessa", "Intervento manuale diretto sulla parte laterale/barriera della pressa", "Prossimità fisica degli operatori a una macchina industriale per stampaggio attiva o potenzialmente attiva"]}</t>
        </is>
      </c>
      <c r="G13" s="7" t="n">
        <v>14.55</v>
      </c>
      <c r="H13" s="7" t="n">
        <v>14.2</v>
      </c>
      <c r="I13" s="11" t="inlineStr">
        <is>
          <t>verde</t>
        </is>
      </c>
    </row>
    <row r="14" ht="34" customHeight="1">
      <c r="A14" s="7" t="n">
        <v>12</v>
      </c>
      <c r="B14" s="7" t="n">
        <v>24</v>
      </c>
      <c r="C14" s="7" t="n">
        <v>28</v>
      </c>
      <c r="D14" s="7" t="inlineStr">
        <is>
          <t>{"scene_state": "Interno di un impianto industriale, presumibilmente per lo stampaggio di materie plastiche.", "environmental_conditions": ["Illuminazione artificiale interna", "Ambiente di lavoro industriale"], "people": ["Operatore a sinistra con maglietta rosa e cappellino nero", "Operatore a destra in primo piano con maglietta grigia"], "objects": ["Ceste di plastica colorate impilate sullo sfondo", "Bobina o rotolo nero a sinistra", "Pannello di controllo con schermo e tastiera"], "machines": ["Grande pressa a iniezione industriale di colore arancione e grigio"], "observable_actions": ["L'operatore a sinistra osserva l'area di lavoro della macchina", "L'operatore a destra guarda verso l'alto in direzione del macchinario"], "visible_ppe": ["Guanti protettivi blu indossati da entrambi gli operatori"], "notes_visibility_limitations": "Inquadratura ravvicinata che taglia la parte inferiore del corpo dei soggetti; l'operatore in primo piano ostruisce parzialmente la visuale."}</t>
        </is>
      </c>
      <c r="E14" s="7" t="inlineStr">
        <is>
          <t>{"unsafe_behaviors": [], "vulnerable_elements": ["Operatore a sinistra vicino all'area di lavoro della pressa", "Operatore a destra in primo piano"], "risk_cues": {"S1_people_vehicle_interference": 0.0, "S2_visibility_attention_reduction": 0.25, "S3_non_compliant_behavior": 0.0, "S4_vehicle_infrastructure_interference": 0.0, "S5_storage_structural_instability": 0.0, "S6_access_to_moving_mechanical_parts": 0.25, "S7_manual_handling_heavy_unstable_loads": 0.0}, "cue_confidence": 0.85, "diagnostic_notes": "Gli operatori si trovano in prossimità di una pressa a iniezione industriale. Entrambi indossano guanti protettivi e si limitano a osservare il macchinario, senza eseguire interventi manuali diretti o mostrare comportamenti non conformi. La visibilità è parzialmente limitata dall'inquadratura stretta."}</t>
        </is>
      </c>
      <c r="F14" s="7" t="inlineStr">
        <is>
          <t>{"causal_chain_plausible": true, "causal_chain_text": "La prossimità degli operatori alla pressa a iniezione, combinata con l'osservazione ravvicinata del macchinario, può causare un contatto involontario con organi in movimento in caso di distrazione o movimento improvviso.", "near_miss_or_incident_scenario": "Un operatore si avvicina eccessivamente alla zona di stampaggio della pressa attiva, rischiando lo schiacciamento o l'intrappolamento degli arti superiori.", "contributing_factors": ["Presenza di parti meccaniche in movimento della pressa a iniezione", "Distanza ravvicinata dei soggetti all'area di pericolo", "Limitazione della visibilità e potenziale riduzione dell'attenzione"]}</t>
        </is>
      </c>
      <c r="G14" s="7" t="n">
        <v>14.55</v>
      </c>
      <c r="H14" s="7" t="n">
        <v>14.41</v>
      </c>
      <c r="I14" s="11" t="inlineStr">
        <is>
          <t>verde</t>
        </is>
      </c>
    </row>
    <row r="15" ht="34" customHeight="1">
      <c r="A15" s="7" t="n">
        <v>13</v>
      </c>
      <c r="B15" s="7" t="n">
        <v>26</v>
      </c>
      <c r="C15" s="7" t="n">
        <v>30</v>
      </c>
      <c r="D15" s="7" t="inlineStr">
        <is>
          <t>{"scene_state": "Interno di un'officina industriale o fabbrica di stampaggio plastica.", "environmental_conditions": ["Illuminazione artificiale costante", "Ambiente al chiuso"], "people": ["Operatore a sinistra con maglietta rosa e cappellino nero", "Operatore in primo piano a destra, parzialmente visibile", "Persona sullo sfondo che cammina"], "objects": ["Sedie di plastica colorate impilate sullo sfondo", "Rotoli di materiale plastico nero a sinistra", "Tavolo di supporto bianco"], "machines": ["Pressa per stampaggio a iniezione industriale di colore arancione e grigio con marchio MIR", "Pannello di controllo digitale con schermo e tastiera"], "observable_actions": ["L'operatore con la maglietta rosa si gira a guardare verso la macchina", "L'operatore in primo piano osserva il macchinario tenendo la mano destra vicino alla struttura", "Una persona attraversa l'area sullo sfondo"], "visible_ppe": ["Guanto protettivo di colore blu sulla mano destra dell'operatore in primo piano"], "notes_visibility_limitations": "L'inquadratura dall'alto e ravvicinata taglia la parte inferiore dei soggetti e limita la visuale completa dell'area circostante."}</t>
        </is>
      </c>
      <c r="E15" s="7" t="inlineStr">
        <is>
          <t>{"unsafe_behaviors": ["Posizionamento della mano dell'operatore in prossimità della struttura della pressa di stampaggio"], "vulnerable_elements": ["Operatore in primo piano a destra", "Operatore con maglietta rosa"], "risk_cues": {"S1_people_vehicle_interference": 0.0, "S2_visibility_attention_reduction": 0.25, "S3_non_compliant_behavior": 0.0, "S4_vehicle_infrastructure_interference": 0.0, "S5_storage_structural_instability": 0.0, "S6_access_to_moving_mechanical_parts": 0.5, "S7_manual_handling_heavy_unstable_loads": 0.0}, "cue_confidence": 0.8, "diagnostic_notes": "L'operatore in primo piano ha la mano destra (con guanto blu) vicino alla struttura della pressa MIR. Questo configura un potenziale rischio di accesso a parti calde o in movimento (S6), sebbene non siano visibili anomalie palesi. La limitazione dell'inquadratura riduce la visibilità periferica (S2). Non si rilevano mezzi in movimento o carichi instabili."}</t>
        </is>
      </c>
      <c r="F15" s="7" t="inlineStr">
        <is>
          <t>{"causal_chain_plausible": true, "causal_chain_text": "La vicinanza della mano dell'operatore alla struttura della pressa MIR, combinata con un potenziale movimento meccanico o ciclo di riscaldamento attivo, può causare un contatto involontario con elementi pericolosi.", "near_miss_or_incident_scenario": "Schiacciamento o ustione della mano destra dell'operatore a causa dell'accesso accidentale a parti in movimento o superfici calde della pressa per stampaggio a iniezione.", "contributing_factors": ["Posizionamento della mano dell'operatore in prossimità della struttura della pressa", "Limitazione della visibilità periferica e dell'area circostante", "Potenziale esposizione a organi meccanici in movimento o superfici ad alta temperatura"]}</t>
        </is>
      </c>
      <c r="G15" s="7" t="n">
        <v>33.94</v>
      </c>
      <c r="H15" s="7" t="n">
        <v>30.98</v>
      </c>
      <c r="I15" s="10" t="inlineStr">
        <is>
          <t>giallo</t>
        </is>
      </c>
    </row>
    <row r="16" ht="34" customHeight="1">
      <c r="A16" s="7" t="n">
        <v>14</v>
      </c>
      <c r="B16" s="7" t="n">
        <v>28</v>
      </c>
      <c r="C16" s="7" t="n">
        <v>32</v>
      </c>
      <c r="D16" s="7" t="inlineStr">
        <is>
          <t>{"scene_state": "Interno di un impianto industriale, presumibilmente per la produzione di materie plastiche.", "environmental_conditions": ["Illuminazione artificiale interna", "Ambiente di lavoro con presenza di attrezzature e prodotti stoccati"], "people": ["Uomo in primo piano a sinistra con maglietta rosa e cappellino nero", "Uomo parzialmente visibile in primo piano a destra", "Uomo sullo sfondo a sinistra con maglietta a righe che entra nella scena"], "objects": ["Sedie o ceste di plastica colorate (rosse, verdi, blu) impilate sullo sfondo", "Tavolo bianco di supporto", "Dispositivo elettronico portatile (palmare/scanner)"], "machines": ["Grande pressa a iniezione industriale (marchio MIR) con pannello di controllo e schermo attivi"], "observable_actions": ["L'uomo in maglietta rosa manipola un dispositivo portatile vicino alla macchina", "L'uomo a destra osserva il pannello di controllo della pressa", "L'uomo sullo sfondo cammina verso l'area di lavoro"], "visible_ppe": ["Guanti protettivi di colore blu indossati dall'uomo a destra"], "notes_visibility_limitations": "L'operatore a destra è visibile solo parzialmente (inquadratura ravvicinata di testa e braccio)."}</t>
        </is>
      </c>
      <c r="E16" s="7" t="inlineStr">
        <is>
          <t>{"unsafe_behaviors": ["Possibile distrazione dell'operatore durante l'uso del dispositivo portatile vicino alla macchina", "Mancanza di DPI visibili (es. elmetto, protezione acustica o visiva) per gli operatori presenti, eccetto i guanti dell'operatore a destra"], "vulnerable_elements": ["Operatore in maglietta rosa vicino alla pressa", "Operatore parzialmente visibile a destra", "Operatore sullo sfondo che accede all'area"], "risk_cues": {"S1_people_vehicle_interference": 0.0, "S2_visibility_attention_reduction": 0.25, "S3_non_compliant_behavior": 0.25, "S4_vehicle_infrastructure_interference": 0.0, "S5_storage_structural_instability": 0.0, "S6_access_to_moving_mechanical_parts": 0.25, "S7_manual_handling_heavy_unstable_loads": 0.0}, "cue_confidence": 0.8, "diagnostic_notes": "L'analisi evidenzia un ambiente di lavoro stabile. Non sono presenti mezzi in movimento o movimentazione di carichi. Si rileva una potenziale riduzione dell'attenzione dovuta all'uso del palmare vicino alla pressa attiva. La parziale visibilità di alcuni soggetti limita la verifica completa dei DPI."}</t>
        </is>
      </c>
      <c r="F16" s="7" t="inlineStr">
        <is>
          <t>{"causal_chain_plausible": true, "causal_chain_text": "L'operatore in maglietta rosa, distratto dall'uso del palmare vicino alla pressa attiva, riduce la propria attenzione situazionale. In caso di anomalia della macchina o movimento imprevisto, la mancata reazione tempestiva, unita all'assenza di DPI visibili (occhiali, elmetto), può causare un infortunio.", "near_miss_or_incident_scenario": "Contatto accidentale con parti calde o in movimento della pressa a iniezione, o impatto con materiale plastico proiettato a causa di un'anomalia non monitorata per via della distrazione dell'operatore.", "contributing_factors": ["Distrazione dell'operatore dovuta all'uso del dispositivo portatile vicino alla macchina attiva", "Mancanza di DPI visibili adeguati per il rischio industriale specifico (es. protezione visiva)", "Presenza di più persone nell'area operativa senza apparente delimitazione di sicurezza"]}</t>
        </is>
      </c>
      <c r="G16" s="7" t="n">
        <v>15.87</v>
      </c>
      <c r="H16" s="7" t="n">
        <v>21.91</v>
      </c>
      <c r="I16" s="11" t="inlineStr">
        <is>
          <t>verde</t>
        </is>
      </c>
    </row>
    <row r="17" ht="34" customHeight="1">
      <c r="A17" s="7" t="n">
        <v>15</v>
      </c>
      <c r="B17" s="7" t="n">
        <v>30</v>
      </c>
      <c r="C17" s="7" t="n">
        <v>34</v>
      </c>
      <c r="D17" s="7" t="inlineStr">
        <is>
          <t>{"scene_state": "Ambiente industriale, reparto stampaggio materie plastiche.", "environmental_conditions": ["Illuminazione artificiale interna", "Ambiente di fabbrica"], "people": ["Operatore in maglietta rosa e cappellino nero", "Operatore in maglietta grigia in primo piano", "Operatore in maglietta a righe sullo sfondo"], "objects": ["Sedie di plastica impilate", "Dispositivo portatile/scanner", "Pannello di controllo con schermo"], "machines": ["Pressa industriale per stampaggio a iniezione"], "observable_actions": ["L'operatore in maglietta rosa consulta un dispositivo portatile", "L'operatore in maglietta grigia osserva e interagisce con il pannello di controllo", "L'operatore sullo sfondo cammina verso sinistra uscendo dal campo visivo"], "visible_ppe": ["Guanti protettivi blu (indossati dall'operatore in maglietta grigia)"], "notes_visibility_limitations": "Inquadratura fissa dall'alto; parziale occlusione dei dettagli operativi sul macchinario."}</t>
        </is>
      </c>
      <c r="E17" s="7" t="inlineStr">
        <is>
          <t>{"unsafe_behaviors": ["Possibile distrazione dell'operatore in maglietta rosa durante la consultazione del dispositivo portatile vicino alla pressa"], "vulnerable_elements": ["Operatore in maglietta rosa", "Operatore in maglietta grigia"], "risk_cues": {"S1_people_vehicle_interference": 0.0, "S2_visibility_attention_reduction": 0.5, "S3_non_compliant_behavior": 0.25, "S4_vehicle_infrastructure_interference": 0.0, "S5_storage_structural_instability": 0.25, "S6_access_to_moving_mechanical_parts": 0.25, "S7_manual_handling_heavy_unstable_loads": 0.0}, "cue_confidence": 0.8, "diagnostic_notes": "L'uso del dispositivo portatile da parte dell'operatore in rosa introduce una potenziale riduzione dell'attenzione (S2). La presenza di sedie impilate rappresenta un debole intralcio (S5). L'occlusione parziale della pressa limita la visibilità dettagliata sulle parti in movimento (S6), ma l'interazione avviene principalmente tramite pannello di controllo. Non si registrano mezzi o movimentazione carichi."}</t>
        </is>
      </c>
      <c r="F17" s="7" t="inlineStr">
        <is>
          <t>{"causal_chain_plausible": true, "causal_chain_text": "La distrazione dell'operatore in maglietta rosa dovuta all'uso del dispositivo portatile riduce la sua consapevolezza situazionale. In caso di movimento imprevisto o di necessità di reazione rapida, la ridotta attenzione e la presenza di ostacoli a terra (sedie impilate) possono causare una perdita di equilibrio o un contatto accidentale con la pressa.", "near_miss_or_incident_scenario": "L'operatore distratto dal dispositivo portatile inciampa nelle sedie impilate vicino alla zona di transito o urta inavvertitamente parti calde o in movimento della pressa industriale.", "contributing_factors": ["Riduzione dell'attenzione causata dall'uso del dispositivo portatile", "Presenza di ostacoli (sedie impilate) nell'area di lavoro", "Prossimità operativa a una pressa industriale per stampaggio a iniezione"]}</t>
        </is>
      </c>
      <c r="G17" s="7" t="n">
        <v>17.64</v>
      </c>
      <c r="H17" s="7" t="n">
        <v>19.79</v>
      </c>
      <c r="I17" s="11" t="inlineStr">
        <is>
          <t>verde</t>
        </is>
      </c>
    </row>
    <row r="18" ht="34" customHeight="1">
      <c r="A18" s="7" t="n">
        <v>16</v>
      </c>
      <c r="B18" s="7" t="n">
        <v>32</v>
      </c>
      <c r="C18" s="7" t="n">
        <v>36</v>
      </c>
      <c r="D18" s="7" t="inlineStr">
        <is>
          <t>{"scene_state": "Ambiente industriale, reparto stampaggio materie plastiche.", "environmental_conditions": ["Illuminazione artificiale interna", "Spazio di lavoro industriale"], "people": ["Operatore con maglietta rosa e cappellino nero", "Operatore con capelli grigi in primo piano", "Persona parzialmente visibile a sinistra"], "objects": ["Sedie di plastica impilate sullo sfondo", "Sacchi bianchi", "Pannello di controllo della macchina"], "machines": ["Pressa per stampaggio a iniezione (marca MIR)"], "observable_actions": ["L'operatore con il cappellino si avvicina all'area di lavoro della macchina", "L'operatore con i capelli grigi tocca un componente della macchina con la mano guantata"], "visible_ppe": ["Guanto protettivo blu (indossato dall'operatore con i capelli grigi)"], "notes_visibility_limitations": "Inquadratura parziale dei soggetti; l'operatore a sinistra è quasi totalmente escluso dal campo visivo."}</t>
        </is>
      </c>
      <c r="E18" s="7" t="inlineStr">
        <is>
          <t>{"unsafe_behaviors": ["Interazione manuale diretta con componenti della pressa senza evidente verifica dello stato di isolamento o arresto della macchina"], "vulnerable_elements": ["Operatore con capelli grigi in primo piano", "Operatore con maglietta rosa e cappellino nero"], "risk_cues": {"S1_people_vehicle_interference": 0.0, "S2_visibility_attention_reduction": 0.25, "S3_non_compliant_behavior": 0.25, "S4_vehicle_infrastructure_interference": 0.0, "S5_storage_structural_instability": 0.0, "S6_access_to_moving_mechanical_parts": 0.5, "S7_manual_handling_heavy_unstable_loads": 0.0}, "cue_confidence": 0.75, "diagnostic_notes": "L'operatore con i capelli grigi esegue un intervento manuale toccando un componente della pressa MIR. Sebbene indossi un guanto protettivo, l'azione comporta un potenziale rischio di contatto con organi in movimento o superfici calde (S6), la cui gravità è mitigata o accentuata dallo stato operativo della macchina (non interamente verificabile a causa dell'inquadratura parziale). Non si rilevano interferenze con mezzi (S1, S4) o problematiche di stoccaggio (S5)."}</t>
        </is>
      </c>
      <c r="F18" s="7" t="inlineStr">
        <is>
          <t>{"causal_chain_plausible": true, "causal_chain_text": "L'operatore esegue un intervento manuale diretto su un componente della pressa MIR. In assenza di una procedura verificata di isolamento energetico (LOTO), un movimento imprevisto della macchina o la presenza di calore residuo può portare al contatto pericoloso con l'arto dell'operatore.", "near_miss_or_incident_scenario": "Schiacciamento o intrappolamento della mano dell'operatore tra gli organi in movimento della pressa, o ustione da contatto con superfici ad alta temperatura non protette.", "contributing_factors": ["Interazione manuale diretta con componenti della macchina senza evidente isolamento o arresto di sicurezza", "Accesso ad aree con potenziali parti meccaniche in movimento o superfici calde", "Presenza di più persone nell'area di lavoro che può generare distrazione o coordinamento errato"]}</t>
        </is>
      </c>
      <c r="G18" s="7" t="n">
        <v>35.26</v>
      </c>
      <c r="H18" s="7" t="n">
        <v>33.48</v>
      </c>
      <c r="I18" s="10" t="inlineStr">
        <is>
          <t>giallo</t>
        </is>
      </c>
    </row>
    <row r="19" ht="34" customHeight="1">
      <c r="A19" s="7" t="n">
        <v>17</v>
      </c>
      <c r="B19" s="7" t="n">
        <v>34</v>
      </c>
      <c r="C19" s="7" t="n">
        <v>38</v>
      </c>
      <c r="D19" s="7" t="inlineStr">
        <is>
          <t>{"scene_state": "Ambiente industriale interno, reparto stampaggio materie plastiche.", "environmental_conditions": ["Illuminazione artificiale interna stabile", "Spazio di lavoro con materiali stoccati sullo sfondo"], "people": ["Un operatore giovane con maglietta rosa e cappellino nero", "Un operatore in primo piano, visibile parzialmente"], "objects": ["Sedie in plastica colorate impilate sullo sfondo", "Sacchi bianchi industriali", "Pannello di controllo digitale del macchinario", "Tavolo di supporto bianco in basso a sinistra"], "machines": ["Pressa per stampaggio a iniezione industriale di colore arancione e grigio"], "observable_actions": ["L'operatore con la maglietta rosa si avvicina alla zona stampo della pressa, poi si gira a guardare l'altro operatore", "L'operatore in primo piano tiene la mano destra (con guanto blu) vicino alla zona di lavoro della macchina"], "visible_ppe": ["Guanto protettivo di colore blu"], "notes_visibility_limitations": "L'operatore in primo piano è visibile solo parzialmente. La visuale interna della pressa è parzialmente ostruita dalla struttura della macchina stessa."}</t>
        </is>
      </c>
      <c r="E19" s="7" t="inlineStr">
        <is>
          <t>{"unsafe_behaviors": ["Operatore con la mano destra posizionata vicino alla zona di lavoro della pressa", "Operatore che si gira a guardare il collega mentre si trova in prossimità della zona stampo"], "vulnerable_elements": ["Operatore in primo piano", "Operatore con maglietta rosa"], "risk_cues": {"S1_people_vehicle_interference": 0.0, "S2_visibility_attention_reduction": 0.5, "S3_non_compliant_behavior": 0.5, "S4_vehicle_infrastructure_interference": 0.0, "S5_storage_structural_instability": 0.0, "S6_access_to_moving_mechanical_parts": 0.75, "S7_manual_handling_heavy_unstable_loads": 0.0}, "cue_confidence": 0.8, "diagnostic_notes": "Si rileva una forte evidenza di rischio legata all'accesso a organi meccanici (S6), data la presenza della mano dell'operatore vicino alla zona di lavoro della pressa. Si osserva inoltre una potenziale riduzione dell'attenzione (S2) quando l'operatore in maglietta rosa si gira verso il collega mentre è vicino alla zona stampo. La parziale ostruzione della visuale interna della pressa non permette di verificare con assoluta certezza lo stato di isolamento della macchina."}</t>
        </is>
      </c>
      <c r="F19" s="7" t="inlineStr">
        <is>
          <t>{"causal_chain_plausible": true, "causal_chain_text": "La prossimità della mano dell'operatore alla zona di lavoro della pressa, combinata con la distrazione del secondo operatore che si gira verso il collega vicino allo stampo, crea una condizione di vulnerabilità. Un movimento imprevisto della macchina o un'azione involontaria possono portare al contatto con gli organi in movimento.", "near_miss_or_incident_scenario": "Schiacciamento o intrappolamento dell'arto superiore dell'operatore all'interno della zona stampo della pressa a iniezione durante una fase di distrazione operativa.", "contributing_factors": ["Presenza della mano dell'operatore vicino alla zona di lavoro della pressa", "Distrazione dell'operatore che distoglie lo sguardo dalla zona di pericolo", "Mancanza di barriere di sicurezza visibili a protezione della zona stampo"]}</t>
        </is>
      </c>
      <c r="G19" s="7" t="n">
        <v>41.95</v>
      </c>
      <c r="H19" s="7" t="n">
        <v>40.23</v>
      </c>
      <c r="I19" s="10" t="inlineStr">
        <is>
          <t>giallo</t>
        </is>
      </c>
    </row>
    <row r="20" ht="34" customHeight="1">
      <c r="A20" s="7" t="n">
        <v>18</v>
      </c>
      <c r="B20" s="7" t="n">
        <v>36</v>
      </c>
      <c r="C20" s="7" t="n">
        <v>40</v>
      </c>
      <c r="D20" s="7" t="inlineStr">
        <is>
          <t>{"scene_state": "Area di produzione industriale con macchinari per lo stampaggio di materie plastiche.", "environmental_conditions": ["Illuminazione artificiale interna", "Ambiente di fabbrica"], "people": ["Un operatore con maglietta rosa e cappellino nero", "Un secondo uomo parzialmente visibile in primo piano a destra", "Una terza persona parzialmente visibile sul lato sinistro"], "objects": ["Sedie di plastica colorate impilate sullo sfondo", "Sacchi bianchi", "Pannello di controllo della macchina"], "machines": ["Pressa per stampaggio a iniezione di colore arancione e grigio"], "observable_actions": ["L'operatore con la maglietta rosa interagisce con la pressa, inserendo la mano sinistra guantata all'interno della zona stampo", "L'uomo in primo piano osserva l'operazione"], "visible_ppe": ["Un guanto protettivo blu sulla mano sinistra dell'operatore con maglietta rosa"], "notes_visibility_limitations": "La visuale dell'interno della macchina è parzialmente ostruita dalla struttura stessa. L'uomo in primo piano copre parzialmente la visuale inferiore destra."}</t>
        </is>
      </c>
      <c r="E20" s="7" t="inlineStr">
        <is>
          <t>{"unsafe_behaviors": ["Inserimento della mano sinistra all'interno della zona stampo della pressa a iniezione senza evidente verifica di isolamento energetico o blocco di sicurezza (LOTO)."], "vulnerable_elements": ["Operatore con maglietta rosa (esposto a rischio di schiacciamento, intrappolamento o ustione dell'arto superiore sinistro)."], "risk_cues": {"S1_people_vehicle_interference": 0.0, "S2_visibility_attention_reduction": 0.25, "S3_non_compliant_behavior": 0.75, "S4_vehicle_infrastructure_interference": 0.0, "S5_storage_structural_instability": 0.0, "S6_access_to_moving_mechanical_parts": 0.75, "S7_manual_handling_heavy_unstable_loads": 0.0}, "cue_confidence": 0.8, "diagnostic_notes": "L'operatore inserisce la mano nella zona dello stampo della pressa (S6). Sebbene indossi un guanto protettivo, l'accesso diretto a organi meccanici potenzialmente attivi rappresenta un comportamento non conforme ad alto rischio (S3). La visibilità interna limitata dalla struttura della macchina (S2) aumenta l'ambiguità sullo stato di sicurezza effettivo del macchinario durante l'intervento."}</t>
        </is>
      </c>
      <c r="F20" s="7" t="inlineStr">
        <is>
          <t>{"causal_chain_plausible": true, "causal_chain_text": "L'operatore inserisce la mano sinistra nella zona stampo della pressa senza apparente isolamento energetico. Un avvio intempestivo del ciclo o un guasto ai sistemi di sicurezza può causare la chiusura dello stampo sull'arto.", "near_miss_or_incident_scenario": "Grave infortunio con schiacciamento o amputazione della mano sinistra dell'operatore all'interno della pressa a iniezione.", "contributing_factors": ["Accesso manuale diretto alla zona pericolosa dello stampo", "Mancanza di evidenza di procedure di isolamento energetico (LOTO)", "Uso di DPI (guanto) inadeguati a proteggere da forze di schiacciamento meccanico"]}</t>
        </is>
      </c>
      <c r="G20" s="7" t="n">
        <v>41.89</v>
      </c>
      <c r="H20" s="7" t="n">
        <v>41.23</v>
      </c>
      <c r="I20" s="10" t="inlineStr">
        <is>
          <t>giallo</t>
        </is>
      </c>
    </row>
    <row r="21" ht="34" customHeight="1">
      <c r="A21" s="7" t="n">
        <v>19</v>
      </c>
      <c r="B21" s="7" t="n">
        <v>38</v>
      </c>
      <c r="C21" s="7" t="n">
        <v>42</v>
      </c>
      <c r="D21" s="7" t="inlineStr">
        <is>
          <t>{"scene_state": "Attività di manutenzione o configurazione di un macchinario industriale in un impianto di stampaggio plastica.", "environmental_conditions": ["Illuminazione artificiale interna", "Ambiente di fabbrica con materiali stoccati sullo sfondo"], "people": ["Operatore con maglietta rosa e cappellino nero", "Operatore in primo piano di spalle con maglietta blu", "Operatore che sopraggiunge da sinistra con maglietta a righe"], "objects": ["Sedie in plastica impilate", "Grandi sacchi bianchi", "Rotoli o cilindri neri", "Attrezzo manuale metallico"], "machines": ["Pressa ad iniezione industriale MIR con schermo di controllo acceso"], "observable_actions": ["L'operatore in rosa lavora vicino alla zona stampo", "L'operatore in primo piano agisce sul pannello di controllo", "L'operatore a righe si avvicina portando un attrezzo"], "visible_ppe": ["Guanto protettivo blu sulla mano destra dell'operatore al pannello"], "notes_visibility_limitations": "La presenza fisica degli operatori ostruisce parzialmente la vista dei dettagli interni del macchinario."}</t>
        </is>
      </c>
      <c r="E21" s="7" t="inlineStr">
        <is>
          <t>{"unsafe_behaviors": ["Intervento manuale nella zona stampo con macchina potenzialmente alimentata", "Mancanza di evidenza di procedure di Lockout/Tagout (LOTO) durante la manutenzione", "Mancanza di DPI visibili completi per tutti gli operatori esposti"], "vulnerable_elements": ["Operatore con maglietta rosa vicino alla zona stampo", "Operatore con maglietta a righe in prossimità dell'area di lavoro"], "risk_cues": {"S1_people_vehicle_interference": 0.0, "S2_visibility_attention_reduction": 0.5, "S3_non_compliant_behavior": 0.5, "S4_vehicle_infrastructure_interference": 0.0, "S5_storage_structural_instability": 0.25, "S6_access_to_moving_mechanical_parts": 0.75, "S7_manual_handling_heavy_unstable_loads": 0.25}, "cue_confidence": 0.8, "diagnostic_notes": "Il rischio principale (S6) è legato alla presenza dell'operatore in rosa vicino alla zona stampo della pressa ad iniezione mentre un altro operatore agisce sul pannello di controllo acceso. Questa configurazione espone a gravi rischi di schiacciamento in assenza di un isolamento energetico sicuro (LOTO). La visibilità interna è parzialmente ostruita dalla presenza fisica dei lavoratori."}</t>
        </is>
      </c>
      <c r="F21" s="7" t="inlineStr">
        <is>
          <t>{"causal_chain_plausible": true, "causal_chain_text": "L'operatore al pannello di controllo attivo potrebbe avviare accidentalmente un ciclo di pressatura mentre l'operatore in rosa lavora nella zona stampo non isolata energeticamente (assenza di LOTO), provocando un grave infortunio.", "near_miss_or_incident_scenario": "Schiacciamento degli arti superiori dell'operatore in maglietta rosa all'interno della pressa ad iniezione a causa dell'attivazione involontaria del macchinario.", "contributing_factors": ["Mancata applicazione delle procedure di Lockout/Tagout (LOTO) per l'isolamento della pressa.", "Presenza di un operatore nella zona stampo con macchina alimentata e pannello di controllo attivo.", "Mancanza di DPI visibili e completi per tutti i soggetti esposti."]}</t>
        </is>
      </c>
      <c r="G21" s="7" t="n">
        <v>43.11</v>
      </c>
      <c r="H21" s="7" t="n">
        <v>42.66</v>
      </c>
      <c r="I21" s="10" t="inlineStr">
        <is>
          <t>giallo</t>
        </is>
      </c>
    </row>
    <row r="22" ht="34" customHeight="1">
      <c r="A22" s="7" t="n">
        <v>20</v>
      </c>
      <c r="B22" s="7" t="n">
        <v>40</v>
      </c>
      <c r="C22" s="7" t="n">
        <v>44</v>
      </c>
      <c r="D22" s="7" t="inlineStr">
        <is>
          <t>{"scene_state": "Ambiente industriale, reparto stampaggio materie plastiche.", "environmental_conditions": ["Illuminazione artificiale interna", "Ambiente di lavoro al coperto"], "people": ["Tre operatori maschi presenti vicino al macchinario."], "objects": ["Pannello di controllo", "Attrezzo manuale (chiave o leva)", "Sedie di plastica impilate sullo sfondo", "Sacchi bianchi"], "machines": ["Pressa per stampaggio a iniezione di grandi dimensioni con pannello di controllo digitale"], "observable_actions": ["Un operatore interagisce con il pannello di controllo digitale.", "Un secondo operatore in maglietta rosa si china vicino alla pressa.", "Un terzo operatore con maglietta a righe osserva tenendo in mano un attrezzo."], "visible_ppe": ["Guanti protettivi blu indossati dall'operatore al pannello di controllo."], "notes_visibility_limitations": "Inquadratura fissa dall'alto (telecamera di sicurezza), alcune parti interne del macchinario sono parzialmente nascoste alla vista."}</t>
        </is>
      </c>
      <c r="E22" s="7" t="inlineStr">
        <is>
          <t>{"unsafe_behaviors": ["Operatore chinato vicino alla pressa in zona potenzialmente pericolosa", "Mancato utilizzo visibile di DPI completi (es. elmetto, protezione occhi/udito) in presenza di macchinari industriali attivi"], "vulnerable_elements": ["Operatore con maglietta rosa chinato vicino alla pressa", "Operatore con maglietta a righe in prossimità della zona di stampaggio"], "risk_cues": {"S1_people_vehicle_interference": 0.0, "S2_visibility_attention_reduction": 0.25, "S3_non_compliant_behavior": 0.5, "S4_vehicle_infrastructure_interference": 0.0, "S5_storage_structural_instability": 0.0, "S6_access_to_moving_mechanical_parts": 0.5, "S7_manual_handling_heavy_unstable_loads": 0.0}, "cue_confidence": 0.75, "diagnostic_notes": "La vicinanza degli operatori alla pressa per stampaggio a iniezione solleva potenziali rischi di accesso a organi meccanici o parti calde (S6). L'operatore chinato ha una visibilità ridotta sull'ambiente circostante (S2). Si rileva una potenziale non conformità legata alla mancanza di DPI visibili oltre ai guanti (S3). Non sono presenti mezzi di movimentazione (S1, S4) o carichi instabili (S5, S7)."}</t>
        </is>
      </c>
      <c r="F22" s="7" t="inlineStr">
        <is>
          <t>{"causal_chain_plausible": true, "causal_chain_text": "L'operatore al pannello di controllo potrebbe azionare la pressa mentre il secondo operatore è chinato vicino ad essa in una zona a visibilità ridotta, portando a un contatto accidentale con organi in movimento o parti calde.", "near_miss_or_incident_scenario": "Schiacciamento o ustione di un arto dell'operatore chinato a causa dell'avvio intempestivo della pressa da parte del collega al pannello.", "contributing_factors": ["Posizione chinata dell'operatore in maglietta rosa vicino alla pressa", "Interazione contemporanea di un altro operatore con il pannello di controllo", "Mancanza di DPI visibili completi per la protezione da rischi meccanici e termici", "Visibilità e attenzione ridotte dell'operatore chinato rispetto alle azioni dei colleghi"]}</t>
        </is>
      </c>
      <c r="G22" s="7" t="n">
        <v>38.27</v>
      </c>
      <c r="H22" s="7" t="n">
        <v>40.03</v>
      </c>
      <c r="I22" s="10" t="inlineStr">
        <is>
          <t>giallo</t>
        </is>
      </c>
    </row>
    <row r="23" ht="34" customHeight="1">
      <c r="A23" s="7" t="n">
        <v>21</v>
      </c>
      <c r="B23" s="7" t="n">
        <v>42</v>
      </c>
      <c r="C23" s="7" t="n">
        <v>46</v>
      </c>
      <c r="D23" s="7" t="inlineStr">
        <is>
          <t>{"scene_state": "Ambiente industriale interno, area di lavoro adiacente a un macchinario di stampaggio.", "environmental_conditions": ["Illuminazione interna artificiale", "Presenza di prodotti plastici impilati sullo sfondo"], "people": ["Uomo con maglietta a righe e cappellino nero, in piedi a sinistra.", "Uomo con maglietta rosa, chinato al centro.", "Uomo con maglietta blu, chinato a destra."], "objects": ["Tavolo di supporto bianco", "Chiave metallica sul tavolo", "Sedie e ceste in plastica impilate"], "machines": ["Pressa industriale per stampaggio a iniezione (marca MIR) con pannello di controllo digitale"], "observable_actions": ["L'uomo a sinistra osserva l'attività degli altri due.", "I due operatori chinati lavorano vicino alla base del macchinario o del tavolo."], "visible_ppe": ["Nessun dispositivo di protezione individuale visibile sui soggetti"], "notes_visibility_limitations": "La posizione chinata dei due operatori e l'inquadratura dall'alto limitano la visibilità dettagliata delle loro mani e delle operazioni precise che stanno compiendo."}</t>
        </is>
      </c>
      <c r="E23" s="7" t="inlineStr">
        <is>
          <t>{"unsafe_behaviors": ["Mancato utilizzo di DPI visibili durante l'intervento vicino alla pressa", "Postura incongrua prolungata dei due operatori chinati"], "vulnerable_elements": ["I due operatori chinati alla base del macchinario", "L'operatore in piedi privo di DPI nell'area di lavoro"], "risk_cues": {"S1_people_vehicle_interference": 0.0, "S2_visibility_attention_reduction": 0.5, "S3_non_compliant_behavior": 0.75, "S4_vehicle_infrastructure_interference": 0.0, "S5_storage_structural_instability": 0.25, "S6_access_to_moving_mechanical_parts": 0.5, "S7_manual_handling_heavy_unstable_loads": 0.25}, "cue_confidence": 0.8, "diagnostic_notes": "Assenza totale di DPI visibili in un'area con pressa industriale (S3). La postura chinata riduce l'attenzione e la visibilità degli operatori (S2). Possibile interazione con parti meccaniche della pressa MIR (S6), sebbene la visuale limitata non permetta di verificare l'effettivo movimento degli organi o la movimentazione di carichi pesanti (S7)."}</t>
        </is>
      </c>
      <c r="F23" s="7" t="inlineStr">
        <is>
          <t>{"causal_chain_plausible": true, "causal_chain_text": "La mancanza di DPI unita alla postura chinata e alla ridotta visibilità degli operatori vicino alla base della pressa MIR può causare un contatto accidentale con parti calde, taglienti o in movimento, o la caduta di utensili (come la chiave sul tavolo) sui lavoratori non protetti.", "near_miss_or_incident_scenario": "Un operatore subisce un trauma da schiacciamento o taglio alle mani o ai piedi, oppure una lesione oculare, a causa dell'assenza di DPI protettivi durante l'intervento vicino alla pressa.", "contributing_factors": ["Assenza totale di DPI visibili (guanti, occhiali, calzature di sicurezza)", "Postura incongrua e chinata che riduce il campo visivo e l'attenzione", "Prossimità operativa a una pressa industriale per stampaggio a iniezione", "Presenza di utensili metallici sul tavolo di supporto soggetti a caduta"]}</t>
        </is>
      </c>
      <c r="G23" s="7" t="n">
        <v>41.3</v>
      </c>
      <c r="H23" s="7" t="n">
        <v>41.55</v>
      </c>
      <c r="I23" s="10" t="inlineStr">
        <is>
          <t>giallo</t>
        </is>
      </c>
    </row>
    <row r="24" ht="34" customHeight="1">
      <c r="A24" s="7" t="n">
        <v>22</v>
      </c>
      <c r="B24" s="7" t="n">
        <v>44</v>
      </c>
      <c r="C24" s="7" t="n">
        <v>48</v>
      </c>
      <c r="D24" s="7" t="inlineStr">
        <is>
          <t>{"scene_state": "Interno di un'officina industriale con macchinari per lo stampaggio a iniezione.", "environmental_conditions": ["Illuminazione artificiale costante", "Ambiente al chiuso"], "people": ["Un uomo giovane con maglietta a righe e cappellino nero girato all'indietro sulla sinistra", "Un uomo con capelli grigi parzialmente visibile in basso a destra"], "objects": ["Sedie di plastica colorate impilate sullo sfondo", "Un piccolo banco di supporto bianco", "Un attrezzo metallico appoggiato sul banco bianco", "Bobina o cilindro nero a sinistra"], "machines": ["Grande pressa a iniezione industriale arancione e grigia con pannello di controllo digitale"], "observable_actions": ["L'uomo a sinistra è in piedi vicino al macchinario e guarda verso destra", "L'uomo in basso a destra osserva la scena"], "visible_ppe": ["Nessun DPI visibile"], "notes_visibility_limitations": "L'operatore sulla destra è visibile solo parzialmente a causa del taglio dell'inquadratura."}</t>
        </is>
      </c>
      <c r="E24" s="7" t="inlineStr">
        <is>
          <t>{"unsafe_behaviors": ["Mancato utilizzo dei DPI (Dispositivi di Protezione Individuale) in prossimità di macchinari industriali attivi"], "vulnerable_elements": ["Operatore a sinistra vicino alla pressa", "Operatore parzialmente visibile in basso a destra"], "risk_cues": {"S1_people_vehicle_interference": 0.0, "S2_visibility_attention_reduction": 0.25, "S3_non_compliant_behavior": 0.75, "S4_vehicle_infrastructure_interference": 0.0, "S5_storage_structural_instability": 0.0, "S6_access_to_moving_mechanical_parts": 0.0, "S7_manual_handling_heavy_unstable_loads": 0.0}, "cue_confidence": 0.85, "diagnostic_notes": "La principale non-conformità rilevata riguarda l'assenza di DPI visibili (come occhiali protettivi o protezione acustica) per il personale presente vicino alla pressa a iniezione. L'operatore a destra è visibile solo parzialmente, limitando la valutazione completa del suo stato. Non sono presenti mezzi di movimentazione o carichi sospesi nella scena."}</t>
        </is>
      </c>
      <c r="F24" s="7" t="inlineStr">
        <is>
          <t>{"causal_chain_plausible": true, "causal_chain_text": "La presenza di operatori a ridosso di una pressa a iniezione attiva senza DPI espone i soggetti a rischi fisici diretti. In caso di malfunzionamento del macchinario, anomalie di pressione o espulsione incontrollata di materiale plastico fuso, l'assenza di protezione oculare e facciale determina un impatto diretto di detriti o sostanze ad alta temperatura sul corpo dei lavoratori.", "near_miss_or_incident_scenario": "Proiezione di micro-frammenti di plastica surriscaldata o bave metalliche dalla pressa in funzione, che colpiscono il viso o gli occhi dell'operatore sprovvisto di occhiali protettivi, causando ustioni o lesioni oculari.", "contributing_factors": ["Mancato utilizzo dei DPI (occhiali di sicurezza, protezione acustica)", "Presenza degli operatori nell'area di influenza diretta del macchinario attivo", "Assenza di barriere fisiche o schermi di protezione tra l'area di stampaggio e gli operatori"]}</t>
        </is>
      </c>
      <c r="G24" s="7" t="n">
        <v>8.49</v>
      </c>
      <c r="H24" s="7" t="n">
        <v>21.71</v>
      </c>
      <c r="I24" s="11" t="inlineStr">
        <is>
          <t>verde</t>
        </is>
      </c>
    </row>
    <row r="25" ht="34" customHeight="1">
      <c r="A25" s="7" t="n">
        <v>23</v>
      </c>
      <c r="B25" s="7" t="n">
        <v>46</v>
      </c>
      <c r="C25" s="7" t="n">
        <v>50</v>
      </c>
      <c r="D25" s="7" t="inlineStr">
        <is>
          <t>{"scene_state": "Ambiente industriale di stampaggio plastico.", "environmental_conditions": ["Illuminazione artificiale interna", "Ambiente di fabbrica"], "people": ["Un giovane uomo con maglietta a righe e cappellino nero", "Un uomo anziano con capelli grigi", "Una terza persona parzialmente visibile in basso alla fine della clip"], "objects": ["Sedie di plastica impilate sullo sfondo", "Sacchi di materiale", "Rotoli neri", "Tavolino bianco con documenti"], "machines": ["Pressa a iniezione per plastica (marca MIR) con pannello di controllo"], "observable_actions": ["Il giovane uomo parla e indica la macchina all'operatore anziano"], "visible_ppe": ["Nessun DPI visibile"], "notes_visibility_limitations": "Inquadratura fissa dall'alto; l'operatore anziano è parzialmente coperto dal pannello di controllo."}</t>
        </is>
      </c>
      <c r="E25" s="7" t="inlineStr">
        <is>
          <t>{"unsafe_behaviors": ["Mancato utilizzo di DPI visibili in un'area di stampaggio plastico", "Potenziale distrazione dell'operatore dovuta all'interazione verbale e gestuale in prossimità della macchina"], "vulnerable_elements": ["Operatore anziano", "Giovane uomo"], "risk_cues": {"S1_people_vehicle_interference": 0.0, "S2_visibility_attention_reduction": 0.25, "S3_non_compliant_behavior": 0.5, "S4_vehicle_infrastructure_interference": 0.0, "S5_storage_structural_instability": 0.0, "S6_access_to_moving_mechanical_parts": 0.25, "S7_manual_handling_heavy_unstable_loads": 0.0}, "cue_confidence": 0.8, "diagnostic_notes": "I soggetti interagiscono vicino a una pressa a iniezione MIR senza DPI visibili. L'ostruzione parziale causata dal pannello di controllo limita la visibilità dettagliata delle mani dell'operatore e della zona di stampaggio, rendendo prudenziale la valutazione dei rischi legati agli organi in movimento."}</t>
        </is>
      </c>
      <c r="F25" s="7" t="inlineStr">
        <is>
          <t>{"causal_chain_plausible": true, "causal_chain_text": "L'interazione verbale e la gestualità del giovane uomo distraggono l'operatore anziano intento a lavorare presso la pressa a iniezione. La distrazione, unita alla mancanza di DPI e alla vicinanza agli organi in movimento della macchina, può portare a un contatto accidentale con parti calde o in movimento.", "near_miss_or_incident_scenario": "L'operatore si distrae per guardare il punto indicato dal collega e avvicina involontariamente la mano alla zona di stampaggio della pressa MIR durante il ciclo operativo, rischiando lo schiacciamento o un'ustione.", "contributing_factors": ["Mancato utilizzo di DPI idonei nell'area di stampaggio", "Distrazione dell'operatore dovuta all'interazione ravvicinata", "Prossimità fisica a una macchina industriale con parti in movimento senza adeguate distanze di sicurezza"]}</t>
        </is>
      </c>
      <c r="G25" s="7" t="n">
        <v>18.88</v>
      </c>
      <c r="H25" s="7" t="n">
        <v>22.61</v>
      </c>
      <c r="I25" s="11" t="inlineStr">
        <is>
          <t>verde</t>
        </is>
      </c>
    </row>
    <row r="26" ht="34" customHeight="1">
      <c r="A26" s="7" t="n">
        <v>24</v>
      </c>
      <c r="B26" s="7" t="n">
        <v>48</v>
      </c>
      <c r="C26" s="7" t="n">
        <v>52</v>
      </c>
      <c r="D26" s="7" t="inlineStr">
        <is>
          <t>{"scene_state": "Ambiente industriale interno, reparto di produzione o stampaggio plastica.", "environmental_conditions": ["Illuminazione interna costante", "Presenza di materiali e prodotti finiti sullo sfondo"], "people": ["Uomo con maglietta a righe orizzontali e cappellino nero", "Uomo con maglietta rosa e cappellino", "Uomo di profilo con giacca blu e strisce bianche"], "objects": ["Sedie in plastica colorate impilate", "Sacchi bianchi di materiale", "Pannello di controllo con display e pulsantiera"], "machines": ["Macchinario industriale per stampaggio a iniezione con struttura arancione"], "observable_actions": ["L'uomo con la maglietta a righe indica una parte del macchinario e parla con l'operatore in blu", "Un uomo con la maglietta rosa si interpone tra i due soggetti", "Gli operatori si muovono e interagiscono nei pressi del pannello di controllo"], "visible_ppe": ["Guanti da lavoro blu indossati dall'uomo con la maglietta rosa"], "notes_visibility_limitations": "I movimenti degli operatori ostruiscono parzialmente la visuale dettagliata del pannello di controllo e della zona operativa del macchinario."}</t>
        </is>
      </c>
      <c r="E26" s="7" t="inlineStr">
        <is>
          <t>{"unsafe_behaviors": ["Interazione ravvicinata con l'area operativa del macchinario senza DPI visibili completi", "Potenziale distrazione dovuta all'interazione di gruppo vicino al pannello di controllo"], "vulnerable_elements": ["Operatori nell'area di stampaggio"], "risk_cues": {"S1_people_vehicle_interference": 0.0, "S2_visibility_attention_reduction": 0.25, "S3_non_compliant_behavior": 0.25, "S4_vehicle_infrastructure_interference": 0.0, "S5_storage_structural_instability": 0.0, "S6_access_to_moving_mechanical_parts": 0.25, "S7_manual_handling_heavy_unstable_loads": 0.0}, "cue_confidence": 0.75, "diagnostic_notes": "Gli operatori lavorano vicino a una pressa a iniezione. Sebbene non si osservino violazioni gravi, l'interazione di gruppo e la parziale ostruzione visiva vicino alla zona operativa suggeriscono cautela riguardo a possibili distrazioni o accesso ad aree calde/in movimento."}</t>
        </is>
      </c>
      <c r="F26" s="7" t="inlineStr">
        <is>
          <t>{"causal_chain_plausible": true, "causal_chain_text": "L'interazione di gruppo e i movimenti ravvicinati attorno al pannello di controllo possono distrarre gli operatori. Questa distrazione, combinata con la parziale ostruzione della visuale e l'assenza di DPI completi, aumenta il rischio di contatto accidentale con le parti calde o in movimento della pressa a iniezione.", "near_miss_or_incident_scenario": "Un operatore, distratto dalla conversazione o ostacolato nei movimenti dalla presenza degli altri soggetti, attiva inavvertitamente un comando o avvicina la mano alla zona di stampaggio senza adeguata protezione, rischiando uno schiacciamento o un'ustione.", "contributing_factors": ["Interazione e potenziale distrazione di gruppo in prossimità del pannello di controllo", "Mancanza di DPI visibili completi per tutti i soggetti nell'area operativa", "Ostruzione parziale della visuale della zona di lavoro dovuta alla presenza fisica dei soggetti"]}</t>
        </is>
      </c>
      <c r="G26" s="7" t="n">
        <v>15.87</v>
      </c>
      <c r="H26" s="7" t="n">
        <v>18.57</v>
      </c>
      <c r="I26" s="11" t="inlineStr">
        <is>
          <t>verde</t>
        </is>
      </c>
    </row>
    <row r="27" ht="34" customHeight="1">
      <c r="A27" s="7" t="n">
        <v>25</v>
      </c>
      <c r="B27" s="7" t="n">
        <v>50</v>
      </c>
      <c r="C27" s="7" t="n">
        <v>54</v>
      </c>
      <c r="D27" s="7" t="inlineStr">
        <is>
          <t>{"scene_state": "Ambiente industriale interno con operatori vicino a un macchinario.", "environmental_conditions": ["Illuminazione interna costante", "Presenza di materiali e attrezzature sullo sfondo"], "people": ["Tre operatori maschi"], "objects": ["Sedie in plastica colorate impilate", "Pannello di controllo con schermo"], "machines": ["Pressa industriale per stampaggio a iniezione"], "observable_actions": ["Un operatore in maglietta rosa si sposta verso il fondo", "Un operatore in maglietta a righe tocca la spalla dell'operatore in rosa e poi si allontana", "Un operatore in maglietta blu rimane fermo vicino alla macchina"], "visible_ppe": ["Guanti da lavoro blu (indossati da un operatore)"], "notes_visibility_limitations": "Inquadratura fissa dall'alto, alcune occlusioni reciproche tra le persone."}</t>
        </is>
      </c>
      <c r="E27" s="7" t="inlineStr">
        <is>
          <t>{"unsafe_behaviors": ["Interazione fisica (tocco sulla spalla) che può causare distrazione in prossimità di macchinari industriali attivi", "Mancato utilizzo di DPI completi visibili (es. elmetti o abbigliamento ad alta visibilità), ad eccezione dei guanti da lavoro per un solo operatore"], "vulnerable_elements": ["Tre operatori presenti nell'area di lavoro della pressa industriale"], "risk_cues": {"S1_people_vehicle_interference": 0.0, "S2_visibility_attention_reduction": 0.25, "S3_non_compliant_behavior": 0.25, "S4_vehicle_infrastructure_interference": 0.0, "S5_storage_structural_instability": 0.0, "S6_access_to_moving_mechanical_parts": 0.0, "S7_manual_handling_heavy_unstable_loads": 0.0}, "cue_confidence": 0.8, "diagnostic_notes": "L'analisi evidenzia un ambiente di lavoro stabile senza la presenza di mezzi di movimentazione o carichi pesanti sospesi. Si rileva una potenziale distrazione dovuta al contatto fisico tra due operatori vicino alla pressa industriale. Le limitazioni visive sono dovute principalmente all'inquadratura fissa dall'alto e a lievi occlusioni reciproche."}</t>
        </is>
      </c>
      <c r="F27" s="7" t="inlineStr">
        <is>
          <t>{"causal_chain_plausible": true, "causal_chain_text": "L'interazione fisica (tocco sulla spalla) distrae l'operatore in prossimità della pressa a iniezione attiva. Questo calo di attenzione, combinato con la mancanza di DPI completi, può causare un movimento involontario o un posizionamento errato delle mani vicino alle parti calde o in movimento della macchina.", "near_miss_or_incident_scenario": "Un operatore si distrae a causa del contatto fisico e tocca accidentalmente una parte pericolosa o calda della pressa industriale, rischiando un'ustione o uno schiacciamento.", "contributing_factors": ["Distrazione causata da interazione fisica vicino a macchinari attivi", "Mancanza di DPI protettivi completi visibili", "Presenza ravvicinata all'area di lavoro della pressa"]}</t>
        </is>
      </c>
      <c r="G27" s="7" t="n">
        <v>4.57</v>
      </c>
      <c r="H27" s="7" t="n">
        <v>10.17</v>
      </c>
      <c r="I27" s="11" t="inlineStr">
        <is>
          <t>verde</t>
        </is>
      </c>
    </row>
    <row r="28" ht="34" customHeight="1">
      <c r="A28" s="7" t="n">
        <v>26</v>
      </c>
      <c r="B28" s="7" t="n">
        <v>52</v>
      </c>
      <c r="C28" s="7" t="n">
        <v>56</v>
      </c>
      <c r="D28" s="7" t="inlineStr">
        <is>
          <t>{"scene_state": "Ambiente industriale interno, reparto stampaggio materie plastiche.", "environmental_conditions": ["Illuminazione artificiale interna", "Presenza di materiali stoccati sullo sfondo"], "people": ["Operatore con maglietta blu di spalle", "Operatore con maglietta a righe e cappellino a sinistra", "Operatore con maglietta rosa che si allontana sullo sfondo"], "objects": ["Sedie in plastica colorate impilate", "Contenitore o carrello bianco in primo piano"], "machines": ["Pressa ad iniezione per plastica con schermo di controllo acceso"], "observable_actions": ["L'operatore in rosa cammina verso il fondo", "L'operatore in blu si avvicina al carrello bianco", "L'operatore con cappellino rimane fermo sul lato sinistro"], "visible_ppe": ["Non si osservano DPI evidenti"], "notes_visibility_limitations": "La visuale è parzialmente ostruita dai macchinari per la parte inferiore dei corpi."}</t>
        </is>
      </c>
      <c r="E28" s="7" t="inlineStr">
        <is>
          <t>{"unsafe_behaviors": ["Mancato utilizzo visibile di DPI adeguati in area industriale attiva"], "vulnerable_elements": ["Operatore con maglietta blu", "Operatore con maglietta a righe", "Operatore con maglietta rosa"], "risk_cues": {"S1_people_vehicle_interference": 0.0, "S2_visibility_attention_reduction": 0.25, "S3_non_compliant_behavior": 0.5, "S4_vehicle_infrastructure_interference": 0.0, "S5_storage_structural_instability": 0.25, "S6_access_to_moving_mechanical_parts": 0.25, "S7_manual_handling_heavy_unstable_loads": 0.25}, "cue_confidence": 0.8, "diagnostic_notes": "La parziale ostruzione visiva dovuta ai macchinari limita la verifica dei DPI per gli arti inferiori. Non si rilevano mezzi in movimento o situazioni di instabilità strutturale immediata."}</t>
        </is>
      </c>
      <c r="F28" s="7" t="inlineStr">
        <is>
          <t>{"causal_chain_plausible": true, "causal_chain_text": "La mancanza di DPI visibili in un'area con pressa ad iniezione attiva e movimentazione di carrelli espone gli operatori a rischi fisici. L'avvicinamento dell'operatore in blu al carrello bianco, senza adeguate protezioni visibili, può causare lesioni in caso di contatto accidentale o caduta di oggetti.", "near_miss_or_incident_scenario": "Schiacciamento o impatto agli arti inferiori o superiori dell'operatore in maglietta blu durante l'interazione con il carrello bianco in prossimità della pressa ad iniezione.", "contributing_factors": ["Mancato utilizzo visibile di DPI idonei in area industriale attiva", "Operazioni di movimentazione/avvicinamento a carrelli senza protezione verificata", "Presenza di macchinari industriali operativi nel reparto"]}</t>
        </is>
      </c>
      <c r="G28" s="7" t="n">
        <v>20.04</v>
      </c>
      <c r="H28" s="7" t="n">
        <v>19.96</v>
      </c>
      <c r="I28" s="11" t="inlineStr">
        <is>
          <t>verde</t>
        </is>
      </c>
    </row>
    <row r="29" ht="34" customHeight="1">
      <c r="A29" s="7" t="n">
        <v>27</v>
      </c>
      <c r="B29" s="7" t="n">
        <v>54</v>
      </c>
      <c r="C29" s="7" t="n">
        <v>58</v>
      </c>
      <c r="D29" s="7" t="inlineStr">
        <is>
          <t>{"scene_state": "Ambiente industriale attivo, reparto stampaggio materie plastiche.", "environmental_conditions": ["Illuminazione artificiale interna", "Spazio di lavoro parzialmente ingombro"], "people": ["Uomo con maglietta a righe e cappellino in primo piano a sinistra", "Uomo con maglietta blu e jeans che sposta un carrello bianco", "Uomo con maglietta rosa sullo sfondo vicino alle sedie impilate"], "objects": ["Sedie di plastica colorate (rosse, verdi, blu) impilate", "Sacchi bianchi", "Carrello bianco con coperchio rosa", "Tubo nero flessibile su supporto"], "machines": ["Grande pressa per stampaggio a iniezione di colore arancione e grigio con pannello di controllo a schermo blu"], "observable_actions": ["L'uomo in maglietta blu sposta un carrello bianco allontanandosi dalla macchina", "L'uomo con la maglietta a righe cammina verso lo sfondo", "L'uomo sullo sfondo si muove vicino alle sedie impilate"], "visible_ppe": ["Nessun DPI chiaramente visibile"], "notes_visibility_limitations": "La visuale dello sfondo è parzialmente ostruita dal grande macchinario industriale sulla destra."}</t>
        </is>
      </c>
      <c r="E29" s="7" t="inlineStr">
        <is>
          <t>{"unsafe_behaviors": ["Mancato utilizzo visibile di DPI adeguati in un'area di produzione attiva", "Transito di pedoni in aree di lavoro parzialmente ingombre e non chiaramente delimitate"], "vulnerable_elements": ["Operatore che movimenta manualmente il carrello bianco", "Pedoni che transitano in prossimità della pressa per stampaggio"], "risk_cues": {"S1_people_vehicle_interference": 0.25, "S2_visibility_attention_reduction": 0.25, "S3_non_compliant_behavior": 0.5, "S4_vehicle_infrastructure_interference": 0.0, "S5_storage_structural_instability": 0.25, "S6_access_to_moving_mechanical_parts": 0.0, "S7_manual_handling_heavy_unstable_loads": 0.25}, "cue_confidence": 0.8, "diagnostic_notes": "L'analisi evidenzia un potenziale rischio legato alla mancanza di DPI visibili in un reparto produttivo attivo con macchinari pesanti. La presenza di materiale parzialmente ingombrante (sedie impilate, sacchi) e la movimentazione manuale di un carrello in spazi condivisi aumentano il rischio di urti o inciampi. Non si rilevano interferenze critiche con mezzi semoventi o contatti con organi in movimento."}</t>
        </is>
      </c>
      <c r="F29" s="7" t="inlineStr">
        <is>
          <t>{"causal_chain_plausible": true, "causal_chain_text": "La presenza di spazi di lavoro parzialmente ingombri da sacchi e sedie impilate, unita alla movimentazione manuale di un carrello e al transito di pedoni senza DPI visibili, crea un rischio di interferenza. Un passo falso o una distrazione durante il transito vicino al carrello o agli ostacoli può causare una caduta o un urto.", "near_miss_or_incident_scenario": "Un operatore in transito urta il carrello bianco movimentato manualmente o inciampa nei sacchi/sedie depositati a terra, riportando contusioni favorite dall'assenza di DPI protettivi.", "contributing_factors": ["Spazio di lavoro parzialmente ingombro da materiali e sedie", "Mancanza di delimitazione chiara delle vie di transito pedonale", "Movimentazione manuale del carrello in prossimità di altri pedoni", "Mancato utilizzo visibile di dispositivi di protezione individuale (DPI)"]}</t>
        </is>
      </c>
      <c r="G29" s="7" t="n">
        <v>11.52</v>
      </c>
      <c r="H29" s="7" t="n">
        <v>14.9</v>
      </c>
      <c r="I29" s="11" t="inlineStr">
        <is>
          <t>verde</t>
        </is>
      </c>
    </row>
    <row r="30" ht="34" customHeight="1">
      <c r="A30" s="7" t="n">
        <v>28</v>
      </c>
      <c r="B30" s="7" t="n">
        <v>56</v>
      </c>
      <c r="C30" s="7" t="n">
        <v>60</v>
      </c>
      <c r="D30" s="7" t="inlineStr">
        <is>
          <t>{"scene_state": "Ambiente industriale, reparto stampaggio materie plastiche.", "environmental_conditions": ["Illuminazione artificiale interna", "Ambiente di lavoro al coperto"], "people": ["Un operatore con maglietta a righe e jeans", "Un operatore con maglietta blu"], "objects": ["Sacchi bianchi di materia prima", "Sedie di plastica colorate impilate", "Tavolo bianco in primo piano"], "machines": ["Grande pressa a iniezione per plastica con pannello di controllo"], "observable_actions": ["L'operatore con la maglia a righe si allontana verso sinistra", "L'operatore con la maglia blu si sposta sullo sfondo"], "visible_ppe": ["Non si osservano DPI evidenti"], "notes_visibility_limitations": "La visuale è parzialmente ostruita dal grande macchinario in primo piano."}</t>
        </is>
      </c>
      <c r="E30" s="7" t="inlineStr">
        <is>
          <t>{"unsafe_behaviors": ["Mancato utilizzo visibile di DPI idonei in un'area industriale con macchinari pesanti", "Spostamento in aree con visibilità parzialmente ostruita dal macchinario senza apparente coordinamento visivo"], "vulnerable_elements": ["Operatore con maglietta a righe", "Operatore con maglietta blu"], "risk_cues": {"S1_people_vehicle_interference": 0.0, "S2_visibility_attention_reduction": 0.25, "S3_non_compliant_behavior": 0.25, "S4_vehicle_infrastructure_interference": 0.0, "S5_storage_structural_instability": 0.0, "S6_access_to_moving_mechanical_parts": 0.0, "S7_manual_handling_heavy_unstable_loads": 0.0}, "cue_confidence": 0.8, "diagnostic_notes": "Gli operatori si muovono all'interno del reparto di stampaggio senza interagire direttamente con la pressa o movimentare carichi. La parziale ostruzione della visuale causata dal grande macchinario in primo piano introduce un lieve rischio di visibilità (S2). Si rileva l'assenza di DPI evidenti (S3) in un ambiente potenzialmente rumoroso o con rischi di schiacciamento/urto. Non si registrano interferenze con mezzi o instabilità di carichi."}</t>
        </is>
      </c>
      <c r="F30" s="7" t="inlineStr">
        <is>
          <t>{"causal_chain_plausible": true, "causal_chain_text": "La presenza di un grande macchinario che ostruisce parzialmente la visuale, combinata con lo spostamento degli operatori nell'area di lavoro senza DPI evidenti, può portare a collisioni accidentali o cadute. Un operatore potrebbe non avvedersi di un pericolo o di un ostacolo a causa della visuale ridotta, subendo un infortunio che l'assenza di DPI protettivi potrebbe aggravare.", "near_miss_or_incident_scenario": "Un operatore si sposta dietro la pressa a iniezione e, a causa della visibilità limitata e della presenza di ostacoli come sacchi o sedie, inciampa o urta una parte del macchinario, riportando lesioni personali non mitigate da DPI idonei.", "contributing_factors": ["Mancato utilizzo visibile di DPI idonei in area industriale", "Visibilità limitata causata dall'ingombro della pressa a iniezione", "Presenza di potenziali ostacoli fisici nell'area di transito"]}</t>
        </is>
      </c>
      <c r="G30" s="7" t="n">
        <v>4.57</v>
      </c>
      <c r="H30" s="7" t="n">
        <v>8.699999999999999</v>
      </c>
      <c r="I30" s="11" t="inlineStr">
        <is>
          <t>verde</t>
        </is>
      </c>
    </row>
    <row r="31" ht="34" customHeight="1">
      <c r="A31" s="7" t="n">
        <v>29</v>
      </c>
      <c r="B31" s="7" t="n">
        <v>58</v>
      </c>
      <c r="C31" s="7" t="n">
        <v>62</v>
      </c>
      <c r="D31" s="7" t="inlineStr">
        <is>
          <t>{"scene_state": "Interno di uno stabilimento industriale per lo stampaggio di materie plastiche.", "environmental_conditions": ["Illuminazione artificiale interna", "Ambiente di lavoro industriale"], "people": ["Un operatore situato sullo sfondo a sinistra."], "objects": ["Sedie in plastica impilate di vari colori (rosso, verde, blu)", "Grandi sacchi bianchi a terra", "Un piccolo mobiletto bianco in primo piano con un oggetto sopra", "Un cilindro nero verticale sulla sinistra"], "machines": ["Grande pressa per stampaggio a iniezione (marca MIR) di colore arancione e beige, dotata di pannello di controllo con schermo acceso"], "observable_actions": ["L'operatore sullo sfondo movimenta o sistema le sedie di plastica impilate."], "visible_ppe": ["Non chiaramente distinguibili a causa della distanza dell'operatore dalla telecamera."], "notes_visibility_limitations": "La distanza dell'operatore e la presenza del grande macchinario in primo piano limitano la visibilità dei dettagli del lavoratore e dei suoi DPI."}</t>
        </is>
      </c>
      <c r="E31" s="7" t="inlineStr">
        <is>
          <t>{"unsafe_behaviors": ["Possibile movimentazione manuale di carichi ingombranti (pile di sedie) senza ausili, sebbene il peso sia presumibilmente ridotto."], "vulnerable_elements": ["Operatore sullo sfondo a sinistra"], "risk_cues": {"S1_people_vehicle_interference": 0.0, "S2_visibility_attention_reduction": 0.25, "S3_non_compliant_behavior": 0.25, "S4_vehicle_infrastructure_interference": 0.0, "S5_storage_structural_instability": 0.25, "S6_access_to_moving_mechanical_parts": 0.0, "S7_manual_handling_heavy_unstable_loads": 0.25}, "cue_confidence": 0.7, "diagnostic_notes": "L'analisi è limitata dalla distanza dell'operatore e dalla presenza della grande pressa MIR in primo piano. L'operatore movimenta sedie di plastica impilate: l'attività comporta un carico potenzialmente ingombrante (S7) e instabile (S5), ma presumibilmente leggero. Non è possibile verificare l'uso dei DPI (S3) a causa della distanza."}</t>
        </is>
      </c>
      <c r="F31" s="7" t="inlineStr">
        <is>
          <t>{"causal_chain_plausible": true, "causal_chain_text": "La movimentazione manuale di una pila di sedie ingombrante e instabile riduce la visibilità dell'operatore sul percorso. Questo, unito alla presenza di ostacoli a terra come i sacchi bianchi, aumenta il rischio di perdita di equilibrio, inciampo o caduta del carico.", "near_miss_or_incident_scenario": "L'operatore perde il controllo della pila di sedie durante lo spostamento, causandone la caduta improvvisa con potenziale rischio di inciampo, urto o lesione da sforzo nel tentativo di trattenere il carico.", "contributing_factors": ["Movimentazione manuale di un carico volumetrico e instabile (sedie impilate)", "Presenza di ingombri a terra (grandi sacchi bianchi) che limitano lo spazio di manovra sicuro", "Possibile riduzione della visibilità anteriore dell'operatore durante il trasporto", "Distanza della telecamera che impedisce la verifica dell'uso di DPI protettivi adeguati"]}</t>
        </is>
      </c>
      <c r="G31" s="7" t="n">
        <v>5.73</v>
      </c>
      <c r="H31" s="7" t="n">
        <v>7.21</v>
      </c>
      <c r="I31" s="11" t="inlineStr">
        <is>
          <t>verde</t>
        </is>
      </c>
    </row>
    <row r="32" ht="34" customHeight="1">
      <c r="A32" s="7" t="n">
        <v>30</v>
      </c>
      <c r="B32" s="7" t="n">
        <v>60</v>
      </c>
      <c r="C32" s="7" t="n">
        <v>62.533</v>
      </c>
      <c r="D32" s="7" t="inlineStr">
        <is>
          <t>{"scene_state": "Ambiente industriale, reparto stampaggio materie plastiche, scena statica.", "environmental_conditions": ["Illuminazione artificiale interna", "Ambiente di lavoro al chiuso"], "people": [], "objects": ["Sedie di plastica impilate (colori verde, rosso, blu)", "Sacchi bianchi", "Bobina o cilindro nero", "Scatola bianca con dettagli colorati su un tavolo"], "machines": ["Pressa per stampaggio a iniezione (marca MIR) di colore arancione e beige con pannello di controllo digitale"], "observable_actions": [], "visible_ppe": [], "notes_visibility_limitations": "Inquadratura fissa da telecamera di sicurezza. Nessuna persona presente nell'area visibile."}</t>
        </is>
      </c>
      <c r="E32" s="7" t="inlineStr">
        <is>
          <t>{"unsafe_behaviors": [], "vulnerable_elements": [], "risk_cues": {"S1_people_vehicle_interference": 0.0, "S2_visibility_attention_reduction": 0.0, "S3_non_compliant_behavior": 0.0, "S4_vehicle_infrastructure_interference": 0.0, "S5_storage_structural_instability": 0.0, "S6_access_to_moving_mechanical_parts": 0.0, "S7_manual_handling_heavy_unstable_loads": 0.0}, "cue_confidence": 1.0, "diagnostic_notes": "La scena è completamente statica e priva di personale o mezzi di movimentazione in transito. Non si rilevano situazioni di rischio attive o comportamenti non conformi nei parametri analizzati (S1-S7)."}</t>
        </is>
      </c>
      <c r="F32" s="7" t="inlineStr">
        <is>
          <t>{"causal_chain_plausible": false, "causal_chain_text": "La scena è completamente statica, priva di personale, mezzi in movimento o attività in corso. Non si riscontrano anomalie nello stoccaggio dei materiali o nella disposizione dei macchinari che possano innescare una catena causale d'incidente.", "near_miss_or_incident_scenario": "Nessun scenario di incidente o near miss è ipotizzabile sulla base degli elementi statici e conformi osservati.", "contributing_factors": []}</t>
        </is>
      </c>
      <c r="G32" s="7" t="n">
        <v>1.2</v>
      </c>
      <c r="H32" s="7" t="n">
        <v>3.6</v>
      </c>
      <c r="I32" s="11" t="inlineStr">
        <is>
          <t>verde</t>
        </is>
      </c>
    </row>
    <row r="33" ht="34" customHeight="1">
      <c r="A33" s="7" t="n">
        <v>31</v>
      </c>
      <c r="B33" s="7" t="n">
        <v>62</v>
      </c>
      <c r="C33" s="7" t="n">
        <v>62.533</v>
      </c>
      <c r="D33" s="7" t="inlineStr">
        <is>
          <t>{"scene_state": "Ambiente industriale interno, reparto stampaggio materie plastiche, statico e senza operatori visibili.", "environmental_conditions": ["Illuminazione artificiale interna", "Ambiente di lavoro coperto"], "people": [], "objects": ["Sedie in plastica colorate impilate", "Sacchi bianchi di materiale", "Bobina di tubo nero", "Scatola bianca"], "machines": ["Pressa ad iniezione industriale MIR arancione e beige con schermo di controllo attivo"], "observable_actions": [], "visible_ppe": [], "notes_visibility_limitations": "Inquadratura fissa. La visuale è limitata ai macchinari e alle attrezzature nel raggio visivo della telecamera."}</t>
        </is>
      </c>
      <c r="E33" s="7" t="inlineStr">
        <is>
          <t>{"unsafe_behaviors": [], "vulnerable_elements": [], "risk_cues": {"S1_people_vehicle_interference": 0.0, "S2_visibility_attention_reduction": 0.0, "S3_non_compliant_behavior": 0.0, "S4_vehicle_infrastructure_interference": 0.0, "S5_storage_structural_instability": 0.0, "S6_access_to_moving_mechanical_parts": 0.0, "S7_manual_handling_heavy_unstable_loads": 0.0}, "cue_confidence": 0.95, "diagnostic_notes": "La scena si presenta completamente statica e priva di personale o mezzi di movimentazione in transito. Non si rilevano situazioni di rischio attive o comportamenti non conformi nelle categorie analizzate."}</t>
        </is>
      </c>
      <c r="F33" s="7" t="inlineStr">
        <is>
          <t>{"causal_chain_plausible": false, "causal_chain_text": "Non si rileva alcuna catena causale plausibile. La scena è completamente statica, priva di personale e non mostra elementi di pericolo o anomalie strutturali o operative nei macchinari e nei materiali stoccati.", "near_miss_or_incident_scenario": "Nessun near miss o incidente è prevedibile sulla base degli elementi visivi descritti, che mostrano un ambiente in stato di sicurezza e momentanea inattività.", "contributing_factors": []}</t>
        </is>
      </c>
      <c r="G33" s="7" t="n">
        <v>1.2</v>
      </c>
      <c r="H33" s="7" t="n">
        <v>2.16</v>
      </c>
      <c r="I33" s="11" t="inlineStr">
        <is>
          <t>verde</t>
        </is>
      </c>
    </row>
  </sheetData>
  <pageMargins left="0.75" right="0.75" top="1" bottom="1" header="0.5" footer="0.5"/>
  <drawing xmlns:r="http://schemas.openxmlformats.org/officeDocument/2006/relationships" r:id="rId1"/>
</worksheet>
</file>

<file path=xl/worksheets/sheet6.xml><?xml version="1.0" encoding="utf-8"?>
<worksheet xmlns="http://schemas.openxmlformats.org/spreadsheetml/2006/main">
  <sheetPr>
    <outlinePr summaryBelow="1" summaryRight="1"/>
    <pageSetUpPr/>
  </sheetPr>
  <dimension ref="A1:E33"/>
  <sheetViews>
    <sheetView showGridLines="1" zoomScale="80" workbookViewId="0">
      <pane ySplit="1" topLeftCell="A2" activePane="bottomLeft" state="frozen"/>
      <selection pane="bottomLeft" activeCell="A1" sqref="A1"/>
    </sheetView>
  </sheetViews>
  <sheetFormatPr baseColWidth="8" defaultRowHeight="15"/>
  <cols>
    <col width="6" customWidth="1" min="1" max="1"/>
    <col width="7" customWidth="1" min="2" max="2"/>
    <col width="7" customWidth="1" min="3" max="3"/>
    <col width="14" customWidth="1" min="4" max="4"/>
    <col width="14" customWidth="1" min="5" max="5"/>
  </cols>
  <sheetData>
    <row r="1" ht="16" customHeight="1">
      <c r="A1" s="6" t="inlineStr">
        <is>
          <t>window_id</t>
        </is>
      </c>
      <c r="B1" s="6" t="inlineStr">
        <is>
          <t>start_time_s</t>
        </is>
      </c>
      <c r="C1" s="6" t="inlineStr">
        <is>
          <t>end_time_s</t>
        </is>
      </c>
      <c r="D1" s="6" t="inlineStr">
        <is>
          <t>vlm_free_scoring_json</t>
        </is>
      </c>
      <c r="E1" s="6" t="inlineStr">
        <is>
          <t>vlm_guided_scoring_json</t>
        </is>
      </c>
    </row>
    <row r="2" ht="34" customHeight="1">
      <c r="A2" s="7" t="n">
        <v>0</v>
      </c>
      <c r="B2" s="7" t="n">
        <v>0</v>
      </c>
      <c r="C2" s="7" t="n">
        <v>4</v>
      </c>
      <c r="D2" s="7" t="inlineStr">
        <is>
          <t>{"instantaneous_risk_score": 85.0, "score_rationale": "La situazione presenta un rischio elevato (85/100) a causa della presenza ravvicinata dell'Operatore 1 alla zona di movimento dello stampo della pressa senza DPI visibili, in concomitanza con la posizione dell'Operatore 2 vicino al pannello di controllo. Questa configurazione espone a un grave pericolo di schiacciamento, cesoiamento o intrappolamento degli arti in caso di attivazione accidentale o automatica del macchinario, aggravato dall'assenza di barriere fisiche di protezione visibili o di procedure di Lockout/Tagout."}</t>
        </is>
      </c>
      <c r="E2" s="7" t="inlineStr">
        <is>
          <t>{"risk_score_0_100": 55, "score_rationale": "Il punteggio riflette un rischio significativo dovuto alla vicinanza dell'operatore all'apertura della pressa a iniezione senza barriere protettive visibili, esponendolo a potenziali lesioni gravi. La parziale visibilità dall'alto limita tuttavia la valutazione completa dei DPI e dei sistemi di sicurezza attivi."}</t>
        </is>
      </c>
    </row>
    <row r="3" ht="34" customHeight="1">
      <c r="A3" s="7" t="n">
        <v>1</v>
      </c>
      <c r="B3" s="7" t="n">
        <v>2</v>
      </c>
      <c r="C3" s="7" t="n">
        <v>6</v>
      </c>
      <c r="D3" s="7" t="inlineStr">
        <is>
          <t>{"instantaneous_risk_score": 95.0, "score_rationale": "L'operatore inserisce l'intero braccio destro all'interno della zona di stampaggio di una pressa a iniezione senza DPI visibili e senza evidenza di procedure di Lockout/Tagout (LOTO) o barriere di sicurezza attive. Questa azione comporta un rischio critico e immediato di schiacciamento, amputazione o gravi ustioni in caso di attivazione accidentale o guasto del macchinario."}</t>
        </is>
      </c>
      <c r="E3" s="7" t="inlineStr">
        <is>
          <t>{"risk_score_0_100": 85, "score_rationale": "L'inserimento della mano nell'area di stampaggio di una pressa aperta, senza DPI e in assenza di barriere di sicurezza visibili, espone l'operatore a un rischio imminente di schiacciamento o amputazione. Questo comportamento altamente non conforme richiede l'arresto immediato dell'attività per prevenire un grave infortunio."}</t>
        </is>
      </c>
    </row>
    <row r="4" ht="34" customHeight="1">
      <c r="A4" s="7" t="n">
        <v>2</v>
      </c>
      <c r="B4" s="7" t="n">
        <v>4</v>
      </c>
      <c r="C4" s="7" t="n">
        <v>8</v>
      </c>
      <c r="D4" s="7" t="inlineStr">
        <is>
          <t>{"instantaneous_risk_score": 85.0, "score_rationale": "Il punteggio di 85 riflette un rischio molto elevato. L'operatore inserisce le mani nude all'interno della pressa a iniezione senza guanti protettivi, esponendosi a gravi rischi di ustione termica dovuta al contatto con il pezzo caldo o lo stampo. Inoltre, l'assenza di barriere visibili e l'interazione diretta con la zona di stampaggio comportano un grave rischio di schiacciamento degli arti superiori in caso di malfunzionamento o avvio accidentale del macchinario."}</t>
        </is>
      </c>
      <c r="E4" s="7" t="inlineStr">
        <is>
          <t>{"risk_score_0_100": 75, "score_rationale": "Il punteggio riflette un rischio elevato dovuto all'accesso manuale diretto all'interno della pressa senza l'uso di guanti protettivi. Questa azione espone l'operatore a gravi pericoli di ustione termica e schiacciamento degli arti superiori."}</t>
        </is>
      </c>
    </row>
    <row r="5" ht="34" customHeight="1">
      <c r="A5" s="7" t="n">
        <v>3</v>
      </c>
      <c r="B5" s="7" t="n">
        <v>6</v>
      </c>
      <c r="C5" s="7" t="n">
        <v>10</v>
      </c>
      <c r="D5" s="7" t="inlineStr">
        <is>
          <t>{"instantaneous_risk_score": 55.0, "score_rationale": "Il punteggio di 55 riflette un rischio moderato dovuto alla manipolazione diretta di componenti plastici appena stampati (potenzialmente caldi) senza l'uso di guanti protettivi termici da parte dell'operatore in t-shirt rosa. Inoltre, la mancanza di occhiali di sicurezza in prossimità di una pressa a iniezione attiva e l'area di lavoro parzialmente ingombra aumentano la probabilità di infortuni."}</t>
        </is>
      </c>
      <c r="E5" s="7" t="inlineStr">
        <is>
          <t>{"risk_score_0_100": 55, "score_rationale": "Il punteggio riflette un rischio significativo dovuto alla manipolazione diretta di componenti plastici potenzialmente caldi senza l'uso di guanti protettivi da parte dell'operatore in maglietta rosa. Questa non conformità espone il lavoratore a un rischio immediato di ustioni termiche e lesioni da contatto."}</t>
        </is>
      </c>
    </row>
    <row r="6" ht="34" customHeight="1">
      <c r="A6" s="7" t="n">
        <v>4</v>
      </c>
      <c r="B6" s="7" t="n">
        <v>8</v>
      </c>
      <c r="C6" s="7" t="n">
        <v>12</v>
      </c>
      <c r="D6" s="7" t="inlineStr">
        <is>
          <t>{"instantaneous_risk_score": 75.0, "score_rationale": "Il punteggio di 75 è giustificato dalla combinazione di comportamenti pericolosi e carenze nei dispositivi di protezione. L'operatore 1 si china in un punto cieco vicino a una pressa a iniezione attiva, mentre l'operatore 2 interagisce con i comandi del macchinario senza una linea visiva diretta sul collega, creando un rischio concreto di avviamento accidentale o contatto con parti in movimento. Inoltre, la mancanza di DPI fondamentali come elmetti e occhiali di sicurezza per entrambi i soggetti eleva notevolmente la gravità di un potenziale infortunio."}</t>
        </is>
      </c>
      <c r="E6" s="7" t="inlineStr">
        <is>
          <t>{"risk_score_0_100": 35, "score_rationale": "Il punteggio riflette un rischio moderato dovuto alla possibile mancanza di guanti protettivi per l'operatore in maglietta rosa e alla sua postura chinata vicino alla pressa attiva. L'attenzione del collega è rivolta al pannello, riducendo la supervisione reciproca in un'area con parti potenzialmente pericolose."}</t>
        </is>
      </c>
    </row>
    <row r="7" ht="34" customHeight="1">
      <c r="A7" s="7" t="n">
        <v>5</v>
      </c>
      <c r="B7" s="7" t="n">
        <v>10</v>
      </c>
      <c r="C7" s="7" t="n">
        <v>14</v>
      </c>
      <c r="D7" s="7" t="inlineStr">
        <is>
          <t>{"instantaneous_risk_score": 65.0, "score_rationale": "Il punteggio di 65 è giustificato dall'assenza di DPI visibili (come elmetti, occhiali protettivi e calzature di sicurezza) in un'area con macchinari industriali attivi. La vicinanza degli operatori alle parti in movimento della pressa e la presenza di materiali depositati nei passaggi (rischio d'inciampo) configurano una situazione di rischio moderato-alto che richiede interventi correttivi."}</t>
        </is>
      </c>
      <c r="E7" s="7" t="inlineStr">
        <is>
          <t>{"risk_score_0_100": 65, "score_rationale": "Il punteggio riflette un rischio significativo dovuto alla mancanza di DPI visibili e alla ridotta consapevolezza situazionale dei due operatori vicini alla pressa. La posizione di spalle dell'addetto al pannello e la postura chinata del collega aumentano sensibilmente il pericolo di avviamento accidentale e infortuni gravi."}</t>
        </is>
      </c>
    </row>
    <row r="8" ht="34" customHeight="1">
      <c r="A8" s="7" t="n">
        <v>6</v>
      </c>
      <c r="B8" s="7" t="n">
        <v>12</v>
      </c>
      <c r="C8" s="7" t="n">
        <v>16</v>
      </c>
      <c r="D8" s="7" t="inlineStr">
        <is>
          <t>{"instantaneous_risk_score": 65.0, "score_rationale": "Il punteggio di 65 è giustificato dalla presenza di più operatori che lavorano a stretto contatto con una pressa a iniezione attiva senza alcun Dispositivo di Protezione Individuale (DPI) visibile (come occhiali di sicurezza, elmetti o protezioni acustiche). Sebbene non vi siano comportamenti palesemente pericolosi o incidenti in corso, la totale assenza di DPI in un ambiente di stampaggio plastico ad alta pressione e temperatura configura una violazione delle norme di sicurezza e un rischio medio-alto di lesioni in caso di anomalie del macchinario o contatti accidentali."}</t>
        </is>
      </c>
      <c r="E8" s="7" t="inlineStr">
        <is>
          <t>{"risk_score_0_100": 35, "score_rationale": "Il rischio è moderato a causa del mancato utilizzo di DPI visibili da parte degli operatori in un reparto di stampaggio attivo vicino a una pressa ad iniezione. Sebbene non vi siano pericoli immediati o mezzi in movimento, la non conformità aumenta la vulnerabilità a infortuni accidentali."}</t>
        </is>
      </c>
    </row>
    <row r="9" ht="34" customHeight="1">
      <c r="A9" s="7" t="n">
        <v>7</v>
      </c>
      <c r="B9" s="7" t="n">
        <v>14</v>
      </c>
      <c r="C9" s="7" t="n">
        <v>18</v>
      </c>
      <c r="D9" s="7" t="inlineStr">
        <is>
          <t>{"instantaneous_risk_score": 35.0, "score_rationale": "Il punteggio di 35 indica un rischio moderato. Sebbene l'attività sia standard e le barriere della pressa siano attive, si riscontra la mancanza di DPI essenziali come occhiali protettivi (rischio schizzi di plastica fusa) ed elmetti. Inoltre, la vicinanza dell'operatore di supporto alla zona di stampaggio rappresenta un potenziale pericolo in caso di anomalie."}</t>
        </is>
      </c>
      <c r="E9" s="7" t="inlineStr">
        <is>
          <t>{"risk_score_0_100": 10, "score_rationale": "Il livello di rischio è basso poiché le attività si svolgono in condizioni ordinarie e controllate, senza fonti di pericolo attive o mezzi in movimento. La parziale riduzione della consapevolezza posteriore dell'operatore al pannello è compensata dalla presenza di un secondo operatore nell'area."}</t>
        </is>
      </c>
    </row>
    <row r="10" ht="34" customHeight="1">
      <c r="A10" s="7" t="n">
        <v>8</v>
      </c>
      <c r="B10" s="7" t="n">
        <v>16</v>
      </c>
      <c r="C10" s="7" t="n">
        <v>20</v>
      </c>
      <c r="D10" s="7" t="inlineStr">
        <is>
          <t>{"instantaneous_risk_score": 40.0, "score_rationale": "Il punteggio di 40 indica un rischio moderato. Sebbene gli operatori utilizzino i guanti protettivi, si rileva la mancanza di DPI importanti come occhiali di sicurezza ed elmetti in prossimità di una pressa industriale. Inoltre, la presenza di materiali stoccati vicino all'area operativa e l'interazione con il pannello di controllo, con visuale parzialmente ostruita, rappresentano fattori di attenzione per prevenire potenziali contatti accidentali o bypass di sicurezza."}</t>
        </is>
      </c>
      <c r="E10" s="7" t="inlineStr">
        <is>
          <t>{"risk_score_0_100": 25, "score_rationale": "Il rischio è moderato poiché gli operatori lavorano in una zona protetta davanti al pannello, ma presentano una ridotta consapevolezza situazionale dovuta alla posizione di spalle e al possibile rumore ambientale. Non si rilevano minacce immediate o elementi di pericolo imminente nell'area circostante."}</t>
        </is>
      </c>
    </row>
    <row r="11" ht="34" customHeight="1">
      <c r="A11" s="7" t="n">
        <v>9</v>
      </c>
      <c r="B11" s="7" t="n">
        <v>18</v>
      </c>
      <c r="C11" s="7" t="n">
        <v>22</v>
      </c>
      <c r="D11" s="7" t="inlineStr">
        <is>
          <t>{"instantaneous_risk_score": 50.0, "score_rationale": "Il punteggio di 50 indica un livello di rischio moderato. Sebbene gli operatori stiano eseguendo procedure standard e indossino guanti protettivi, si rileva la mancata adozione di DPI critici come elmetti di protezione (sostituiti da un cappellino con visiera) e occhiali di sicurezza. Operare in prossimità di una pressa per stampaggio a iniezione attiva senza queste protezioni espone il personale a rischi di lesioni oculari e traumi cranici in caso di proiezioni di materiale o contatti accidentali con parti meccaniche."}</t>
        </is>
      </c>
      <c r="E11" s="7" t="inlineStr">
        <is>
          <t>{"risk_score_0_100": 15, "score_rationale": "Il livello di rischio è basso poiché gli operatori adottano comportamenti conformi e utilizzano i DPI necessari. L'unica lieve criticità è la ridotta consapevolezza situazionale dell'operatore di destra che lavora di spalle rispetto all'area di transito."}</t>
        </is>
      </c>
    </row>
    <row r="12" ht="34" customHeight="1">
      <c r="A12" s="7" t="n">
        <v>10</v>
      </c>
      <c r="B12" s="7" t="n">
        <v>20</v>
      </c>
      <c r="C12" s="7" t="n">
        <v>24</v>
      </c>
      <c r="D12" s="7" t="inlineStr">
        <is>
          <t>{"instantaneous_risk_score": 35.0, "score_rationale": "Il punteggio riflette un rischio moderato. Sebbene gli operatori indossino guanti protettivi e operino in condizioni apparentemente normali, la prossimità a una pressa industriale pesante in funzione e la potenziale assenza di DPI critici (come occhiali di protezione ed elmetto) in un'area di stampaggio a caldo comportano un livello di rischio latente che richiede vigilanza."}</t>
        </is>
      </c>
      <c r="E12" s="7" t="inlineStr">
        <is>
          <t>{"risk_score_0_100": 15, "score_rationale": "Il rischio è basso poiché gli operatori svolgono attività standard indossando i guanti protettivi e senza mostrare comportamenti non conformi. Rimane una minima attenzione dovuta alla presenza della pressa industriale e alla parziale limitazione visiva degli arti inferiori."}</t>
        </is>
      </c>
    </row>
    <row r="13" ht="34" customHeight="1">
      <c r="A13" s="7" t="n">
        <v>11</v>
      </c>
      <c r="B13" s="7" t="n">
        <v>22</v>
      </c>
      <c r="C13" s="7" t="n">
        <v>26</v>
      </c>
      <c r="D13" s="7" t="inlineStr">
        <is>
          <t>{"instantaneous_risk_score": 90.0, "score_rationale": "Il punteggio di 90 è giustificato dall'elevata criticità dell'operazione: un operatore interviene manualmente direttamente all'interno della zona dello stampo di una pressa ad iniezione potenzialmente alimentata, esponendosi al rischio gravissimo di schiacciamento o amputazione degli arti superiori. La presenza di un secondo operatore nelle immediate vicinanze aumenta il rischio di attivazione accidentale o di mancato coordinamento. Inoltre, si rileva il mancato utilizzo di DPI fondamentali come l'elmetto protettivo e gli occhiali di sicurezza."}</t>
        </is>
      </c>
      <c r="E13" s="7" t="inlineStr">
        <is>
          <t>{"risk_score_0_100": 20, "score_rationale": "Il livello di rischio è basso poiché gli operatori indossano i DPI necessari e non mostrano comportamenti non conformi. Permane un rischio residuo minimo dovuto alla prossimità alla pressa industriale e alla visibilità parzialmente limitata della zona di lavoro."}</t>
        </is>
      </c>
    </row>
    <row r="14" ht="34" customHeight="1">
      <c r="A14" s="7" t="n">
        <v>12</v>
      </c>
      <c r="B14" s="7" t="n">
        <v>24</v>
      </c>
      <c r="C14" s="7" t="n">
        <v>28</v>
      </c>
      <c r="D14" s="7" t="inlineStr">
        <is>
          <t>{"instantaneous_risk_score": 60.0, "score_rationale": "Il punteggio di 60 riflette un livello di rischio moderato ma significativo. Gli operatori lavorano a distanza ridotta dagli organi in movimento della pressa ad iniezione, esponendo le mani a potenziali rischi di schiacciamento o cesoiamento in caso di avvio imprevisto del ciclo. Sebbene utilizzino guanti protettivi, si rileva la mancanza di altri DPI importanti come occhiali di sicurezza e protezione per il capo in un ambiente."}</t>
        </is>
      </c>
      <c r="E14" s="7" t="inlineStr">
        <is>
          <t>{"risk_score_0_100": 30, "score_rationale": "Il rischio è moderato a causa della stretta vicinanza degli operatori a una pressa a iniezione industriale in funzione. Pur non essendoci comportamenti scorretti e indossando i guanti protettivi, la prossimità a parti meccaniche in movimento richiede un livello di attenzione costante."}</t>
        </is>
      </c>
    </row>
    <row r="15" ht="34" customHeight="1">
      <c r="A15" s="7" t="n">
        <v>13</v>
      </c>
      <c r="B15" s="7" t="n">
        <v>26</v>
      </c>
      <c r="C15" s="7" t="n">
        <v>30</v>
      </c>
      <c r="D15" s="7" t="inlineStr">
        <is>
          <t>{"instantaneous_risk_score": 60.0, "score_rationale": "Il punteggio di 60 è giustificato dalla presenza di operatori che lavorano a distanza ravvicinata da una pressa industriale attiva senza i necessari DPI (elmetto e occhiali protettivi). La mancanza di barriere fisiche visibili tra i lavoratori e la zona di stampaggio, unita al rischio di contatto con parti calde o in movimento e alla possibile proiezione di frammenti, configura una situazione di rischio moderato-alto per la sicurezza."}</t>
        </is>
      </c>
      <c r="E15" s="7" t="inlineStr">
        <is>
          <t>{"risk_score_0_100": 35, "score_rationale": "Il punteggio riflette un rischio moderato dovuto alla vicinanza della mano dell'operatore alla struttura della pressa, con potenziale esposizione a parti calde o in movimento. L'uso di guanti protettivi e l'assenza di comportamenti palesemente scorretti mantengono il livello di pericolo sotto la soglia critica."}</t>
        </is>
      </c>
    </row>
    <row r="16" ht="34" customHeight="1">
      <c r="A16" s="7" t="n">
        <v>14</v>
      </c>
      <c r="B16" s="7" t="n">
        <v>28</v>
      </c>
      <c r="C16" s="7" t="n">
        <v>32</v>
      </c>
      <c r="D16" s="7" t="inlineStr">
        <is>
          <t>{"instantaneous_risk_score": 60.0, "score_rationale": "Il punteggio di 60 è giustificato dalla presenza di una pressa a iniezione attiva in concomitanza con evidenti lacune di sicurezza. Si rileva la mancanza di DPI essenziali (come occhiali protettivi ed elmetti) per gli operatori esposti a macchinari pesanti. Inoltre, l'uso di un dispositivo portatile da parte di un operatore in prossimità della macchina introduce un fattore di distrazione, aumentando il rischio di contatti accidentali con parti in movimento o superfici calde."}</t>
        </is>
      </c>
      <c r="E16" s="7" t="inlineStr">
        <is>
          <t>{"risk_score_0_100": 30, "score_rationale": "Il rischio è moderato a causa della potenziale distrazione dell'operatore che utilizza un dispositivo portatile vicino alla pressa a iniezione attiva e della mancanza di DPI visibili adeguati per l'area industriale. Non si rilevano pericoli immediati legati a mezzi in movimento o carichi sospesi."}</t>
        </is>
      </c>
    </row>
    <row r="17" ht="34" customHeight="1">
      <c r="A17" s="7" t="n">
        <v>15</v>
      </c>
      <c r="B17" s="7" t="n">
        <v>30</v>
      </c>
      <c r="C17" s="7" t="n">
        <v>34</v>
      </c>
      <c r="D17" s="7" t="inlineStr">
        <is>
          <t>{"instantaneous_risk_score": 65.0, "score_rationale": "Il punteggio di 65 riflette un rischio medio-alto dovuto alla presenza di operatori a stretto contatto con una pressa ad iniezione senza i DPI necessari (occhiali di sicurezza, elmetti) e con un operatore palesemente distratto da un dispositivo palmare. La combinazione di distrazione e mancanza di protezione aumenta significativamente la probabilità e la gravità di potenziali infortuni (ustioni, proiezioni di materiale caldo, contatti accidentali)."}</t>
        </is>
      </c>
      <c r="E17" s="7" t="inlineStr">
        <is>
          <t>{"risk_score_0_100": 35, "score_rationale": "Il livello di rischio è moderato a causa della potenziale distrazione dell'operatore che consulta il dispositivo portatile in prossimità della pressa industriale. La presenza di sedie impilate nell'area di lavoro costituisce un ulteriore elemento di intralcio che potrebbe causare inciampi."}</t>
        </is>
      </c>
    </row>
    <row r="18" ht="34" customHeight="1">
      <c r="A18" s="7" t="n">
        <v>16</v>
      </c>
      <c r="B18" s="7" t="n">
        <v>32</v>
      </c>
      <c r="C18" s="7" t="n">
        <v>36</v>
      </c>
      <c r="D18" s="7" t="inlineStr">
        <is>
          <t>{"instantaneous_risk_score": 75.0, "score_rationale": "Il punteggio di 75 è giustificato dall'interazione diretta dell'operatore principale con la zona operativa di una pressa a iniezione attiva in totale assenza di DPI visibili (come guanti o protezioni per gli arti). La prossimità fisica alle parti meccaniche in movimento, combinata con la mancanza di barriere di sicurezza attive visibili, genera un rischio concreto e immediato di schiacciamento o intrappolamento delle mani."}</t>
        </is>
      </c>
      <c r="E18" s="7" t="inlineStr">
        <is>
          <t>{"risk_score_0_100": 55, "score_rationale": "Il punteggio riflette un rischio significativo dovuto all'interazione manuale diretta con la pressa MIR senza evidenza di procedure di isolamento energetico (LOTO). Questo comportamento espone l'operatore a potenziali pericoli di schiacciamento o ustione in caso di attivazione accidentale della macchina."}</t>
        </is>
      </c>
    </row>
    <row r="19" ht="34" customHeight="1">
      <c r="A19" s="7" t="n">
        <v>17</v>
      </c>
      <c r="B19" s="7" t="n">
        <v>34</v>
      </c>
      <c r="C19" s="7" t="n">
        <v>38</v>
      </c>
      <c r="D19" s="7" t="inlineStr">
        <is>
          <t>{"instantaneous_risk_score": 75.0, "score_rationale": "Il punteggio di 75 è motivato dalla presenza di un operatore appoggiato direttamente alla struttura di una pressa ad iniezione attiva in una postura rilassata, che riduce i tempi di reazione. La vicinanza alla zona di chiusura del macchinario, combinata con la mancanza di DPI specifici (come occhiali di protezione ed elmetti) per entrambi i soggetti, genera un rischio concreto di schiacciamento o intrappolamento degli arti superiori in caso di anomalie o cicli non coordinati."}</t>
        </is>
      </c>
      <c r="E19" s="7" t="inlineStr">
        <is>
          <t>{"risk_score_0_100": 72, "score_rationale": "Il punteggio riflette un rischio significativo dovuto alla presenza della mano dell'operatore in prossimità della zona di stampaggio della pressa, aggravato dalla distrazione del collega che distoglie lo sguardo dall'area di pericolo. La potenziale gravità di un infortunio da schiacciamento in questa zona richiede un monitoraggio immediato."}</t>
        </is>
      </c>
    </row>
    <row r="20" ht="34" customHeight="1">
      <c r="A20" s="7" t="n">
        <v>18</v>
      </c>
      <c r="B20" s="7" t="n">
        <v>36</v>
      </c>
      <c r="C20" s="7" t="n">
        <v>40</v>
      </c>
      <c r="D20" s="7" t="inlineStr">
        <is>
          <t>{"instantaneous_risk_score": 65.0, "score_rationale": "L'operatore si sporge verso la zona interna dello stampo di una pressa a iniezione attiva per effettuare un controllo visivo. L'avvicinamento a parti potenzialmente calde o in movimento, combinato con la mancanza di DPI adeguati (assenza di occhiali protettivi e presenza di un solo guanto), determina un rischio moderato-alto di schiacciamento o ustione in caso di mancato funzionamento dei sistemi di interblocco."}</t>
        </is>
      </c>
      <c r="E20" s="7" t="inlineStr">
        <is>
          <t>{"risk_score_0_100": 80, "score_rationale": "L'inserimento della mano all'interno della zona stampo di una pressa a iniezione senza evidenza di isolamento energetico (LOTO) espone l'operatore a un rischio critico di schiacciamento e amputazione. Il guanto indossato non offre alcuna protezione contro le forze meccaniche della macchina in caso di avvio intempestivo."}</t>
        </is>
      </c>
    </row>
    <row r="21" ht="34" customHeight="1">
      <c r="A21" s="7" t="n">
        <v>19</v>
      </c>
      <c r="B21" s="7" t="n">
        <v>38</v>
      </c>
      <c r="C21" s="7" t="n">
        <v>42</v>
      </c>
      <c r="D21" s="7" t="inlineStr">
        <is>
          <t>{"instantaneous_risk_score": 85.0, "score_rationale": "Il punteggio di 85 riflette un rischio molto elevato. Un operatore sta lavorando con le mani direttamente all'interno della zona di stampaggio di una pressa a iniezione senza evidenza di procedure di isolamento energetico (LOTO). La presenza di un secondo operatore vicino al pannello di controllo aumenta drasticamente il rischio di attivazione accidentale del macchinario, con conseguente pericolo di schiacciamento o amputazione degli arti superiori. Si rileva inoltre una carenza di DPI adeguati."}</t>
        </is>
      </c>
      <c r="E21" s="7" t="inlineStr">
        <is>
          <t>{"risk_score_0_100": 85, "score_rationale": "Il punteggio elevato è giustificato dal gravissimo rischio di schiacciamento degli arti per l'operatore che lavora nella zona stampo senza l'applicazione visibile delle procedure di Lockout/Tagout (LOTO), mentre un altro agisce sul pannello di controllo attivo. La potenziale attivazione accidentale della pressa ad iniezione configura una situazione di imminente pericolo di infortunio grave."}</t>
        </is>
      </c>
    </row>
    <row r="22" ht="34" customHeight="1">
      <c r="A22" s="7" t="n">
        <v>20</v>
      </c>
      <c r="B22" s="7" t="n">
        <v>40</v>
      </c>
      <c r="C22" s="7" t="n">
        <v>44</v>
      </c>
      <c r="D22" s="7" t="inlineStr">
        <is>
          <t>{"instantaneous_risk_score": 92.0, "score_rationale": "Il punteggio di rischio è estremamente elevato (92) a causa della presenza dell'Operatore 2 parzialmente all'interno della zona stampo della pressa a iniezione mentre l'Operatore 3 agisce sul pannello di controllo. Questa configurazione, in assenza di procedure LOTO (Lockout/Tagout) visibili o barriere di sicurezza attive, espone l'operatore a un rischio imminente di schiacciamento o intrappolamento grave in caso di attivazione accidentale del macchinario. Si rileva inoltre la quasi totale assenza di DPI fondamentali (elmetti, occhiali, calzature di sicurezza)."}</t>
        </is>
      </c>
      <c r="E22" s="7" t="inlineStr">
        <is>
          <t>{"risk_score_0_100": 60, "score_rationale": "Il punteggio riflette un rischio significativo dovuto alla presenza di un operatore chinato vicino alla pressa mentre un altro agisce sul pannello di controllo, con pericolo di avviamento accidentale. La situazione è aggravata dalla mancanza di DPI visibili completi e dalla ridotta visibilità dell'operatore esposto."}</t>
        </is>
      </c>
    </row>
    <row r="23" ht="34" customHeight="1">
      <c r="A23" s="7" t="n">
        <v>21</v>
      </c>
      <c r="B23" s="7" t="n">
        <v>42</v>
      </c>
      <c r="C23" s="7" t="n">
        <v>46</v>
      </c>
      <c r="D23" s="7" t="inlineStr">
        <is>
          <t>{"instantaneous_risk_score": 90.0, "score_rationale": "Il punteggio di 90 è giustificato dall'elevata criticità dell'intervento manuale all'interno di una pressa a iniezione potenzialmente attiva (pannello acceso) senza evidenza di procedure di Lockout/Tagout (LOTO). La totale assenza di DPI visibili (elmetti, guanti, occhiali) e lo spazio di manovra ristretto espongono gli operatori a rischi severi di schiacciamento, intrappolamento e urti alla testa."}</t>
        </is>
      </c>
      <c r="E23" s="7" t="inlineStr">
        <is>
          <t>{"risk_score_0_100": 65, "score_rationale": "Il punteggio riflette un rischio significativo dovuto alla totale assenza di DPI visibili durante un intervento operativo in prossimità di una pressa industriale. Inoltre, le posture incongrue e la ridotta visibilità dei lavoratori aumentano la probabilità di infortuni o contatti accidentali con parti pericolose."}</t>
        </is>
      </c>
    </row>
    <row r="24" ht="34" customHeight="1">
      <c r="A24" s="7" t="n">
        <v>22</v>
      </c>
      <c r="B24" s="7" t="n">
        <v>44</v>
      </c>
      <c r="C24" s="7" t="n">
        <v>48</v>
      </c>
      <c r="D24" s="7" t="inlineStr">
        <is>
          <t>{"instantaneous_risk_score": 80.0, "score_rationale": "Il punteggio di 80 è giustificato dalla presenza di un operatore chinato intento a effettuare un intervento manuale o ispezione su un macchinario industriale pesante (pressa ad iniezione) potenzialmente attivo, in totale assenza di Dispositivi di Protezione Individuale (DPI) come elmetto e occhiali di sicurezza. Questa condizione espone i lavoratori a rischi concreti di lesioni oculari per proiezione di materiali e traumi cranici da urto contro le parti metalliche della macchina."}</t>
        </is>
      </c>
      <c r="E24" s="7" t="inlineStr">
        <is>
          <t>{"risk_score_0_100": 65, "score_rationale": "Il punteggio riflette un rischio significativo dovuto alla presenza di operatori a ridosso di una pressa a iniezione attiva senza alcun DPI visibile, in particolare occhiali protettivi. Questa non-conformità espone i lavoratori a gravi lesioni oculari o ustioni in caso di proiezione accidentale di materiale plastico fuso o detriti."}</t>
        </is>
      </c>
    </row>
    <row r="25" ht="34" customHeight="1">
      <c r="A25" s="7" t="n">
        <v>23</v>
      </c>
      <c r="B25" s="7" t="n">
        <v>46</v>
      </c>
      <c r="C25" s="7" t="n">
        <v>50</v>
      </c>
      <c r="D25" s="7" t="inlineStr">
        <is>
          <t>{"instantaneous_risk_score": 70.0, "score_rationale": "Il punteggio di 70 riflette una situazione di rischio medio-alto. Gli operatori interagiscono a distanza ravvicinata con una pressa per stampaggio a iniezione attiva (pannello di controllo acceso) e indicano l'area di chiusura senza indossare alcun Dispositivo di Protezione Individuale (DPI) essenziale, come occhiali protettivi, elmetti o abbigliamento da lavoro idoneo. L'assenza di DPI in prossimità di parti in movimento e ad alta temperatura configura una chiara violazione delle norme di sicurezza e un potenziale pericolo di infortunio (schiacciamento, ustioni o lesioni oculari)."}</t>
        </is>
      </c>
      <c r="E25" s="7" t="inlineStr">
        <is>
          <t>{"risk_score_0_100": 45, "score_rationale": "Il punteggio riflette un rischio moderato dovuto alla totale assenza di DPI visibili in un'area di stampaggio e alla potenziale distrazione dell'operatore vicino alla pressa MIR. La vicinanza a parti meccaniche in movimento aumenta la probabilità di infortuni in caso di contatto accidentale."}</t>
        </is>
      </c>
    </row>
    <row r="26" ht="34" customHeight="1">
      <c r="A26" s="7" t="n">
        <v>24</v>
      </c>
      <c r="B26" s="7" t="n">
        <v>48</v>
      </c>
      <c r="C26" s="7" t="n">
        <v>52</v>
      </c>
      <c r="D26" s="7" t="inlineStr">
        <is>
          <t>{"instantaneous_risk_score": 95.0, "score_rationale": "Il punteggio di 95 riflette una situazione di imminente e gravissimo pericolo per l'incolumità dell'operatore. L'inserimento del busto e degli arti superiori direttamente nella zona di chiusura dello stampo di una pressa ad iniezione, in assenza di barriere di sicurezza attive o di una procedura di isolamento energetico (LOTO) verificata, espone il lavoratore a un rischio critico di schiacciamento, cesoiamento fatale o gravi ustioni. La presenza di un altro operatore vicino al pannello di controllo aumenta ulteriormente il rischio di un azionamento accidentale della macchina durante l'intervento manuale."}</t>
        </is>
      </c>
      <c r="E26" s="7" t="inlineStr">
        <is>
          <t>{"risk_score_0_100": 35, "score_rationale": "Il punteggio riflette un rischio moderato dovuto alla potenziale distrazione del gruppo di operatori in prossimità del pannello di controllo della pressa a iniezione. Inoltre, la mancanza di DPI completi visibili per tutti i soggetti aumenta la vulnerabilità in caso di contatto accidentale con parti calde o in movimento."}</t>
        </is>
      </c>
    </row>
    <row r="27" ht="34" customHeight="1">
      <c r="A27" s="7" t="n">
        <v>25</v>
      </c>
      <c r="B27" s="7" t="n">
        <v>50</v>
      </c>
      <c r="C27" s="7" t="n">
        <v>54</v>
      </c>
      <c r="D27" s="7" t="inlineStr">
        <is>
          <t>{"instantaneous_risk_score": 80.0, "score_rationale": "Il punteggio riflette un rischio elevato dovuto alla combinazione di un'interazione fisica anomala (possibile malore o tensione) tra gli operatori in prossimità di una pressa a iniezione attiva, unita alla quasi totale assenza di DPI obbligatori (come elmetti e occhiali di sicurezza). La distrazione e l'instabilità dei soggetti vicino a parti calde o in movimento del macchinario aumentano significativamente la probabilità di gravi infortuni o contatti accidentali."}</t>
        </is>
      </c>
      <c r="E27" s="7" t="inlineStr">
        <is>
          <t>{"risk_score_0_100": 30, "score_rationale": "Il rischio è moderato a causa della distrazione generata dal contatto fisico tra gli operatori in prossimità della pressa industriale attiva. Inoltre, il mancato utilizzo di DPI completi aumenta la vulnerabilità a potenziali infortuni in caso di contatto accidentale."}</t>
        </is>
      </c>
    </row>
    <row r="28" ht="34" customHeight="1">
      <c r="A28" s="7" t="n">
        <v>26</v>
      </c>
      <c r="B28" s="7" t="n">
        <v>52</v>
      </c>
      <c r="C28" s="7" t="n">
        <v>56</v>
      </c>
      <c r="D28" s="7" t="inlineStr">
        <is>
          <t>{"instantaneous_risk_score": 60.0, "score_rationale": "Il punteggio di 60 indica un livello di rischio moderato-alto. Nonostante non vi siano incidenti in corso, si osserva una diffusa non conformità nell'uso dei DPI: tre operatori si trovano in prossimità di un macchinario pesante attivo (pressa ad iniezione) senza elmetto protettivo o gilet ad alta visibilità (solo uno indossa guanti). Inoltre, la presenza di un contenitore bianco a terra in una zona di transito e l'area parzialmente ingombrata aumentano il rischio di inciampo e caduta, mentre l'interazione ravvicinata con la pressa comporta un potenziale rischio di schiacciamento degli arti."}</t>
        </is>
      </c>
      <c r="E28" s="7" t="inlineStr">
        <is>
          <t>{"risk_score_0_100": 35, "score_rationale": "Il punteggio riflette un rischio moderato dovuto al mancato utilizzo visibile di DPI idonei in un reparto produttivo attivo con presse ad iniezione. L'interazione dell'operatore con il carrello senza protezioni evidenti aumenta la probabilità di infortuni minori o schiacciamenti."}</t>
        </is>
      </c>
    </row>
    <row r="29" ht="34" customHeight="1">
      <c r="A29" s="7" t="n">
        <v>27</v>
      </c>
      <c r="B29" s="7" t="n">
        <v>54</v>
      </c>
      <c r="C29" s="7" t="n">
        <v>58</v>
      </c>
      <c r="D29" s="7" t="inlineStr">
        <is>
          <t>{"instantaneous_risk_score": 50.0, "score_rationale": "Il punteggio di 50 indica un livello di rischio moderato. Pur non essendoci un incidente imminente, si rilevano diverse criticità per la sicurezza: l'area di lavoro è parzialmente ingombra di materiali che limitano le vie di transito e di fuga (rischio inciampo), si nota una carenza di DPI essenziali (mancanza di elmetti e protezioni oculari/acustiche visibili) e la movimentazione manuale del carrello avviene in uno spazio ristretto a ridosso di un altro operatore, aumentando il rischio di collisione o schiacciamento."}</t>
        </is>
      </c>
      <c r="E29" s="7" t="inlineStr">
        <is>
          <t>{"risk_score_0_100": 35, "score_rationale": "Il rischio è moderato a causa della presenza di ostacoli nell'area di lavoro e della movimentazione manuale di un carrello vicino a pedoni privi di DPI visibili. L'assenza di pericoli imminenti ad alta energia o di mezzi semoventi in transito evita una classificazione di rischio superiore."}</t>
        </is>
      </c>
    </row>
    <row r="30" ht="34" customHeight="1">
      <c r="A30" s="7" t="n">
        <v>28</v>
      </c>
      <c r="B30" s="7" t="n">
        <v>56</v>
      </c>
      <c r="C30" s="7" t="n">
        <v>60</v>
      </c>
      <c r="D30" s="7" t="inlineStr">
        <is>
          <t>{"instantaneous_risk_score": 50.0, "score_rationale": "Il punteggio riflette un rischio moderato dovuto alla presenza di ostacoli a terra (sacchi) e passaggi angusti in prossimità di una pressa ad iniezione attiva. La mancanza di DPI visibili (come indumenti ad alta visibilità) e la parziale ostruzione visiva aumentano il rischio di inciampo o urto accidentale per gli operatori nell'area."}</t>
        </is>
      </c>
      <c r="E30" s="7" t="inlineStr">
        <is>
          <t>{"risk_score_0_100": 30, "score_rationale": "Il rischio è moderato a causa del mancato utilizzo visibile di DPI in un reparto industriale e della visibilità parzialmente ostruita dal macchinario. Non si rilevano tuttavia interazioni dirette con organi in movimento o mezzi di trasporto che aumenterebbero la gravità."}</t>
        </is>
      </c>
    </row>
    <row r="31" ht="34" customHeight="1">
      <c r="A31" s="7" t="n">
        <v>29</v>
      </c>
      <c r="B31" s="7" t="n">
        <v>58</v>
      </c>
      <c r="C31" s="7" t="n">
        <v>62</v>
      </c>
      <c r="D31" s="7" t="inlineStr">
        <is>
          <t>{"instantaneous_risk_score": 45.0, "score_rationale": "Il punteggio di 45 indica un rischio moderato. La presenza di vie di passaggio ristrette e parzialmente ostruite da sacchi di materia prima e pile di sedie aumenta il rischio di inciampo o scivolamento per l'operatore. Inoltre, la potenziale instabilità dei materiali impilati e l'impossibilità di verificare l'uso di DPI adeguati (come scarpe antinfortunistiche o gilet ad alta visibilità) in un'area di produzione e stoccaggio rappresentano elementi di criticità per la sicurezza ordinaria sicurezza."}</t>
        </is>
      </c>
      <c r="E31" s="7" t="inlineStr">
        <is>
          <t>{"risk_score_0_100": 30, "score_rationale": "Il rischio è moderato a causa della movimentazione manuale di un carico ingombrante e potenzialmente instabile in presenza di ostacoli a terra come i sacchi bianchi. Inoltre, la distanza impedisce di verificare l'adozione dei dispositivi di protezione individuale idonei."}</t>
        </is>
      </c>
    </row>
    <row r="32" ht="34" customHeight="1">
      <c r="A32" s="7" t="n">
        <v>30</v>
      </c>
      <c r="B32" s="7" t="n">
        <v>60</v>
      </c>
      <c r="C32" s="7" t="n">
        <v>62.533</v>
      </c>
      <c r="D32" s="7" t="inlineStr">
        <is>
          <t>{"instantaneous_risk_score": 15.0, "score_rationale": "Il livello di rischio è basso (15) poiché non vi è presenza di personale nell'area e il macchinario è in uno stato statico, escludendo pericoli immediati di infortunio. Tuttavia, non è pari a zero a causa del disordine e dell'accumulo di materiali (sedie impilate e sacchi) in prossimità della pressa, che rappresentano un potenziale intralcio alle vie di fuga e di manovra per gli operatori."}</t>
        </is>
      </c>
      <c r="E32" s="7" t="inlineStr">
        <is>
          <t>{"risk_score_0_100": 0, "score_rationale": "L'area è completamente deserta e priva di attività lavorative o mezzi in movimento. Non si rilevano comportamenti non conformi o anomalie nello stoccaggio, mantenendo il livello di rischio a zero."}</t>
        </is>
      </c>
    </row>
    <row r="33" ht="34" customHeight="1">
      <c r="A33" s="7" t="n">
        <v>31</v>
      </c>
      <c r="B33" s="7" t="n">
        <v>62</v>
      </c>
      <c r="C33" s="7" t="n">
        <v>62.533</v>
      </c>
      <c r="D33" s="7" t="inlineStr">
        <is>
          <t>{"instantaneous_risk_score": 25.0, "score_rationale": "Il punteggio riflette un rischio latente medio-basso. Non sono presenti operatori esposti a pericoli immediati né si registrano anomalie nel macchinario. Tuttavia, la presenza di ostacoli a terra (sacchi e scatole) in prossimità della pressa configura un rischio di inciampo e potenziale intralcio alle vie di fuga o ai comandi di emergenza."}</t>
        </is>
      </c>
      <c r="E33" s="7" t="inlineStr">
        <is>
          <t>{"risk_score_0_100": 0, "score_rationale": "La scena è completamente statica, priva di personale e di mezzi in movimento, con i macchinari in stato di sicurezza. Non si rileva alcuna situazione di pericolo o comportamento non conforme, giustificando un livello di rischio nullo."}</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M267"/>
  <sheetViews>
    <sheetView showGridLines="1" zoomScale="80" workbookViewId="0">
      <pane ySplit="1" topLeftCell="A2" activePane="bottomLeft" state="frozen"/>
      <selection pane="bottomLeft" activeCell="A1" sqref="A1"/>
    </sheetView>
  </sheetViews>
  <sheetFormatPr baseColWidth="8" defaultRowHeight="15"/>
  <cols>
    <col width="7" customWidth="1" min="1" max="1"/>
    <col width="14" customWidth="1" min="2" max="2"/>
    <col width="10" customWidth="1" min="3" max="3"/>
    <col width="12" customWidth="1" min="4" max="4"/>
    <col width="6" customWidth="1" min="5" max="5"/>
    <col width="11" customWidth="1" min="6" max="6"/>
    <col width="8" customWidth="1" min="7" max="7"/>
    <col width="8" customWidth="1" min="8" max="8"/>
    <col width="8" customWidth="1" min="9" max="9"/>
    <col width="10" customWidth="1" min="10" max="10"/>
    <col width="8" customWidth="1" min="11" max="11"/>
    <col width="16" customWidth="1" min="12" max="12"/>
    <col width="9" customWidth="1" min="13" max="13"/>
  </cols>
  <sheetData>
    <row r="1" ht="16" customHeight="1">
      <c r="A1" s="2" t="inlineStr">
        <is>
          <t>execution_order</t>
        </is>
      </c>
      <c r="B1" s="2" t="inlineStr">
        <is>
          <t>timestamp</t>
        </is>
      </c>
      <c r="C1" s="14" t="inlineStr">
        <is>
          <t>branch_name</t>
        </is>
      </c>
      <c r="D1" s="14" t="inlineStr">
        <is>
          <t>block_name</t>
        </is>
      </c>
      <c r="E1" s="2" t="inlineStr">
        <is>
          <t>window_id</t>
        </is>
      </c>
      <c r="F1" s="14" t="inlineStr">
        <is>
          <t>model_name</t>
        </is>
      </c>
      <c r="G1" s="14" t="inlineStr">
        <is>
          <t>input_tokens</t>
        </is>
      </c>
      <c r="H1" s="14" t="inlineStr">
        <is>
          <t>output_tokens</t>
        </is>
      </c>
      <c r="I1" s="14" t="inlineStr">
        <is>
          <t>total_tokens</t>
        </is>
      </c>
      <c r="J1" s="14" t="inlineStr">
        <is>
          <t>usage_source</t>
        </is>
      </c>
      <c r="K1" s="14" t="inlineStr">
        <is>
          <t>status</t>
        </is>
      </c>
      <c r="L1" s="14" t="inlineStr">
        <is>
          <t>error</t>
        </is>
      </c>
      <c r="M1" s="14" t="inlineStr">
        <is>
          <t>branch_api_call_count</t>
        </is>
      </c>
    </row>
    <row r="2" ht="34" customHeight="1">
      <c r="A2" s="7" t="n">
        <v>1</v>
      </c>
      <c r="B2" s="7" t="inlineStr">
        <is>
          <t>2026-07-30T12:56:06Z</t>
        </is>
      </c>
      <c r="C2" s="7" t="inlineStr">
        <is>
          <t>vlm_free</t>
        </is>
      </c>
      <c r="D2" s="7" t="inlineStr">
        <is>
          <t>vlm_free_descriptive_causal</t>
        </is>
      </c>
      <c r="E2" s="7" t="n">
        <v>0</v>
      </c>
      <c r="F2" s="7" t="inlineStr">
        <is>
          <t>gemini-3.5-flash</t>
        </is>
      </c>
      <c r="G2" s="7" t="n">
        <v>736</v>
      </c>
      <c r="H2" s="7" t="n">
        <v>722</v>
      </c>
      <c r="I2" s="7" t="n">
        <v>2881</v>
      </c>
      <c r="J2" s="7" t="inlineStr">
        <is>
          <t>sdk_usage_metadata</t>
        </is>
      </c>
      <c r="K2" s="7" t="inlineStr">
        <is>
          <t>success</t>
        </is>
      </c>
      <c r="L2" s="7" t="inlineStr"/>
      <c r="M2" s="7" t="n">
        <v>1</v>
      </c>
    </row>
    <row r="3" ht="34" customHeight="1">
      <c r="A3" s="7" t="n">
        <v>2</v>
      </c>
      <c r="B3" s="7" t="inlineStr">
        <is>
          <t>2026-07-30T12:56:09Z</t>
        </is>
      </c>
      <c r="C3" s="7" t="inlineStr">
        <is>
          <t>vlm_free</t>
        </is>
      </c>
      <c r="D3" s="7" t="inlineStr">
        <is>
          <t>vlm_free_scoring</t>
        </is>
      </c>
      <c r="E3" s="7" t="n">
        <v>0</v>
      </c>
      <c r="F3" s="7" t="inlineStr">
        <is>
          <t>gemini-3.5-flash</t>
        </is>
      </c>
      <c r="G3" s="7" t="n">
        <v>1015</v>
      </c>
      <c r="H3" s="7" t="n">
        <v>130</v>
      </c>
      <c r="I3" s="7" t="n">
        <v>1432</v>
      </c>
      <c r="J3" s="7" t="inlineStr">
        <is>
          <t>sdk_usage_metadata</t>
        </is>
      </c>
      <c r="K3" s="7" t="inlineStr">
        <is>
          <t>success</t>
        </is>
      </c>
      <c r="L3" s="7" t="inlineStr"/>
      <c r="M3" s="7" t="n">
        <v>2</v>
      </c>
    </row>
    <row r="4" ht="34" customHeight="1">
      <c r="A4" s="7" t="n">
        <v>3</v>
      </c>
      <c r="B4" s="7" t="inlineStr">
        <is>
          <t>2026-07-30T12:56:13Z</t>
        </is>
      </c>
      <c r="C4" s="7" t="inlineStr">
        <is>
          <t>vlm_free</t>
        </is>
      </c>
      <c r="D4" s="7" t="inlineStr">
        <is>
          <t>vlm_free_scoring</t>
        </is>
      </c>
      <c r="E4" s="7" t="n">
        <v>0</v>
      </c>
      <c r="F4" s="7" t="inlineStr">
        <is>
          <t>gemini-3.5-flash</t>
        </is>
      </c>
      <c r="G4" s="7" t="n">
        <v>1015</v>
      </c>
      <c r="H4" s="7" t="n">
        <v>150</v>
      </c>
      <c r="I4" s="7" t="n">
        <v>1652</v>
      </c>
      <c r="J4" s="7" t="inlineStr">
        <is>
          <t>sdk_usage_metadata</t>
        </is>
      </c>
      <c r="K4" s="7" t="inlineStr">
        <is>
          <t>success</t>
        </is>
      </c>
      <c r="L4" s="7" t="inlineStr"/>
      <c r="M4" s="7" t="n">
        <v>3</v>
      </c>
    </row>
    <row r="5" ht="34" customHeight="1">
      <c r="A5" s="7" t="n">
        <v>4</v>
      </c>
      <c r="B5" s="7" t="inlineStr">
        <is>
          <t>2026-07-30T12:56:20Z</t>
        </is>
      </c>
      <c r="C5" s="7" t="inlineStr">
        <is>
          <t>vlm_free</t>
        </is>
      </c>
      <c r="D5" s="7" t="inlineStr">
        <is>
          <t>vlm_free_scoring</t>
        </is>
      </c>
      <c r="E5" s="7" t="n">
        <v>0</v>
      </c>
      <c r="F5" s="7" t="inlineStr">
        <is>
          <t>gemini-3.5-flash</t>
        </is>
      </c>
      <c r="G5" s="7" t="n">
        <v>1015</v>
      </c>
      <c r="H5" s="7" t="n">
        <v>158</v>
      </c>
      <c r="I5" s="7" t="n">
        <v>2058</v>
      </c>
      <c r="J5" s="7" t="inlineStr">
        <is>
          <t>sdk_usage_metadata</t>
        </is>
      </c>
      <c r="K5" s="7" t="inlineStr">
        <is>
          <t>success</t>
        </is>
      </c>
      <c r="L5" s="7" t="inlineStr"/>
      <c r="M5" s="7" t="n">
        <v>4</v>
      </c>
    </row>
    <row r="6" ht="34" customHeight="1">
      <c r="A6" s="7" t="n">
        <v>5</v>
      </c>
      <c r="B6" s="7" t="inlineStr">
        <is>
          <t>2026-07-30T12:56:24Z</t>
        </is>
      </c>
      <c r="C6" s="7" t="inlineStr">
        <is>
          <t>vlm_free</t>
        </is>
      </c>
      <c r="D6" s="7" t="inlineStr">
        <is>
          <t>vlm_free_scoring</t>
        </is>
      </c>
      <c r="E6" s="7" t="n">
        <v>0</v>
      </c>
      <c r="F6" s="7" t="inlineStr">
        <is>
          <t>gemini-3.5-flash</t>
        </is>
      </c>
      <c r="G6" s="7" t="n">
        <v>1015</v>
      </c>
      <c r="H6" s="7" t="n">
        <v>154</v>
      </c>
      <c r="I6" s="7" t="n">
        <v>1672</v>
      </c>
      <c r="J6" s="7" t="inlineStr">
        <is>
          <t>sdk_usage_metadata</t>
        </is>
      </c>
      <c r="K6" s="7" t="inlineStr">
        <is>
          <t>success</t>
        </is>
      </c>
      <c r="L6" s="7" t="inlineStr"/>
      <c r="M6" s="7" t="n">
        <v>5</v>
      </c>
    </row>
    <row r="7" ht="34" customHeight="1">
      <c r="A7" s="7" t="n">
        <v>6</v>
      </c>
      <c r="B7" s="7" t="inlineStr">
        <is>
          <t>2026-07-30T12:56:31Z</t>
        </is>
      </c>
      <c r="C7" s="7" t="inlineStr">
        <is>
          <t>common</t>
        </is>
      </c>
      <c r="D7" s="7" t="inlineStr">
        <is>
          <t>guided_descriptive_prompt</t>
        </is>
      </c>
      <c r="E7" s="7" t="n">
        <v>0</v>
      </c>
      <c r="F7" s="7" t="inlineStr">
        <is>
          <t>gemini-3.5-flash</t>
        </is>
      </c>
      <c r="G7" s="7" t="n">
        <v>576</v>
      </c>
      <c r="H7" s="7" t="n">
        <v>304</v>
      </c>
      <c r="I7" s="7" t="n">
        <v>1959</v>
      </c>
      <c r="J7" s="7" t="inlineStr">
        <is>
          <t>sdk_usage_metadata</t>
        </is>
      </c>
      <c r="K7" s="7" t="inlineStr">
        <is>
          <t>success</t>
        </is>
      </c>
      <c r="L7" s="7" t="inlineStr"/>
      <c r="M7" s="7" t="n">
        <v>1</v>
      </c>
    </row>
    <row r="8" ht="34" customHeight="1">
      <c r="A8" s="7" t="n">
        <v>7</v>
      </c>
      <c r="B8" s="7" t="inlineStr">
        <is>
          <t>2026-07-30T12:56:40Z</t>
        </is>
      </c>
      <c r="C8" s="7" t="inlineStr">
        <is>
          <t>common</t>
        </is>
      </c>
      <c r="D8" s="7" t="inlineStr">
        <is>
          <t>guided_question_set</t>
        </is>
      </c>
      <c r="E8" s="7" t="n">
        <v>0</v>
      </c>
      <c r="F8" s="7" t="inlineStr">
        <is>
          <t>gemini-3.5-flash</t>
        </is>
      </c>
      <c r="G8" s="7" t="n">
        <v>1782</v>
      </c>
      <c r="H8" s="7" t="n">
        <v>329</v>
      </c>
      <c r="I8" s="7" t="n">
        <v>3842</v>
      </c>
      <c r="J8" s="7" t="inlineStr">
        <is>
          <t>sdk_usage_metadata</t>
        </is>
      </c>
      <c r="K8" s="7" t="inlineStr">
        <is>
          <t>success</t>
        </is>
      </c>
      <c r="L8" s="7" t="inlineStr"/>
      <c r="M8" s="7" t="n">
        <v>2</v>
      </c>
    </row>
    <row r="9" ht="34" customHeight="1">
      <c r="A9" s="7" t="n">
        <v>8</v>
      </c>
      <c r="B9" s="7" t="inlineStr">
        <is>
          <t>2026-07-30T12:56:46Z</t>
        </is>
      </c>
      <c r="C9" s="7" t="inlineStr">
        <is>
          <t>common</t>
        </is>
      </c>
      <c r="D9" s="7" t="inlineStr">
        <is>
          <t>guided_causal_engine</t>
        </is>
      </c>
      <c r="E9" s="7" t="n">
        <v>0</v>
      </c>
      <c r="F9" s="7" t="inlineStr">
        <is>
          <t>gemini-3.5-flash</t>
        </is>
      </c>
      <c r="G9" s="7" t="n">
        <v>916</v>
      </c>
      <c r="H9" s="7" t="n">
        <v>234</v>
      </c>
      <c r="I9" s="7" t="n">
        <v>2085</v>
      </c>
      <c r="J9" s="7" t="inlineStr">
        <is>
          <t>sdk_usage_metadata</t>
        </is>
      </c>
      <c r="K9" s="7" t="inlineStr">
        <is>
          <t>success</t>
        </is>
      </c>
      <c r="L9" s="7" t="inlineStr"/>
      <c r="M9" s="7" t="n">
        <v>3</v>
      </c>
    </row>
    <row r="10" ht="34" customHeight="1">
      <c r="A10" s="7" t="n">
        <v>9</v>
      </c>
      <c r="B10" s="7" t="inlineStr">
        <is>
          <t>2026-07-30T12:56:51Z</t>
        </is>
      </c>
      <c r="C10" s="7" t="inlineStr">
        <is>
          <t>vlm_guided</t>
        </is>
      </c>
      <c r="D10" s="7" t="inlineStr">
        <is>
          <t>vlm_guided_scoring</t>
        </is>
      </c>
      <c r="E10" s="7" t="n">
        <v>0</v>
      </c>
      <c r="F10" s="7" t="inlineStr">
        <is>
          <t>gemini-3.5-flash</t>
        </is>
      </c>
      <c r="G10" s="7" t="n">
        <v>1137</v>
      </c>
      <c r="H10" s="7" t="n">
        <v>99</v>
      </c>
      <c r="I10" s="7" t="n">
        <v>2056</v>
      </c>
      <c r="J10" s="7" t="inlineStr">
        <is>
          <t>sdk_usage_metadata</t>
        </is>
      </c>
      <c r="K10" s="7" t="inlineStr">
        <is>
          <t>success</t>
        </is>
      </c>
      <c r="L10" s="7" t="inlineStr"/>
      <c r="M10" s="7" t="n">
        <v>1</v>
      </c>
    </row>
    <row r="11" ht="34" customHeight="1">
      <c r="A11" s="7" t="n">
        <v>10</v>
      </c>
      <c r="B11" s="7" t="inlineStr">
        <is>
          <t>2026-07-30T12:57:18Z</t>
        </is>
      </c>
      <c r="C11" s="7" t="inlineStr">
        <is>
          <t>vlm_free</t>
        </is>
      </c>
      <c r="D11" s="7" t="inlineStr">
        <is>
          <t>vlm_free_descriptive_causal</t>
        </is>
      </c>
      <c r="E11" s="7" t="n">
        <v>1</v>
      </c>
      <c r="F11" s="7" t="inlineStr">
        <is>
          <t>gemini-3.5-flash</t>
        </is>
      </c>
      <c r="G11" s="7" t="n">
        <v>736</v>
      </c>
      <c r="H11" s="7" t="n">
        <v>731</v>
      </c>
      <c r="I11" s="7" t="n">
        <v>3077</v>
      </c>
      <c r="J11" s="7" t="inlineStr">
        <is>
          <t>sdk_usage_metadata</t>
        </is>
      </c>
      <c r="K11" s="7" t="inlineStr">
        <is>
          <t>success</t>
        </is>
      </c>
      <c r="L11" s="7" t="inlineStr"/>
      <c r="M11" s="7" t="n">
        <v>6</v>
      </c>
    </row>
    <row r="12" ht="34" customHeight="1">
      <c r="A12" s="7" t="n">
        <v>11</v>
      </c>
      <c r="B12" s="7" t="inlineStr">
        <is>
          <t>2026-07-30T12:57:22Z</t>
        </is>
      </c>
      <c r="C12" s="7" t="inlineStr">
        <is>
          <t>vlm_free</t>
        </is>
      </c>
      <c r="D12" s="7" t="inlineStr">
        <is>
          <t>vlm_free_scoring</t>
        </is>
      </c>
      <c r="E12" s="7" t="n">
        <v>1</v>
      </c>
      <c r="F12" s="7" t="inlineStr">
        <is>
          <t>gemini-3.5-flash</t>
        </is>
      </c>
      <c r="G12" s="7" t="n">
        <v>1025</v>
      </c>
      <c r="H12" s="7" t="n">
        <v>119</v>
      </c>
      <c r="I12" s="7" t="n">
        <v>1819</v>
      </c>
      <c r="J12" s="7" t="inlineStr">
        <is>
          <t>sdk_usage_metadata</t>
        </is>
      </c>
      <c r="K12" s="7" t="inlineStr">
        <is>
          <t>success</t>
        </is>
      </c>
      <c r="L12" s="7" t="inlineStr"/>
      <c r="M12" s="7" t="n">
        <v>7</v>
      </c>
    </row>
    <row r="13" ht="34" customHeight="1">
      <c r="A13" s="7" t="n">
        <v>12</v>
      </c>
      <c r="B13" s="7" t="inlineStr">
        <is>
          <t>2026-07-30T12:57:31Z</t>
        </is>
      </c>
      <c r="C13" s="7" t="inlineStr">
        <is>
          <t>common</t>
        </is>
      </c>
      <c r="D13" s="7" t="inlineStr">
        <is>
          <t>guided_descriptive_prompt</t>
        </is>
      </c>
      <c r="E13" s="7" t="n">
        <v>1</v>
      </c>
      <c r="F13" s="7" t="inlineStr">
        <is>
          <t>gemini-3.5-flash</t>
        </is>
      </c>
      <c r="G13" s="7" t="n">
        <v>576</v>
      </c>
      <c r="H13" s="7" t="n">
        <v>316</v>
      </c>
      <c r="I13" s="7" t="n">
        <v>2185</v>
      </c>
      <c r="J13" s="7" t="inlineStr">
        <is>
          <t>sdk_usage_metadata</t>
        </is>
      </c>
      <c r="K13" s="7" t="inlineStr">
        <is>
          <t>success</t>
        </is>
      </c>
      <c r="L13" s="7" t="inlineStr"/>
      <c r="M13" s="7" t="n">
        <v>4</v>
      </c>
    </row>
    <row r="14" ht="34" customHeight="1">
      <c r="A14" s="7" t="n">
        <v>13</v>
      </c>
      <c r="B14" s="7" t="inlineStr">
        <is>
          <t>2026-07-30T12:57:38Z</t>
        </is>
      </c>
      <c r="C14" s="7" t="inlineStr">
        <is>
          <t>common</t>
        </is>
      </c>
      <c r="D14" s="7" t="inlineStr">
        <is>
          <t>guided_question_set</t>
        </is>
      </c>
      <c r="E14" s="7" t="n">
        <v>1</v>
      </c>
      <c r="F14" s="7" t="inlineStr">
        <is>
          <t>gemini-3.5-flash</t>
        </is>
      </c>
      <c r="G14" s="7" t="n">
        <v>1794</v>
      </c>
      <c r="H14" s="7" t="n">
        <v>344</v>
      </c>
      <c r="I14" s="7" t="n">
        <v>3339</v>
      </c>
      <c r="J14" s="7" t="inlineStr">
        <is>
          <t>sdk_usage_metadata</t>
        </is>
      </c>
      <c r="K14" s="7" t="inlineStr">
        <is>
          <t>success</t>
        </is>
      </c>
      <c r="L14" s="7" t="inlineStr"/>
      <c r="M14" s="7" t="n">
        <v>5</v>
      </c>
    </row>
    <row r="15" ht="34" customHeight="1">
      <c r="A15" s="7" t="n">
        <v>14</v>
      </c>
      <c r="B15" s="7" t="inlineStr">
        <is>
          <t>2026-07-30T12:57:45Z</t>
        </is>
      </c>
      <c r="C15" s="7" t="inlineStr">
        <is>
          <t>common</t>
        </is>
      </c>
      <c r="D15" s="7" t="inlineStr">
        <is>
          <t>guided_causal_engine</t>
        </is>
      </c>
      <c r="E15" s="7" t="n">
        <v>1</v>
      </c>
      <c r="F15" s="7" t="inlineStr">
        <is>
          <t>gemini-3.5-flash</t>
        </is>
      </c>
      <c r="G15" s="7" t="n">
        <v>942</v>
      </c>
      <c r="H15" s="7" t="n">
        <v>205</v>
      </c>
      <c r="I15" s="7" t="n">
        <v>2434</v>
      </c>
      <c r="J15" s="7" t="inlineStr">
        <is>
          <t>sdk_usage_metadata</t>
        </is>
      </c>
      <c r="K15" s="7" t="inlineStr">
        <is>
          <t>success</t>
        </is>
      </c>
      <c r="L15" s="7" t="inlineStr"/>
      <c r="M15" s="7" t="n">
        <v>6</v>
      </c>
    </row>
    <row r="16" ht="34" customHeight="1">
      <c r="A16" s="7" t="n">
        <v>15</v>
      </c>
      <c r="B16" s="7" t="inlineStr">
        <is>
          <t>2026-07-30T12:57:50Z</t>
        </is>
      </c>
      <c r="C16" s="7" t="inlineStr">
        <is>
          <t>vlm_guided</t>
        </is>
      </c>
      <c r="D16" s="7" t="inlineStr">
        <is>
          <t>vlm_guided_scoring</t>
        </is>
      </c>
      <c r="E16" s="7" t="n">
        <v>1</v>
      </c>
      <c r="F16" s="7" t="inlineStr">
        <is>
          <t>gemini-3.5-flash</t>
        </is>
      </c>
      <c r="G16" s="7" t="n">
        <v>1133</v>
      </c>
      <c r="H16" s="7" t="n">
        <v>106</v>
      </c>
      <c r="I16" s="7" t="n">
        <v>1964</v>
      </c>
      <c r="J16" s="7" t="inlineStr">
        <is>
          <t>sdk_usage_metadata</t>
        </is>
      </c>
      <c r="K16" s="7" t="inlineStr">
        <is>
          <t>success</t>
        </is>
      </c>
      <c r="L16" s="7" t="inlineStr"/>
      <c r="M16" s="7" t="n">
        <v>2</v>
      </c>
    </row>
    <row r="17" ht="34" customHeight="1">
      <c r="A17" s="7" t="n">
        <v>16</v>
      </c>
      <c r="B17" s="7" t="inlineStr">
        <is>
          <t>2026-07-30T12:58:16Z</t>
        </is>
      </c>
      <c r="C17" s="7" t="inlineStr">
        <is>
          <t>vlm_free</t>
        </is>
      </c>
      <c r="D17" s="7" t="inlineStr">
        <is>
          <t>vlm_free_descriptive_causal</t>
        </is>
      </c>
      <c r="E17" s="7" t="n">
        <v>2</v>
      </c>
      <c r="F17" s="7" t="inlineStr">
        <is>
          <t>gemini-3.5-flash</t>
        </is>
      </c>
      <c r="G17" s="7" t="n">
        <v>736</v>
      </c>
      <c r="H17" s="7" t="n">
        <v>604</v>
      </c>
      <c r="I17" s="7" t="n">
        <v>2902</v>
      </c>
      <c r="J17" s="7" t="inlineStr">
        <is>
          <t>sdk_usage_metadata</t>
        </is>
      </c>
      <c r="K17" s="7" t="inlineStr">
        <is>
          <t>success</t>
        </is>
      </c>
      <c r="L17" s="7" t="inlineStr"/>
      <c r="M17" s="7" t="n">
        <v>8</v>
      </c>
    </row>
    <row r="18" ht="34" customHeight="1">
      <c r="A18" s="7" t="n">
        <v>17</v>
      </c>
      <c r="B18" s="7" t="inlineStr">
        <is>
          <t>2026-07-30T12:58:21Z</t>
        </is>
      </c>
      <c r="C18" s="7" t="inlineStr">
        <is>
          <t>vlm_free</t>
        </is>
      </c>
      <c r="D18" s="7" t="inlineStr">
        <is>
          <t>vlm_free_scoring</t>
        </is>
      </c>
      <c r="E18" s="7" t="n">
        <v>2</v>
      </c>
      <c r="F18" s="7" t="inlineStr">
        <is>
          <t>gemini-3.5-flash</t>
        </is>
      </c>
      <c r="G18" s="7" t="n">
        <v>898</v>
      </c>
      <c r="H18" s="7" t="n">
        <v>120</v>
      </c>
      <c r="I18" s="7" t="n">
        <v>1615</v>
      </c>
      <c r="J18" s="7" t="inlineStr">
        <is>
          <t>sdk_usage_metadata</t>
        </is>
      </c>
      <c r="K18" s="7" t="inlineStr">
        <is>
          <t>success</t>
        </is>
      </c>
      <c r="L18" s="7" t="inlineStr"/>
      <c r="M18" s="7" t="n">
        <v>9</v>
      </c>
    </row>
    <row r="19" ht="34" customHeight="1">
      <c r="A19" s="7" t="n">
        <v>18</v>
      </c>
      <c r="B19" s="7" t="inlineStr">
        <is>
          <t>2026-07-30T12:58:26Z</t>
        </is>
      </c>
      <c r="C19" s="7" t="inlineStr">
        <is>
          <t>vlm_free</t>
        </is>
      </c>
      <c r="D19" s="7" t="inlineStr">
        <is>
          <t>vlm_free_scoring</t>
        </is>
      </c>
      <c r="E19" s="7" t="n">
        <v>2</v>
      </c>
      <c r="F19" s="7" t="inlineStr">
        <is>
          <t>gemini-3.5-flash</t>
        </is>
      </c>
      <c r="G19" s="7" t="n">
        <v>898</v>
      </c>
      <c r="H19" s="7" t="n">
        <v>143</v>
      </c>
      <c r="I19" s="7" t="n">
        <v>1823</v>
      </c>
      <c r="J19" s="7" t="inlineStr">
        <is>
          <t>sdk_usage_metadata</t>
        </is>
      </c>
      <c r="K19" s="7" t="inlineStr">
        <is>
          <t>success</t>
        </is>
      </c>
      <c r="L19" s="7" t="inlineStr"/>
      <c r="M19" s="7" t="n">
        <v>10</v>
      </c>
    </row>
    <row r="20" ht="34" customHeight="1">
      <c r="A20" s="7" t="n">
        <v>19</v>
      </c>
      <c r="B20" s="7" t="inlineStr">
        <is>
          <t>2026-07-30T12:58:32Z</t>
        </is>
      </c>
      <c r="C20" s="7" t="inlineStr">
        <is>
          <t>common</t>
        </is>
      </c>
      <c r="D20" s="7" t="inlineStr">
        <is>
          <t>guided_descriptive_prompt</t>
        </is>
      </c>
      <c r="E20" s="7" t="n">
        <v>2</v>
      </c>
      <c r="F20" s="7" t="inlineStr">
        <is>
          <t>gemini-3.5-flash</t>
        </is>
      </c>
      <c r="G20" s="7" t="n">
        <v>576</v>
      </c>
      <c r="H20" s="7" t="n">
        <v>348</v>
      </c>
      <c r="I20" s="7" t="n">
        <v>1673</v>
      </c>
      <c r="J20" s="7" t="inlineStr">
        <is>
          <t>sdk_usage_metadata</t>
        </is>
      </c>
      <c r="K20" s="7" t="inlineStr">
        <is>
          <t>success</t>
        </is>
      </c>
      <c r="L20" s="7" t="inlineStr"/>
      <c r="M20" s="7" t="n">
        <v>7</v>
      </c>
    </row>
    <row r="21" ht="34" customHeight="1">
      <c r="A21" s="7" t="n">
        <v>20</v>
      </c>
      <c r="B21" s="7" t="inlineStr">
        <is>
          <t>2026-07-30T12:58:39Z</t>
        </is>
      </c>
      <c r="C21" s="7" t="inlineStr">
        <is>
          <t>common</t>
        </is>
      </c>
      <c r="D21" s="7" t="inlineStr">
        <is>
          <t>guided_descriptive_prompt</t>
        </is>
      </c>
      <c r="E21" s="7" t="n">
        <v>2</v>
      </c>
      <c r="F21" s="7" t="inlineStr">
        <is>
          <t>gemini-3.5-flash</t>
        </is>
      </c>
      <c r="G21" s="7" t="n">
        <v>576</v>
      </c>
      <c r="H21" s="7" t="n">
        <v>349</v>
      </c>
      <c r="I21" s="7" t="n">
        <v>1626</v>
      </c>
      <c r="J21" s="7" t="inlineStr">
        <is>
          <t>sdk_usage_metadata</t>
        </is>
      </c>
      <c r="K21" s="7" t="inlineStr">
        <is>
          <t>success</t>
        </is>
      </c>
      <c r="L21" s="7" t="inlineStr"/>
      <c r="M21" s="7" t="n">
        <v>8</v>
      </c>
    </row>
    <row r="22" ht="34" customHeight="1">
      <c r="A22" s="7" t="n">
        <v>21</v>
      </c>
      <c r="B22" s="7" t="inlineStr">
        <is>
          <t>2026-07-30T12:58:47Z</t>
        </is>
      </c>
      <c r="C22" s="7" t="inlineStr">
        <is>
          <t>common</t>
        </is>
      </c>
      <c r="D22" s="7" t="inlineStr">
        <is>
          <t>guided_descriptive_prompt</t>
        </is>
      </c>
      <c r="E22" s="7" t="n">
        <v>2</v>
      </c>
      <c r="F22" s="7" t="inlineStr">
        <is>
          <t>gemini-3.5-flash</t>
        </is>
      </c>
      <c r="G22" s="7" t="n">
        <v>576</v>
      </c>
      <c r="H22" s="7" t="n">
        <v>311</v>
      </c>
      <c r="I22" s="7" t="n">
        <v>2142</v>
      </c>
      <c r="J22" s="7" t="inlineStr">
        <is>
          <t>sdk_usage_metadata</t>
        </is>
      </c>
      <c r="K22" s="7" t="inlineStr">
        <is>
          <t>success</t>
        </is>
      </c>
      <c r="L22" s="7" t="inlineStr"/>
      <c r="M22" s="7" t="n">
        <v>9</v>
      </c>
    </row>
    <row r="23" ht="34" customHeight="1">
      <c r="A23" s="7" t="n">
        <v>22</v>
      </c>
      <c r="B23" s="7" t="inlineStr">
        <is>
          <t>2026-07-30T12:58:54Z</t>
        </is>
      </c>
      <c r="C23" s="7" t="inlineStr">
        <is>
          <t>common</t>
        </is>
      </c>
      <c r="D23" s="7" t="inlineStr">
        <is>
          <t>guided_question_set</t>
        </is>
      </c>
      <c r="E23" s="7" t="n">
        <v>2</v>
      </c>
      <c r="F23" s="7" t="inlineStr">
        <is>
          <t>gemini-3.5-flash</t>
        </is>
      </c>
      <c r="G23" s="7" t="n">
        <v>1789</v>
      </c>
      <c r="H23" s="7" t="n">
        <v>348</v>
      </c>
      <c r="I23" s="7" t="n">
        <v>3334</v>
      </c>
      <c r="J23" s="7" t="inlineStr">
        <is>
          <t>sdk_usage_metadata</t>
        </is>
      </c>
      <c r="K23" s="7" t="inlineStr">
        <is>
          <t>success</t>
        </is>
      </c>
      <c r="L23" s="7" t="inlineStr"/>
      <c r="M23" s="7" t="n">
        <v>10</v>
      </c>
    </row>
    <row r="24" ht="34" customHeight="1">
      <c r="A24" s="7" t="n">
        <v>23</v>
      </c>
      <c r="B24" s="7" t="inlineStr">
        <is>
          <t>2026-07-30T12:59:00Z</t>
        </is>
      </c>
      <c r="C24" s="7" t="inlineStr">
        <is>
          <t>common</t>
        </is>
      </c>
      <c r="D24" s="7" t="inlineStr">
        <is>
          <t>guided_causal_engine</t>
        </is>
      </c>
      <c r="E24" s="7" t="n">
        <v>2</v>
      </c>
      <c r="F24" s="7" t="inlineStr">
        <is>
          <t>gemini-3.5-flash</t>
        </is>
      </c>
      <c r="G24" s="7" t="n">
        <v>942</v>
      </c>
      <c r="H24" s="7" t="n">
        <v>217</v>
      </c>
      <c r="I24" s="7" t="n">
        <v>1992</v>
      </c>
      <c r="J24" s="7" t="inlineStr">
        <is>
          <t>sdk_usage_metadata</t>
        </is>
      </c>
      <c r="K24" s="7" t="inlineStr">
        <is>
          <t>success</t>
        </is>
      </c>
      <c r="L24" s="7" t="inlineStr"/>
      <c r="M24" s="7" t="n">
        <v>11</v>
      </c>
    </row>
    <row r="25" ht="34" customHeight="1">
      <c r="A25" s="7" t="n">
        <v>24</v>
      </c>
      <c r="B25" s="7" t="inlineStr">
        <is>
          <t>2026-07-30T12:59:04Z</t>
        </is>
      </c>
      <c r="C25" s="7" t="inlineStr">
        <is>
          <t>vlm_guided</t>
        </is>
      </c>
      <c r="D25" s="7" t="inlineStr">
        <is>
          <t>vlm_guided_scoring</t>
        </is>
      </c>
      <c r="E25" s="7" t="n">
        <v>2</v>
      </c>
      <c r="F25" s="7" t="inlineStr">
        <is>
          <t>gemini-3.5-flash</t>
        </is>
      </c>
      <c r="G25" s="7" t="n">
        <v>1146</v>
      </c>
      <c r="H25" s="7" t="n">
        <v>102</v>
      </c>
      <c r="I25" s="7" t="n">
        <v>2059</v>
      </c>
      <c r="J25" s="7" t="inlineStr">
        <is>
          <t>sdk_usage_metadata</t>
        </is>
      </c>
      <c r="K25" s="7" t="inlineStr">
        <is>
          <t>success</t>
        </is>
      </c>
      <c r="L25" s="7" t="inlineStr"/>
      <c r="M25" s="7" t="n">
        <v>3</v>
      </c>
    </row>
    <row r="26" ht="34" customHeight="1">
      <c r="A26" s="7" t="n">
        <v>25</v>
      </c>
      <c r="B26" s="7" t="inlineStr">
        <is>
          <t>2026-07-30T12:59:10Z</t>
        </is>
      </c>
      <c r="C26" s="7" t="inlineStr">
        <is>
          <t>vlm_guided</t>
        </is>
      </c>
      <c r="D26" s="7" t="inlineStr">
        <is>
          <t>vlm_guided_scoring</t>
        </is>
      </c>
      <c r="E26" s="7" t="n">
        <v>2</v>
      </c>
      <c r="F26" s="7" t="inlineStr">
        <is>
          <t>gemini-3.5-flash</t>
        </is>
      </c>
      <c r="G26" s="7" t="n">
        <v>1146</v>
      </c>
      <c r="H26" s="7" t="n">
        <v>87</v>
      </c>
      <c r="I26" s="7" t="n">
        <v>2042</v>
      </c>
      <c r="J26" s="7" t="inlineStr">
        <is>
          <t>sdk_usage_metadata</t>
        </is>
      </c>
      <c r="K26" s="7" t="inlineStr">
        <is>
          <t>success</t>
        </is>
      </c>
      <c r="L26" s="7" t="inlineStr"/>
      <c r="M26" s="7" t="n">
        <v>4</v>
      </c>
    </row>
    <row r="27" ht="34" customHeight="1">
      <c r="A27" s="7" t="n">
        <v>26</v>
      </c>
      <c r="B27" s="7" t="inlineStr">
        <is>
          <t>2026-07-30T12:59:34Z</t>
        </is>
      </c>
      <c r="C27" s="7" t="inlineStr">
        <is>
          <t>vlm_free</t>
        </is>
      </c>
      <c r="D27" s="7" t="inlineStr">
        <is>
          <t>vlm_free_descriptive_causal</t>
        </is>
      </c>
      <c r="E27" s="7" t="n">
        <v>3</v>
      </c>
      <c r="F27" s="7" t="inlineStr">
        <is>
          <t>gemini-3.5-flash</t>
        </is>
      </c>
      <c r="G27" s="7" t="n">
        <v>737</v>
      </c>
      <c r="H27" s="7" t="n">
        <v>361</v>
      </c>
      <c r="I27" s="7" t="n">
        <v>2305</v>
      </c>
      <c r="J27" s="7" t="inlineStr">
        <is>
          <t>sdk_usage_metadata</t>
        </is>
      </c>
      <c r="K27" s="7" t="inlineStr">
        <is>
          <t>success</t>
        </is>
      </c>
      <c r="L27" s="7" t="inlineStr"/>
      <c r="M27" s="7" t="n">
        <v>11</v>
      </c>
    </row>
    <row r="28" ht="34" customHeight="1">
      <c r="A28" s="7" t="n">
        <v>27</v>
      </c>
      <c r="B28" s="7" t="inlineStr">
        <is>
          <t>2026-07-30T12:59:38Z</t>
        </is>
      </c>
      <c r="C28" s="7" t="inlineStr">
        <is>
          <t>vlm_free</t>
        </is>
      </c>
      <c r="D28" s="7" t="inlineStr">
        <is>
          <t>vlm_free_scoring</t>
        </is>
      </c>
      <c r="E28" s="7" t="n">
        <v>3</v>
      </c>
      <c r="F28" s="7" t="inlineStr">
        <is>
          <t>gemini-3.5-flash</t>
        </is>
      </c>
      <c r="G28" s="7" t="n">
        <v>656</v>
      </c>
      <c r="H28" s="7" t="n">
        <v>108</v>
      </c>
      <c r="I28" s="7" t="n">
        <v>1436</v>
      </c>
      <c r="J28" s="7" t="inlineStr">
        <is>
          <t>sdk_usage_metadata</t>
        </is>
      </c>
      <c r="K28" s="7" t="inlineStr">
        <is>
          <t>success</t>
        </is>
      </c>
      <c r="L28" s="7" t="inlineStr"/>
      <c r="M28" s="7" t="n">
        <v>12</v>
      </c>
    </row>
    <row r="29" ht="34" customHeight="1">
      <c r="A29" s="7" t="n">
        <v>28</v>
      </c>
      <c r="B29" s="7" t="inlineStr">
        <is>
          <t>2026-07-30T12:59:44Z</t>
        </is>
      </c>
      <c r="C29" s="7" t="inlineStr">
        <is>
          <t>vlm_free</t>
        </is>
      </c>
      <c r="D29" s="7" t="inlineStr">
        <is>
          <t>vlm_free_scoring</t>
        </is>
      </c>
      <c r="E29" s="7" t="n">
        <v>3</v>
      </c>
      <c r="F29" s="7" t="inlineStr">
        <is>
          <t>gemini-3.5-flash</t>
        </is>
      </c>
      <c r="G29" s="7" t="n">
        <v>656</v>
      </c>
      <c r="H29" s="7" t="n">
        <v>125</v>
      </c>
      <c r="I29" s="7" t="n">
        <v>1612</v>
      </c>
      <c r="J29" s="7" t="inlineStr">
        <is>
          <t>sdk_usage_metadata</t>
        </is>
      </c>
      <c r="K29" s="7" t="inlineStr">
        <is>
          <t>success</t>
        </is>
      </c>
      <c r="L29" s="7" t="inlineStr"/>
      <c r="M29" s="7" t="n">
        <v>13</v>
      </c>
    </row>
    <row r="30" ht="34" customHeight="1">
      <c r="A30" s="7" t="n">
        <v>29</v>
      </c>
      <c r="B30" s="7" t="inlineStr">
        <is>
          <t>2026-07-30T12:59:51Z</t>
        </is>
      </c>
      <c r="C30" s="7" t="inlineStr">
        <is>
          <t>common</t>
        </is>
      </c>
      <c r="D30" s="7" t="inlineStr">
        <is>
          <t>guided_descriptive_prompt</t>
        </is>
      </c>
      <c r="E30" s="7" t="n">
        <v>3</v>
      </c>
      <c r="F30" s="7" t="inlineStr">
        <is>
          <t>gemini-3.5-flash</t>
        </is>
      </c>
      <c r="G30" s="7" t="n">
        <v>577</v>
      </c>
      <c r="H30" s="7" t="n">
        <v>327</v>
      </c>
      <c r="I30" s="7" t="n">
        <v>1953</v>
      </c>
      <c r="J30" s="7" t="inlineStr">
        <is>
          <t>sdk_usage_metadata</t>
        </is>
      </c>
      <c r="K30" s="7" t="inlineStr">
        <is>
          <t>success</t>
        </is>
      </c>
      <c r="L30" s="7" t="inlineStr"/>
      <c r="M30" s="7" t="n">
        <v>12</v>
      </c>
    </row>
    <row r="31" ht="34" customHeight="1">
      <c r="A31" s="7" t="n">
        <v>30</v>
      </c>
      <c r="B31" s="7" t="inlineStr">
        <is>
          <t>2026-07-30T12:59:58Z</t>
        </is>
      </c>
      <c r="C31" s="7" t="inlineStr">
        <is>
          <t>common</t>
        </is>
      </c>
      <c r="D31" s="7" t="inlineStr">
        <is>
          <t>guided_question_set</t>
        </is>
      </c>
      <c r="E31" s="7" t="n">
        <v>3</v>
      </c>
      <c r="F31" s="7" t="inlineStr">
        <is>
          <t>gemini-3.5-flash</t>
        </is>
      </c>
      <c r="G31" s="7" t="n">
        <v>1806</v>
      </c>
      <c r="H31" s="7" t="n">
        <v>333</v>
      </c>
      <c r="I31" s="7" t="n">
        <v>3233</v>
      </c>
      <c r="J31" s="7" t="inlineStr">
        <is>
          <t>sdk_usage_metadata</t>
        </is>
      </c>
      <c r="K31" s="7" t="inlineStr">
        <is>
          <t>success</t>
        </is>
      </c>
      <c r="L31" s="7" t="inlineStr"/>
      <c r="M31" s="7" t="n">
        <v>13</v>
      </c>
    </row>
    <row r="32" ht="34" customHeight="1">
      <c r="A32" s="7" t="n">
        <v>31</v>
      </c>
      <c r="B32" s="7" t="inlineStr">
        <is>
          <t>2026-07-30T13:00:04Z</t>
        </is>
      </c>
      <c r="C32" s="7" t="inlineStr">
        <is>
          <t>common</t>
        </is>
      </c>
      <c r="D32" s="7" t="inlineStr">
        <is>
          <t>guided_causal_engine</t>
        </is>
      </c>
      <c r="E32" s="7" t="n">
        <v>3</v>
      </c>
      <c r="F32" s="7" t="inlineStr">
        <is>
          <t>gemini-3.5-flash</t>
        </is>
      </c>
      <c r="G32" s="7" t="n">
        <v>944</v>
      </c>
      <c r="H32" s="7" t="n">
        <v>264</v>
      </c>
      <c r="I32" s="7" t="n">
        <v>2178</v>
      </c>
      <c r="J32" s="7" t="inlineStr">
        <is>
          <t>sdk_usage_metadata</t>
        </is>
      </c>
      <c r="K32" s="7" t="inlineStr">
        <is>
          <t>success</t>
        </is>
      </c>
      <c r="L32" s="7" t="inlineStr"/>
      <c r="M32" s="7" t="n">
        <v>14</v>
      </c>
    </row>
    <row r="33" ht="34" customHeight="1">
      <c r="A33" s="7" t="n">
        <v>32</v>
      </c>
      <c r="B33" s="7" t="inlineStr">
        <is>
          <t>2026-07-30T13:00:10Z</t>
        </is>
      </c>
      <c r="C33" s="7" t="inlineStr">
        <is>
          <t>vlm_guided</t>
        </is>
      </c>
      <c r="D33" s="7" t="inlineStr">
        <is>
          <t>vlm_guided_scoring</t>
        </is>
      </c>
      <c r="E33" s="7" t="n">
        <v>3</v>
      </c>
      <c r="F33" s="7" t="inlineStr">
        <is>
          <t>gemini-3.5-flash</t>
        </is>
      </c>
      <c r="G33" s="7" t="n">
        <v>1195</v>
      </c>
      <c r="H33" s="7" t="n">
        <v>97</v>
      </c>
      <c r="I33" s="7" t="n">
        <v>2072</v>
      </c>
      <c r="J33" s="7" t="inlineStr">
        <is>
          <t>sdk_usage_metadata</t>
        </is>
      </c>
      <c r="K33" s="7" t="inlineStr">
        <is>
          <t>success</t>
        </is>
      </c>
      <c r="L33" s="7" t="inlineStr"/>
      <c r="M33" s="7" t="n">
        <v>5</v>
      </c>
    </row>
    <row r="34" ht="34" customHeight="1">
      <c r="A34" s="7" t="n">
        <v>33</v>
      </c>
      <c r="B34" s="7" t="inlineStr">
        <is>
          <t>2026-07-30T13:00:39Z</t>
        </is>
      </c>
      <c r="C34" s="7" t="inlineStr">
        <is>
          <t>vlm_free</t>
        </is>
      </c>
      <c r="D34" s="7" t="inlineStr">
        <is>
          <t>vlm_free_descriptive_causal</t>
        </is>
      </c>
      <c r="E34" s="7" t="n">
        <v>4</v>
      </c>
      <c r="F34" s="7" t="inlineStr">
        <is>
          <t>gemini-3.5-flash</t>
        </is>
      </c>
      <c r="G34" s="7" t="n">
        <v>737</v>
      </c>
      <c r="H34" s="7" t="n">
        <v>448</v>
      </c>
      <c r="I34" s="7" t="n">
        <v>2504</v>
      </c>
      <c r="J34" s="7" t="inlineStr">
        <is>
          <t>sdk_usage_metadata</t>
        </is>
      </c>
      <c r="K34" s="7" t="inlineStr">
        <is>
          <t>success</t>
        </is>
      </c>
      <c r="L34" s="7" t="inlineStr"/>
      <c r="M34" s="7" t="n">
        <v>14</v>
      </c>
    </row>
    <row r="35" ht="34" customHeight="1">
      <c r="A35" s="7" t="n">
        <v>34</v>
      </c>
      <c r="B35" s="7" t="inlineStr">
        <is>
          <t>2026-07-30T13:00:43Z</t>
        </is>
      </c>
      <c r="C35" s="7" t="inlineStr">
        <is>
          <t>vlm_free</t>
        </is>
      </c>
      <c r="D35" s="7" t="inlineStr">
        <is>
          <t>vlm_free_scoring</t>
        </is>
      </c>
      <c r="E35" s="7" t="n">
        <v>4</v>
      </c>
      <c r="F35" s="7" t="inlineStr">
        <is>
          <t>gemini-3.5-flash</t>
        </is>
      </c>
      <c r="G35" s="7" t="n">
        <v>742</v>
      </c>
      <c r="H35" s="7" t="n">
        <v>154</v>
      </c>
      <c r="I35" s="7" t="n">
        <v>1537</v>
      </c>
      <c r="J35" s="7" t="inlineStr">
        <is>
          <t>sdk_usage_metadata</t>
        </is>
      </c>
      <c r="K35" s="7" t="inlineStr">
        <is>
          <t>success</t>
        </is>
      </c>
      <c r="L35" s="7" t="inlineStr"/>
      <c r="M35" s="7" t="n">
        <v>15</v>
      </c>
    </row>
    <row r="36" ht="34" customHeight="1">
      <c r="A36" s="7" t="n">
        <v>35</v>
      </c>
      <c r="B36" s="7" t="inlineStr">
        <is>
          <t>2026-07-30T13:00:50Z</t>
        </is>
      </c>
      <c r="C36" s="7" t="inlineStr">
        <is>
          <t>common</t>
        </is>
      </c>
      <c r="D36" s="7" t="inlineStr">
        <is>
          <t>guided_descriptive_prompt</t>
        </is>
      </c>
      <c r="E36" s="7" t="n">
        <v>4</v>
      </c>
      <c r="F36" s="7" t="inlineStr">
        <is>
          <t>gemini-3.5-flash</t>
        </is>
      </c>
      <c r="G36" s="7" t="n">
        <v>577</v>
      </c>
      <c r="H36" s="7" t="n">
        <v>330</v>
      </c>
      <c r="I36" s="7" t="n">
        <v>1926</v>
      </c>
      <c r="J36" s="7" t="inlineStr">
        <is>
          <t>sdk_usage_metadata</t>
        </is>
      </c>
      <c r="K36" s="7" t="inlineStr">
        <is>
          <t>success</t>
        </is>
      </c>
      <c r="L36" s="7" t="inlineStr"/>
      <c r="M36" s="7" t="n">
        <v>15</v>
      </c>
    </row>
    <row r="37" ht="34" customHeight="1">
      <c r="A37" s="7" t="n">
        <v>36</v>
      </c>
      <c r="B37" s="7" t="inlineStr">
        <is>
          <t>2026-07-30T13:00:59Z</t>
        </is>
      </c>
      <c r="C37" s="7" t="inlineStr">
        <is>
          <t>common</t>
        </is>
      </c>
      <c r="D37" s="7" t="inlineStr">
        <is>
          <t>guided_question_set</t>
        </is>
      </c>
      <c r="E37" s="7" t="n">
        <v>4</v>
      </c>
      <c r="F37" s="7" t="inlineStr">
        <is>
          <t>gemini-3.5-flash</t>
        </is>
      </c>
      <c r="G37" s="7" t="n">
        <v>1809</v>
      </c>
      <c r="H37" s="7" t="n">
        <v>361</v>
      </c>
      <c r="I37" s="7" t="n">
        <v>3370</v>
      </c>
      <c r="J37" s="7" t="inlineStr">
        <is>
          <t>sdk_usage_metadata</t>
        </is>
      </c>
      <c r="K37" s="7" t="inlineStr">
        <is>
          <t>success</t>
        </is>
      </c>
      <c r="L37" s="7" t="inlineStr"/>
      <c r="M37" s="7" t="n">
        <v>16</v>
      </c>
    </row>
    <row r="38" ht="34" customHeight="1">
      <c r="A38" s="7" t="n">
        <v>37</v>
      </c>
      <c r="B38" s="7" t="inlineStr">
        <is>
          <t>2026-07-30T13:01:05Z</t>
        </is>
      </c>
      <c r="C38" s="7" t="inlineStr">
        <is>
          <t>common</t>
        </is>
      </c>
      <c r="D38" s="7" t="inlineStr">
        <is>
          <t>guided_causal_engine</t>
        </is>
      </c>
      <c r="E38" s="7" t="n">
        <v>4</v>
      </c>
      <c r="F38" s="7" t="inlineStr">
        <is>
          <t>gemini-3.5-flash</t>
        </is>
      </c>
      <c r="G38" s="7" t="n">
        <v>974</v>
      </c>
      <c r="H38" s="7" t="n">
        <v>220</v>
      </c>
      <c r="I38" s="7" t="n">
        <v>2198</v>
      </c>
      <c r="J38" s="7" t="inlineStr">
        <is>
          <t>sdk_usage_metadata</t>
        </is>
      </c>
      <c r="K38" s="7" t="inlineStr">
        <is>
          <t>success</t>
        </is>
      </c>
      <c r="L38" s="7" t="inlineStr"/>
      <c r="M38" s="7" t="n">
        <v>17</v>
      </c>
    </row>
    <row r="39" ht="34" customHeight="1">
      <c r="A39" s="7" t="n">
        <v>38</v>
      </c>
      <c r="B39" s="7" t="inlineStr">
        <is>
          <t>2026-07-30T13:01:09Z</t>
        </is>
      </c>
      <c r="C39" s="7" t="inlineStr">
        <is>
          <t>vlm_guided</t>
        </is>
      </c>
      <c r="D39" s="7" t="inlineStr">
        <is>
          <t>vlm_guided_scoring</t>
        </is>
      </c>
      <c r="E39" s="7" t="n">
        <v>4</v>
      </c>
      <c r="F39" s="7" t="inlineStr">
        <is>
          <t>gemini-3.5-flash</t>
        </is>
      </c>
      <c r="G39" s="7" t="n">
        <v>1181</v>
      </c>
      <c r="H39" s="7" t="n">
        <v>100</v>
      </c>
      <c r="I39" s="7" t="n">
        <v>1995</v>
      </c>
      <c r="J39" s="7" t="inlineStr">
        <is>
          <t>sdk_usage_metadata</t>
        </is>
      </c>
      <c r="K39" s="7" t="inlineStr">
        <is>
          <t>success</t>
        </is>
      </c>
      <c r="L39" s="7" t="inlineStr"/>
      <c r="M39" s="7" t="n">
        <v>6</v>
      </c>
    </row>
    <row r="40" ht="34" customHeight="1">
      <c r="A40" s="7" t="n">
        <v>39</v>
      </c>
      <c r="B40" s="7" t="inlineStr">
        <is>
          <t>2026-07-30T13:01:35Z</t>
        </is>
      </c>
      <c r="C40" s="7" t="inlineStr">
        <is>
          <t>vlm_free</t>
        </is>
      </c>
      <c r="D40" s="7" t="inlineStr">
        <is>
          <t>vlm_free_descriptive_causal</t>
        </is>
      </c>
      <c r="E40" s="7" t="n">
        <v>5</v>
      </c>
      <c r="F40" s="7" t="inlineStr">
        <is>
          <t>gemini-3.5-flash</t>
        </is>
      </c>
      <c r="G40" s="7" t="n">
        <v>738</v>
      </c>
      <c r="H40" s="7" t="n">
        <v>471</v>
      </c>
      <c r="I40" s="7" t="n">
        <v>2843</v>
      </c>
      <c r="J40" s="7" t="inlineStr">
        <is>
          <t>sdk_usage_metadata</t>
        </is>
      </c>
      <c r="K40" s="7" t="inlineStr">
        <is>
          <t>success</t>
        </is>
      </c>
      <c r="L40" s="7" t="inlineStr"/>
      <c r="M40" s="7" t="n">
        <v>16</v>
      </c>
    </row>
    <row r="41" ht="34" customHeight="1">
      <c r="A41" s="7" t="n">
        <v>40</v>
      </c>
      <c r="B41" s="7" t="inlineStr">
        <is>
          <t>2026-07-30T13:01:41Z</t>
        </is>
      </c>
      <c r="C41" s="7" t="inlineStr">
        <is>
          <t>vlm_free</t>
        </is>
      </c>
      <c r="D41" s="7" t="inlineStr">
        <is>
          <t>vlm_free_scoring</t>
        </is>
      </c>
      <c r="E41" s="7" t="n">
        <v>5</v>
      </c>
      <c r="F41" s="7" t="inlineStr">
        <is>
          <t>gemini-3.5-flash</t>
        </is>
      </c>
      <c r="G41" s="7" t="n">
        <v>767</v>
      </c>
      <c r="H41" s="7" t="n">
        <v>122</v>
      </c>
      <c r="I41" s="7" t="n">
        <v>1749</v>
      </c>
      <c r="J41" s="7" t="inlineStr">
        <is>
          <t>sdk_usage_metadata</t>
        </is>
      </c>
      <c r="K41" s="7" t="inlineStr">
        <is>
          <t>success</t>
        </is>
      </c>
      <c r="L41" s="7" t="inlineStr"/>
      <c r="M41" s="7" t="n">
        <v>17</v>
      </c>
    </row>
    <row r="42" ht="34" customHeight="1">
      <c r="A42" s="7" t="n">
        <v>41</v>
      </c>
      <c r="B42" s="7" t="inlineStr">
        <is>
          <t>2026-07-30T13:01:47Z</t>
        </is>
      </c>
      <c r="C42" s="7" t="inlineStr">
        <is>
          <t>vlm_free</t>
        </is>
      </c>
      <c r="D42" s="7" t="inlineStr">
        <is>
          <t>vlm_free_scoring</t>
        </is>
      </c>
      <c r="E42" s="7" t="n">
        <v>5</v>
      </c>
      <c r="F42" s="7" t="inlineStr">
        <is>
          <t>gemini-3.5-flash</t>
        </is>
      </c>
      <c r="G42" s="7" t="n">
        <v>767</v>
      </c>
      <c r="H42" s="7" t="n">
        <v>124</v>
      </c>
      <c r="I42" s="7" t="n">
        <v>1865</v>
      </c>
      <c r="J42" s="7" t="inlineStr">
        <is>
          <t>sdk_usage_metadata</t>
        </is>
      </c>
      <c r="K42" s="7" t="inlineStr">
        <is>
          <t>success</t>
        </is>
      </c>
      <c r="L42" s="7" t="inlineStr"/>
      <c r="M42" s="7" t="n">
        <v>18</v>
      </c>
    </row>
    <row r="43" ht="34" customHeight="1">
      <c r="A43" s="7" t="n">
        <v>42</v>
      </c>
      <c r="B43" s="7" t="inlineStr">
        <is>
          <t>2026-07-30T13:01:53Z</t>
        </is>
      </c>
      <c r="C43" s="7" t="inlineStr">
        <is>
          <t>common</t>
        </is>
      </c>
      <c r="D43" s="7" t="inlineStr">
        <is>
          <t>guided_descriptive_prompt</t>
        </is>
      </c>
      <c r="E43" s="7" t="n">
        <v>5</v>
      </c>
      <c r="F43" s="7" t="inlineStr">
        <is>
          <t>gemini-3.5-flash</t>
        </is>
      </c>
      <c r="G43" s="7" t="n">
        <v>578</v>
      </c>
      <c r="H43" s="7" t="n">
        <v>328</v>
      </c>
      <c r="I43" s="7" t="n">
        <v>1729</v>
      </c>
      <c r="J43" s="7" t="inlineStr">
        <is>
          <t>sdk_usage_metadata</t>
        </is>
      </c>
      <c r="K43" s="7" t="inlineStr">
        <is>
          <t>success</t>
        </is>
      </c>
      <c r="L43" s="7" t="inlineStr"/>
      <c r="M43" s="7" t="n">
        <v>18</v>
      </c>
    </row>
    <row r="44" ht="34" customHeight="1">
      <c r="A44" s="7" t="n">
        <v>43</v>
      </c>
      <c r="B44" s="7" t="inlineStr">
        <is>
          <t>2026-07-30T13:02:02Z</t>
        </is>
      </c>
      <c r="C44" s="7" t="inlineStr">
        <is>
          <t>common</t>
        </is>
      </c>
      <c r="D44" s="7" t="inlineStr">
        <is>
          <t>guided_question_set</t>
        </is>
      </c>
      <c r="E44" s="7" t="n">
        <v>5</v>
      </c>
      <c r="F44" s="7" t="inlineStr">
        <is>
          <t>gemini-3.5-flash</t>
        </is>
      </c>
      <c r="G44" s="7" t="n">
        <v>1807</v>
      </c>
      <c r="H44" s="7" t="n">
        <v>337</v>
      </c>
      <c r="I44" s="7" t="n">
        <v>3634</v>
      </c>
      <c r="J44" s="7" t="inlineStr">
        <is>
          <t>sdk_usage_metadata</t>
        </is>
      </c>
      <c r="K44" s="7" t="inlineStr">
        <is>
          <t>success</t>
        </is>
      </c>
      <c r="L44" s="7" t="inlineStr"/>
      <c r="M44" s="7" t="n">
        <v>19</v>
      </c>
    </row>
    <row r="45" ht="34" customHeight="1">
      <c r="A45" s="7" t="n">
        <v>44</v>
      </c>
      <c r="B45" s="7" t="inlineStr">
        <is>
          <t>2026-07-30T13:02:08Z</t>
        </is>
      </c>
      <c r="C45" s="7" t="inlineStr">
        <is>
          <t>common</t>
        </is>
      </c>
      <c r="D45" s="7" t="inlineStr">
        <is>
          <t>guided_causal_engine</t>
        </is>
      </c>
      <c r="E45" s="7" t="n">
        <v>5</v>
      </c>
      <c r="F45" s="7" t="inlineStr">
        <is>
          <t>gemini-3.5-flash</t>
        </is>
      </c>
      <c r="G45" s="7" t="n">
        <v>948</v>
      </c>
      <c r="H45" s="7" t="n">
        <v>246</v>
      </c>
      <c r="I45" s="7" t="n">
        <v>2316</v>
      </c>
      <c r="J45" s="7" t="inlineStr">
        <is>
          <t>sdk_usage_metadata</t>
        </is>
      </c>
      <c r="K45" s="7" t="inlineStr">
        <is>
          <t>success</t>
        </is>
      </c>
      <c r="L45" s="7" t="inlineStr"/>
      <c r="M45" s="7" t="n">
        <v>20</v>
      </c>
    </row>
    <row r="46" ht="34" customHeight="1">
      <c r="A46" s="7" t="n">
        <v>45</v>
      </c>
      <c r="B46" s="7" t="inlineStr">
        <is>
          <t>2026-07-30T13:02:14Z</t>
        </is>
      </c>
      <c r="C46" s="7" t="inlineStr">
        <is>
          <t>common</t>
        </is>
      </c>
      <c r="D46" s="7" t="inlineStr">
        <is>
          <t>guided_causal_engine</t>
        </is>
      </c>
      <c r="E46" s="7" t="n">
        <v>5</v>
      </c>
      <c r="F46" s="7" t="inlineStr">
        <is>
          <t>gemini-3.5-flash</t>
        </is>
      </c>
      <c r="G46" s="7" t="n">
        <v>948</v>
      </c>
      <c r="H46" s="7" t="n">
        <v>220</v>
      </c>
      <c r="I46" s="7" t="n">
        <v>2080</v>
      </c>
      <c r="J46" s="7" t="inlineStr">
        <is>
          <t>sdk_usage_metadata</t>
        </is>
      </c>
      <c r="K46" s="7" t="inlineStr">
        <is>
          <t>success</t>
        </is>
      </c>
      <c r="L46" s="7" t="inlineStr"/>
      <c r="M46" s="7" t="n">
        <v>21</v>
      </c>
    </row>
    <row r="47" ht="34" customHeight="1">
      <c r="A47" s="7" t="n">
        <v>46</v>
      </c>
      <c r="B47" s="7" t="inlineStr">
        <is>
          <t>2026-07-30T13:02:19Z</t>
        </is>
      </c>
      <c r="C47" s="7" t="inlineStr">
        <is>
          <t>vlm_guided</t>
        </is>
      </c>
      <c r="D47" s="7" t="inlineStr">
        <is>
          <t>vlm_guided_scoring</t>
        </is>
      </c>
      <c r="E47" s="7" t="n">
        <v>5</v>
      </c>
      <c r="F47" s="7" t="inlineStr">
        <is>
          <t>gemini-3.5-flash</t>
        </is>
      </c>
      <c r="G47" s="7" t="n">
        <v>1155</v>
      </c>
      <c r="H47" s="7" t="n">
        <v>97</v>
      </c>
      <c r="I47" s="7" t="n">
        <v>2081</v>
      </c>
      <c r="J47" s="7" t="inlineStr">
        <is>
          <t>sdk_usage_metadata</t>
        </is>
      </c>
      <c r="K47" s="7" t="inlineStr">
        <is>
          <t>success</t>
        </is>
      </c>
      <c r="L47" s="7" t="inlineStr"/>
      <c r="M47" s="7" t="n">
        <v>7</v>
      </c>
    </row>
    <row r="48" ht="34" customHeight="1">
      <c r="A48" s="7" t="n">
        <v>47</v>
      </c>
      <c r="B48" s="7" t="inlineStr">
        <is>
          <t>2026-07-30T13:02:43Z</t>
        </is>
      </c>
      <c r="C48" s="7" t="inlineStr">
        <is>
          <t>vlm_free</t>
        </is>
      </c>
      <c r="D48" s="7" t="inlineStr">
        <is>
          <t>vlm_free_descriptive_causal</t>
        </is>
      </c>
      <c r="E48" s="7" t="n">
        <v>6</v>
      </c>
      <c r="F48" s="7" t="inlineStr">
        <is>
          <t>gemini-3.5-flash</t>
        </is>
      </c>
      <c r="G48" s="7" t="n">
        <v>738</v>
      </c>
      <c r="H48" s="7" t="n">
        <v>492</v>
      </c>
      <c r="I48" s="7" t="n">
        <v>2859</v>
      </c>
      <c r="J48" s="7" t="inlineStr">
        <is>
          <t>sdk_usage_metadata</t>
        </is>
      </c>
      <c r="K48" s="7" t="inlineStr">
        <is>
          <t>success</t>
        </is>
      </c>
      <c r="L48" s="7" t="inlineStr"/>
      <c r="M48" s="7" t="n">
        <v>19</v>
      </c>
    </row>
    <row r="49" ht="34" customHeight="1">
      <c r="A49" s="7" t="n">
        <v>48</v>
      </c>
      <c r="B49" s="7" t="inlineStr">
        <is>
          <t>2026-07-30T13:02:48Z</t>
        </is>
      </c>
      <c r="C49" s="7" t="inlineStr">
        <is>
          <t>vlm_free</t>
        </is>
      </c>
      <c r="D49" s="7" t="inlineStr">
        <is>
          <t>vlm_free_scoring</t>
        </is>
      </c>
      <c r="E49" s="7" t="n">
        <v>6</v>
      </c>
      <c r="F49" s="7" t="inlineStr">
        <is>
          <t>gemini-3.5-flash</t>
        </is>
      </c>
      <c r="G49" s="7" t="n">
        <v>788</v>
      </c>
      <c r="H49" s="7" t="n">
        <v>159</v>
      </c>
      <c r="I49" s="7" t="n">
        <v>1686</v>
      </c>
      <c r="J49" s="7" t="inlineStr">
        <is>
          <t>sdk_usage_metadata</t>
        </is>
      </c>
      <c r="K49" s="7" t="inlineStr">
        <is>
          <t>success</t>
        </is>
      </c>
      <c r="L49" s="7" t="inlineStr"/>
      <c r="M49" s="7" t="n">
        <v>20</v>
      </c>
    </row>
    <row r="50" ht="34" customHeight="1">
      <c r="A50" s="7" t="n">
        <v>49</v>
      </c>
      <c r="B50" s="7" t="inlineStr">
        <is>
          <t>2026-07-30T13:02:56Z</t>
        </is>
      </c>
      <c r="C50" s="7" t="inlineStr">
        <is>
          <t>common</t>
        </is>
      </c>
      <c r="D50" s="7" t="inlineStr">
        <is>
          <t>guided_descriptive_prompt</t>
        </is>
      </c>
      <c r="E50" s="7" t="n">
        <v>6</v>
      </c>
      <c r="F50" s="7" t="inlineStr">
        <is>
          <t>gemini-3.5-flash</t>
        </is>
      </c>
      <c r="G50" s="7" t="n">
        <v>578</v>
      </c>
      <c r="H50" s="7" t="n">
        <v>319</v>
      </c>
      <c r="I50" s="7" t="n">
        <v>2130</v>
      </c>
      <c r="J50" s="7" t="inlineStr">
        <is>
          <t>sdk_usage_metadata</t>
        </is>
      </c>
      <c r="K50" s="7" t="inlineStr">
        <is>
          <t>success</t>
        </is>
      </c>
      <c r="L50" s="7" t="inlineStr"/>
      <c r="M50" s="7" t="n">
        <v>22</v>
      </c>
    </row>
    <row r="51" ht="34" customHeight="1">
      <c r="A51" s="7" t="n">
        <v>50</v>
      </c>
      <c r="B51" s="7" t="inlineStr">
        <is>
          <t>2026-07-30T13:03:05Z</t>
        </is>
      </c>
      <c r="C51" s="7" t="inlineStr">
        <is>
          <t>common</t>
        </is>
      </c>
      <c r="D51" s="7" t="inlineStr">
        <is>
          <t>guided_descriptive_prompt</t>
        </is>
      </c>
      <c r="E51" s="7" t="n">
        <v>6</v>
      </c>
      <c r="F51" s="7" t="inlineStr">
        <is>
          <t>gemini-3.5-flash</t>
        </is>
      </c>
      <c r="G51" s="7" t="n">
        <v>578</v>
      </c>
      <c r="H51" s="7" t="n">
        <v>299</v>
      </c>
      <c r="I51" s="7" t="n">
        <v>2299</v>
      </c>
      <c r="J51" s="7" t="inlineStr">
        <is>
          <t>sdk_usage_metadata</t>
        </is>
      </c>
      <c r="K51" s="7" t="inlineStr">
        <is>
          <t>success</t>
        </is>
      </c>
      <c r="L51" s="7" t="inlineStr"/>
      <c r="M51" s="7" t="n">
        <v>23</v>
      </c>
    </row>
    <row r="52" ht="34" customHeight="1">
      <c r="A52" s="7" t="n">
        <v>51</v>
      </c>
      <c r="B52" s="7" t="inlineStr">
        <is>
          <t>2026-07-30T13:03:13Z</t>
        </is>
      </c>
      <c r="C52" s="7" t="inlineStr">
        <is>
          <t>common</t>
        </is>
      </c>
      <c r="D52" s="7" t="inlineStr">
        <is>
          <t>guided_question_set</t>
        </is>
      </c>
      <c r="E52" s="7" t="n">
        <v>6</v>
      </c>
      <c r="F52" s="7" t="inlineStr">
        <is>
          <t>gemini-3.5-flash</t>
        </is>
      </c>
      <c r="G52" s="7" t="n">
        <v>1779</v>
      </c>
      <c r="H52" s="7" t="n">
        <v>337</v>
      </c>
      <c r="I52" s="7" t="n">
        <v>3651</v>
      </c>
      <c r="J52" s="7" t="inlineStr">
        <is>
          <t>sdk_usage_metadata</t>
        </is>
      </c>
      <c r="K52" s="7" t="inlineStr">
        <is>
          <t>success</t>
        </is>
      </c>
      <c r="L52" s="7" t="inlineStr"/>
      <c r="M52" s="7" t="n">
        <v>24</v>
      </c>
    </row>
    <row r="53" ht="34" customHeight="1">
      <c r="A53" s="7" t="n">
        <v>52</v>
      </c>
      <c r="B53" s="7" t="inlineStr">
        <is>
          <t>2026-07-30T13:03:20Z</t>
        </is>
      </c>
      <c r="C53" s="7" t="inlineStr">
        <is>
          <t>common</t>
        </is>
      </c>
      <c r="D53" s="7" t="inlineStr">
        <is>
          <t>guided_causal_engine</t>
        </is>
      </c>
      <c r="E53" s="7" t="n">
        <v>6</v>
      </c>
      <c r="F53" s="7" t="inlineStr">
        <is>
          <t>gemini-3.5-flash</t>
        </is>
      </c>
      <c r="G53" s="7" t="n">
        <v>921</v>
      </c>
      <c r="H53" s="7" t="n">
        <v>252</v>
      </c>
      <c r="I53" s="7" t="n">
        <v>2147</v>
      </c>
      <c r="J53" s="7" t="inlineStr">
        <is>
          <t>sdk_usage_metadata</t>
        </is>
      </c>
      <c r="K53" s="7" t="inlineStr">
        <is>
          <t>success</t>
        </is>
      </c>
      <c r="L53" s="7" t="inlineStr"/>
      <c r="M53" s="7" t="n">
        <v>25</v>
      </c>
    </row>
    <row r="54" ht="34" customHeight="1">
      <c r="A54" s="7" t="n">
        <v>53</v>
      </c>
      <c r="B54" s="7" t="inlineStr">
        <is>
          <t>2026-07-30T13:03:24Z</t>
        </is>
      </c>
      <c r="C54" s="7" t="inlineStr">
        <is>
          <t>vlm_guided</t>
        </is>
      </c>
      <c r="D54" s="7" t="inlineStr">
        <is>
          <t>vlm_guided_scoring</t>
        </is>
      </c>
      <c r="E54" s="7" t="n">
        <v>6</v>
      </c>
      <c r="F54" s="7" t="inlineStr">
        <is>
          <t>gemini-3.5-flash</t>
        </is>
      </c>
      <c r="G54" s="7" t="n">
        <v>1159</v>
      </c>
      <c r="H54" s="7" t="n">
        <v>95</v>
      </c>
      <c r="I54" s="7" t="n">
        <v>2075</v>
      </c>
      <c r="J54" s="7" t="inlineStr">
        <is>
          <t>sdk_usage_metadata</t>
        </is>
      </c>
      <c r="K54" s="7" t="inlineStr">
        <is>
          <t>success</t>
        </is>
      </c>
      <c r="L54" s="7" t="inlineStr"/>
      <c r="M54" s="7" t="n">
        <v>8</v>
      </c>
    </row>
    <row r="55" ht="34" customHeight="1">
      <c r="A55" s="7" t="n">
        <v>54</v>
      </c>
      <c r="B55" s="7" t="inlineStr">
        <is>
          <t>2026-07-30T13:03:52Z</t>
        </is>
      </c>
      <c r="C55" s="7" t="inlineStr">
        <is>
          <t>vlm_free</t>
        </is>
      </c>
      <c r="D55" s="7" t="inlineStr">
        <is>
          <t>vlm_free_descriptive_causal</t>
        </is>
      </c>
      <c r="E55" s="7" t="n">
        <v>7</v>
      </c>
      <c r="F55" s="7" t="inlineStr">
        <is>
          <t>gemini-3.5-flash</t>
        </is>
      </c>
      <c r="G55" s="7" t="n">
        <v>738</v>
      </c>
      <c r="H55" s="7" t="n">
        <v>741</v>
      </c>
      <c r="I55" s="7" t="n">
        <v>3323</v>
      </c>
      <c r="J55" s="7" t="inlineStr">
        <is>
          <t>sdk_usage_metadata</t>
        </is>
      </c>
      <c r="K55" s="7" t="inlineStr">
        <is>
          <t>success</t>
        </is>
      </c>
      <c r="L55" s="7" t="inlineStr"/>
      <c r="M55" s="7" t="n">
        <v>21</v>
      </c>
    </row>
    <row r="56" ht="34" customHeight="1">
      <c r="A56" s="7" t="n">
        <v>55</v>
      </c>
      <c r="B56" s="7" t="inlineStr">
        <is>
          <t>2026-07-30T13:03:57Z</t>
        </is>
      </c>
      <c r="C56" s="7" t="inlineStr">
        <is>
          <t>vlm_free</t>
        </is>
      </c>
      <c r="D56" s="7" t="inlineStr">
        <is>
          <t>vlm_free_scoring</t>
        </is>
      </c>
      <c r="E56" s="7" t="n">
        <v>7</v>
      </c>
      <c r="F56" s="7" t="inlineStr">
        <is>
          <t>gemini-3.5-flash</t>
        </is>
      </c>
      <c r="G56" s="7" t="n">
        <v>1037</v>
      </c>
      <c r="H56" s="7" t="n">
        <v>167</v>
      </c>
      <c r="I56" s="7" t="n">
        <v>1880</v>
      </c>
      <c r="J56" s="7" t="inlineStr">
        <is>
          <t>sdk_usage_metadata</t>
        </is>
      </c>
      <c r="K56" s="7" t="inlineStr">
        <is>
          <t>success</t>
        </is>
      </c>
      <c r="L56" s="7" t="inlineStr"/>
      <c r="M56" s="7" t="n">
        <v>22</v>
      </c>
    </row>
    <row r="57" ht="34" customHeight="1">
      <c r="A57" s="7" t="n">
        <v>56</v>
      </c>
      <c r="B57" s="7" t="inlineStr">
        <is>
          <t>2026-07-30T13:04:03Z</t>
        </is>
      </c>
      <c r="C57" s="7" t="inlineStr">
        <is>
          <t>vlm_free</t>
        </is>
      </c>
      <c r="D57" s="7" t="inlineStr">
        <is>
          <t>vlm_free_scoring</t>
        </is>
      </c>
      <c r="E57" s="7" t="n">
        <v>7</v>
      </c>
      <c r="F57" s="7" t="inlineStr">
        <is>
          <t>gemini-3.5-flash</t>
        </is>
      </c>
      <c r="G57" s="7" t="n">
        <v>1037</v>
      </c>
      <c r="H57" s="7" t="n">
        <v>115</v>
      </c>
      <c r="I57" s="7" t="n">
        <v>1987</v>
      </c>
      <c r="J57" s="7" t="inlineStr">
        <is>
          <t>sdk_usage_metadata</t>
        </is>
      </c>
      <c r="K57" s="7" t="inlineStr">
        <is>
          <t>success</t>
        </is>
      </c>
      <c r="L57" s="7" t="inlineStr"/>
      <c r="M57" s="7" t="n">
        <v>23</v>
      </c>
    </row>
    <row r="58" ht="34" customHeight="1">
      <c r="A58" s="7" t="n">
        <v>57</v>
      </c>
      <c r="B58" s="7" t="inlineStr">
        <is>
          <t>2026-07-30T13:04:09Z</t>
        </is>
      </c>
      <c r="C58" s="7" t="inlineStr">
        <is>
          <t>common</t>
        </is>
      </c>
      <c r="D58" s="7" t="inlineStr">
        <is>
          <t>guided_descriptive_prompt</t>
        </is>
      </c>
      <c r="E58" s="7" t="n">
        <v>7</v>
      </c>
      <c r="F58" s="7" t="inlineStr">
        <is>
          <t>gemini-3.5-flash</t>
        </is>
      </c>
      <c r="G58" s="7" t="n">
        <v>578</v>
      </c>
      <c r="H58" s="7" t="n">
        <v>317</v>
      </c>
      <c r="I58" s="7" t="n">
        <v>1662</v>
      </c>
      <c r="J58" s="7" t="inlineStr">
        <is>
          <t>sdk_usage_metadata</t>
        </is>
      </c>
      <c r="K58" s="7" t="inlineStr">
        <is>
          <t>success</t>
        </is>
      </c>
      <c r="L58" s="7" t="inlineStr"/>
      <c r="M58" s="7" t="n">
        <v>26</v>
      </c>
    </row>
    <row r="59" ht="34" customHeight="1">
      <c r="A59" s="7" t="n">
        <v>58</v>
      </c>
      <c r="B59" s="7" t="inlineStr">
        <is>
          <t>2026-07-30T13:04:14Z</t>
        </is>
      </c>
      <c r="C59" s="7" t="inlineStr">
        <is>
          <t>common</t>
        </is>
      </c>
      <c r="D59" s="7" t="inlineStr">
        <is>
          <t>guided_question_set</t>
        </is>
      </c>
      <c r="E59" s="7" t="n">
        <v>7</v>
      </c>
      <c r="F59" s="7" t="inlineStr">
        <is>
          <t>gemini-3.5-flash</t>
        </is>
      </c>
      <c r="G59" s="7" t="n">
        <v>1797</v>
      </c>
      <c r="H59" s="7" t="n">
        <v>297</v>
      </c>
      <c r="I59" s="7" t="n">
        <v>2757</v>
      </c>
      <c r="J59" s="7" t="inlineStr">
        <is>
          <t>sdk_usage_metadata</t>
        </is>
      </c>
      <c r="K59" s="7" t="inlineStr">
        <is>
          <t>success</t>
        </is>
      </c>
      <c r="L59" s="7" t="inlineStr"/>
      <c r="M59" s="7" t="n">
        <v>27</v>
      </c>
    </row>
    <row r="60" ht="34" customHeight="1">
      <c r="A60" s="7" t="n">
        <v>59</v>
      </c>
      <c r="B60" s="7" t="inlineStr">
        <is>
          <t>2026-07-30T13:04:20Z</t>
        </is>
      </c>
      <c r="C60" s="7" t="inlineStr">
        <is>
          <t>common</t>
        </is>
      </c>
      <c r="D60" s="7" t="inlineStr">
        <is>
          <t>guided_question_set</t>
        </is>
      </c>
      <c r="E60" s="7" t="n">
        <v>7</v>
      </c>
      <c r="F60" s="7" t="inlineStr">
        <is>
          <t>gemini-3.5-flash</t>
        </is>
      </c>
      <c r="G60" s="7" t="n">
        <v>1797</v>
      </c>
      <c r="H60" s="7" t="n">
        <v>294</v>
      </c>
      <c r="I60" s="7" t="n">
        <v>2757</v>
      </c>
      <c r="J60" s="7" t="inlineStr">
        <is>
          <t>sdk_usage_metadata</t>
        </is>
      </c>
      <c r="K60" s="7" t="inlineStr">
        <is>
          <t>success</t>
        </is>
      </c>
      <c r="L60" s="7" t="inlineStr"/>
      <c r="M60" s="7" t="n">
        <v>28</v>
      </c>
    </row>
    <row r="61" ht="34" customHeight="1">
      <c r="A61" s="7" t="n">
        <v>60</v>
      </c>
      <c r="B61" s="7" t="inlineStr">
        <is>
          <t>2026-07-30T13:04:28Z</t>
        </is>
      </c>
      <c r="C61" s="7" t="inlineStr">
        <is>
          <t>common</t>
        </is>
      </c>
      <c r="D61" s="7" t="inlineStr">
        <is>
          <t>guided_question_set</t>
        </is>
      </c>
      <c r="E61" s="7" t="n">
        <v>7</v>
      </c>
      <c r="F61" s="7" t="inlineStr">
        <is>
          <t>gemini-3.5-flash</t>
        </is>
      </c>
      <c r="G61" s="7" t="n">
        <v>1797</v>
      </c>
      <c r="H61" s="7" t="n">
        <v>290</v>
      </c>
      <c r="I61" s="7" t="n">
        <v>2964</v>
      </c>
      <c r="J61" s="7" t="inlineStr">
        <is>
          <t>sdk_usage_metadata</t>
        </is>
      </c>
      <c r="K61" s="7" t="inlineStr">
        <is>
          <t>success</t>
        </is>
      </c>
      <c r="L61" s="7" t="inlineStr"/>
      <c r="M61" s="7" t="n">
        <v>29</v>
      </c>
    </row>
    <row r="62" ht="34" customHeight="1">
      <c r="A62" s="7" t="n">
        <v>61</v>
      </c>
      <c r="B62" s="7" t="inlineStr">
        <is>
          <t>2026-07-30T13:04:34Z</t>
        </is>
      </c>
      <c r="C62" s="7" t="inlineStr">
        <is>
          <t>common</t>
        </is>
      </c>
      <c r="D62" s="7" t="inlineStr">
        <is>
          <t>guided_causal_engine</t>
        </is>
      </c>
      <c r="E62" s="7" t="n">
        <v>7</v>
      </c>
      <c r="F62" s="7" t="inlineStr">
        <is>
          <t>gemini-3.5-flash</t>
        </is>
      </c>
      <c r="G62" s="7" t="n">
        <v>891</v>
      </c>
      <c r="H62" s="7" t="n">
        <v>168</v>
      </c>
      <c r="I62" s="7" t="n">
        <v>2133</v>
      </c>
      <c r="J62" s="7" t="inlineStr">
        <is>
          <t>sdk_usage_metadata</t>
        </is>
      </c>
      <c r="K62" s="7" t="inlineStr">
        <is>
          <t>success</t>
        </is>
      </c>
      <c r="L62" s="7" t="inlineStr"/>
      <c r="M62" s="7" t="n">
        <v>30</v>
      </c>
    </row>
    <row r="63" ht="34" customHeight="1">
      <c r="A63" s="7" t="n">
        <v>62</v>
      </c>
      <c r="B63" s="7" t="inlineStr">
        <is>
          <t>2026-07-30T13:04:41Z</t>
        </is>
      </c>
      <c r="C63" s="7" t="inlineStr">
        <is>
          <t>common</t>
        </is>
      </c>
      <c r="D63" s="7" t="inlineStr">
        <is>
          <t>guided_causal_engine</t>
        </is>
      </c>
      <c r="E63" s="7" t="n">
        <v>7</v>
      </c>
      <c r="F63" s="7" t="inlineStr">
        <is>
          <t>gemini-3.5-flash</t>
        </is>
      </c>
      <c r="G63" s="7" t="n">
        <v>891</v>
      </c>
      <c r="H63" s="7" t="n">
        <v>155</v>
      </c>
      <c r="I63" s="7" t="n">
        <v>2157</v>
      </c>
      <c r="J63" s="7" t="inlineStr">
        <is>
          <t>sdk_usage_metadata</t>
        </is>
      </c>
      <c r="K63" s="7" t="inlineStr">
        <is>
          <t>success</t>
        </is>
      </c>
      <c r="L63" s="7" t="inlineStr"/>
      <c r="M63" s="7" t="n">
        <v>31</v>
      </c>
    </row>
    <row r="64" ht="34" customHeight="1">
      <c r="A64" s="7" t="n">
        <v>63</v>
      </c>
      <c r="B64" s="7" t="inlineStr">
        <is>
          <t>2026-07-30T13:04:45Z</t>
        </is>
      </c>
      <c r="C64" s="7" t="inlineStr">
        <is>
          <t>vlm_guided</t>
        </is>
      </c>
      <c r="D64" s="7" t="inlineStr">
        <is>
          <t>vlm_guided_scoring</t>
        </is>
      </c>
      <c r="E64" s="7" t="n">
        <v>7</v>
      </c>
      <c r="F64" s="7" t="inlineStr">
        <is>
          <t>gemini-3.5-flash</t>
        </is>
      </c>
      <c r="G64" s="7" t="n">
        <v>1033</v>
      </c>
      <c r="H64" s="7" t="n">
        <v>90</v>
      </c>
      <c r="I64" s="7" t="n">
        <v>1863</v>
      </c>
      <c r="J64" s="7" t="inlineStr">
        <is>
          <t>sdk_usage_metadata</t>
        </is>
      </c>
      <c r="K64" s="7" t="inlineStr">
        <is>
          <t>success</t>
        </is>
      </c>
      <c r="L64" s="7" t="inlineStr"/>
      <c r="M64" s="7" t="n">
        <v>9</v>
      </c>
    </row>
    <row r="65" ht="34" customHeight="1">
      <c r="A65" s="7" t="n">
        <v>64</v>
      </c>
      <c r="B65" s="7" t="inlineStr">
        <is>
          <t>2026-07-30T13:04:51Z</t>
        </is>
      </c>
      <c r="C65" s="7" t="inlineStr">
        <is>
          <t>vlm_guided</t>
        </is>
      </c>
      <c r="D65" s="7" t="inlineStr">
        <is>
          <t>vlm_guided_scoring</t>
        </is>
      </c>
      <c r="E65" s="7" t="n">
        <v>7</v>
      </c>
      <c r="F65" s="7" t="inlineStr">
        <is>
          <t>gemini-3.5-flash</t>
        </is>
      </c>
      <c r="G65" s="7" t="n">
        <v>1033</v>
      </c>
      <c r="H65" s="7" t="n">
        <v>91</v>
      </c>
      <c r="I65" s="7" t="n">
        <v>1940</v>
      </c>
      <c r="J65" s="7" t="inlineStr">
        <is>
          <t>sdk_usage_metadata</t>
        </is>
      </c>
      <c r="K65" s="7" t="inlineStr">
        <is>
          <t>success</t>
        </is>
      </c>
      <c r="L65" s="7" t="inlineStr"/>
      <c r="M65" s="7" t="n">
        <v>10</v>
      </c>
    </row>
    <row r="66" ht="34" customHeight="1">
      <c r="A66" s="7" t="n">
        <v>65</v>
      </c>
      <c r="B66" s="7" t="inlineStr">
        <is>
          <t>2026-07-30T13:05:19Z</t>
        </is>
      </c>
      <c r="C66" s="7" t="inlineStr">
        <is>
          <t>vlm_free</t>
        </is>
      </c>
      <c r="D66" s="7" t="inlineStr">
        <is>
          <t>vlm_free_descriptive_causal</t>
        </is>
      </c>
      <c r="E66" s="7" t="n">
        <v>8</v>
      </c>
      <c r="F66" s="7" t="inlineStr">
        <is>
          <t>gemini-3.5-flash</t>
        </is>
      </c>
      <c r="G66" s="7" t="n">
        <v>738</v>
      </c>
      <c r="H66" s="7" t="n">
        <v>531</v>
      </c>
      <c r="I66" s="7" t="n">
        <v>2686</v>
      </c>
      <c r="J66" s="7" t="inlineStr">
        <is>
          <t>sdk_usage_metadata</t>
        </is>
      </c>
      <c r="K66" s="7" t="inlineStr">
        <is>
          <t>success</t>
        </is>
      </c>
      <c r="L66" s="7" t="inlineStr"/>
      <c r="M66" s="7" t="n">
        <v>24</v>
      </c>
    </row>
    <row r="67" ht="34" customHeight="1">
      <c r="A67" s="7" t="n">
        <v>66</v>
      </c>
      <c r="B67" s="7" t="inlineStr">
        <is>
          <t>2026-07-30T13:05:25Z</t>
        </is>
      </c>
      <c r="C67" s="7" t="inlineStr">
        <is>
          <t>vlm_free</t>
        </is>
      </c>
      <c r="D67" s="7" t="inlineStr">
        <is>
          <t>vlm_free_scoring</t>
        </is>
      </c>
      <c r="E67" s="7" t="n">
        <v>8</v>
      </c>
      <c r="F67" s="7" t="inlineStr">
        <is>
          <t>gemini-3.5-flash</t>
        </is>
      </c>
      <c r="G67" s="7" t="n">
        <v>827</v>
      </c>
      <c r="H67" s="7" t="n">
        <v>136</v>
      </c>
      <c r="I67" s="7" t="n">
        <v>1845</v>
      </c>
      <c r="J67" s="7" t="inlineStr">
        <is>
          <t>sdk_usage_metadata</t>
        </is>
      </c>
      <c r="K67" s="7" t="inlineStr">
        <is>
          <t>success</t>
        </is>
      </c>
      <c r="L67" s="7" t="inlineStr"/>
      <c r="M67" s="7" t="n">
        <v>25</v>
      </c>
    </row>
    <row r="68" ht="34" customHeight="1">
      <c r="A68" s="7" t="n">
        <v>67</v>
      </c>
      <c r="B68" s="7" t="inlineStr">
        <is>
          <t>2026-07-30T13:05:32Z</t>
        </is>
      </c>
      <c r="C68" s="7" t="inlineStr">
        <is>
          <t>common</t>
        </is>
      </c>
      <c r="D68" s="7" t="inlineStr">
        <is>
          <t>guided_descriptive_prompt</t>
        </is>
      </c>
      <c r="E68" s="7" t="n">
        <v>8</v>
      </c>
      <c r="F68" s="7" t="inlineStr">
        <is>
          <t>gemini-3.5-flash</t>
        </is>
      </c>
      <c r="G68" s="7" t="n">
        <v>578</v>
      </c>
      <c r="H68" s="7" t="n">
        <v>322</v>
      </c>
      <c r="I68" s="7" t="n">
        <v>1864</v>
      </c>
      <c r="J68" s="7" t="inlineStr">
        <is>
          <t>sdk_usage_metadata</t>
        </is>
      </c>
      <c r="K68" s="7" t="inlineStr">
        <is>
          <t>success</t>
        </is>
      </c>
      <c r="L68" s="7" t="inlineStr"/>
      <c r="M68" s="7" t="n">
        <v>32</v>
      </c>
    </row>
    <row r="69" ht="34" customHeight="1">
      <c r="A69" s="7" t="n">
        <v>68</v>
      </c>
      <c r="B69" s="7" t="inlineStr">
        <is>
          <t>2026-07-30T13:05:40Z</t>
        </is>
      </c>
      <c r="C69" s="7" t="inlineStr">
        <is>
          <t>common</t>
        </is>
      </c>
      <c r="D69" s="7" t="inlineStr">
        <is>
          <t>guided_question_set</t>
        </is>
      </c>
      <c r="E69" s="7" t="n">
        <v>8</v>
      </c>
      <c r="F69" s="7" t="inlineStr">
        <is>
          <t>gemini-3.5-flash</t>
        </is>
      </c>
      <c r="G69" s="7" t="n">
        <v>1802</v>
      </c>
      <c r="H69" s="7" t="n">
        <v>355</v>
      </c>
      <c r="I69" s="7" t="n">
        <v>3415</v>
      </c>
      <c r="J69" s="7" t="inlineStr">
        <is>
          <t>sdk_usage_metadata</t>
        </is>
      </c>
      <c r="K69" s="7" t="inlineStr">
        <is>
          <t>success</t>
        </is>
      </c>
      <c r="L69" s="7" t="inlineStr"/>
      <c r="M69" s="7" t="n">
        <v>33</v>
      </c>
    </row>
    <row r="70" ht="34" customHeight="1">
      <c r="A70" s="7" t="n">
        <v>69</v>
      </c>
      <c r="B70" s="7" t="inlineStr">
        <is>
          <t>2026-07-30T13:05:48Z</t>
        </is>
      </c>
      <c r="C70" s="7" t="inlineStr">
        <is>
          <t>common</t>
        </is>
      </c>
      <c r="D70" s="7" t="inlineStr">
        <is>
          <t>guided_causal_engine</t>
        </is>
      </c>
      <c r="E70" s="7" t="n">
        <v>8</v>
      </c>
      <c r="F70" s="7" t="inlineStr">
        <is>
          <t>gemini-3.5-flash</t>
        </is>
      </c>
      <c r="G70" s="7" t="n">
        <v>962</v>
      </c>
      <c r="H70" s="7" t="n">
        <v>244</v>
      </c>
      <c r="I70" s="7" t="n">
        <v>2424</v>
      </c>
      <c r="J70" s="7" t="inlineStr">
        <is>
          <t>sdk_usage_metadata</t>
        </is>
      </c>
      <c r="K70" s="7" t="inlineStr">
        <is>
          <t>success</t>
        </is>
      </c>
      <c r="L70" s="7" t="inlineStr"/>
      <c r="M70" s="7" t="n">
        <v>34</v>
      </c>
    </row>
    <row r="71" ht="34" customHeight="1">
      <c r="A71" s="7" t="n">
        <v>70</v>
      </c>
      <c r="B71" s="7" t="inlineStr">
        <is>
          <t>2026-07-30T13:05:52Z</t>
        </is>
      </c>
      <c r="C71" s="7" t="inlineStr">
        <is>
          <t>vlm_guided</t>
        </is>
      </c>
      <c r="D71" s="7" t="inlineStr">
        <is>
          <t>vlm_guided_scoring</t>
        </is>
      </c>
      <c r="E71" s="7" t="n">
        <v>8</v>
      </c>
      <c r="F71" s="7" t="inlineStr">
        <is>
          <t>gemini-3.5-flash</t>
        </is>
      </c>
      <c r="G71" s="7" t="n">
        <v>1193</v>
      </c>
      <c r="H71" s="7" t="n">
        <v>90</v>
      </c>
      <c r="I71" s="7" t="n">
        <v>2081</v>
      </c>
      <c r="J71" s="7" t="inlineStr">
        <is>
          <t>sdk_usage_metadata</t>
        </is>
      </c>
      <c r="K71" s="7" t="inlineStr">
        <is>
          <t>success</t>
        </is>
      </c>
      <c r="L71" s="7" t="inlineStr"/>
      <c r="M71" s="7" t="n">
        <v>11</v>
      </c>
    </row>
    <row r="72" ht="34" customHeight="1">
      <c r="A72" s="7" t="n">
        <v>71</v>
      </c>
      <c r="B72" s="7" t="inlineStr">
        <is>
          <t>2026-07-30T13:05:58Z</t>
        </is>
      </c>
      <c r="C72" s="7" t="inlineStr">
        <is>
          <t>vlm_guided</t>
        </is>
      </c>
      <c r="D72" s="7" t="inlineStr">
        <is>
          <t>vlm_guided_scoring</t>
        </is>
      </c>
      <c r="E72" s="7" t="n">
        <v>8</v>
      </c>
      <c r="F72" s="7" t="inlineStr">
        <is>
          <t>gemini-3.5-flash</t>
        </is>
      </c>
      <c r="G72" s="7" t="n">
        <v>1193</v>
      </c>
      <c r="H72" s="7" t="n">
        <v>93</v>
      </c>
      <c r="I72" s="7" t="n">
        <v>2063</v>
      </c>
      <c r="J72" s="7" t="inlineStr">
        <is>
          <t>sdk_usage_metadata</t>
        </is>
      </c>
      <c r="K72" s="7" t="inlineStr">
        <is>
          <t>success</t>
        </is>
      </c>
      <c r="L72" s="7" t="inlineStr"/>
      <c r="M72" s="7" t="n">
        <v>12</v>
      </c>
    </row>
    <row r="73" ht="34" customHeight="1">
      <c r="A73" s="7" t="n">
        <v>72</v>
      </c>
      <c r="B73" s="7" t="inlineStr">
        <is>
          <t>2026-07-30T13:06:25Z</t>
        </is>
      </c>
      <c r="C73" s="7" t="inlineStr">
        <is>
          <t>vlm_free</t>
        </is>
      </c>
      <c r="D73" s="7" t="inlineStr">
        <is>
          <t>vlm_free_descriptive_causal</t>
        </is>
      </c>
      <c r="E73" s="7" t="n">
        <v>9</v>
      </c>
      <c r="F73" s="7" t="inlineStr">
        <is>
          <t>gemini-3.5-flash</t>
        </is>
      </c>
      <c r="G73" s="7" t="n">
        <v>738</v>
      </c>
      <c r="H73" s="7" t="n">
        <v>692</v>
      </c>
      <c r="I73" s="7" t="n">
        <v>3172</v>
      </c>
      <c r="J73" s="7" t="inlineStr">
        <is>
          <t>sdk_usage_metadata</t>
        </is>
      </c>
      <c r="K73" s="7" t="inlineStr">
        <is>
          <t>success</t>
        </is>
      </c>
      <c r="L73" s="7" t="inlineStr"/>
      <c r="M73" s="7" t="n">
        <v>26</v>
      </c>
    </row>
    <row r="74" ht="34" customHeight="1">
      <c r="A74" s="7" t="n">
        <v>73</v>
      </c>
      <c r="B74" s="7" t="inlineStr">
        <is>
          <t>2026-07-30T13:06:29Z</t>
        </is>
      </c>
      <c r="C74" s="7" t="inlineStr">
        <is>
          <t>vlm_free</t>
        </is>
      </c>
      <c r="D74" s="7" t="inlineStr">
        <is>
          <t>vlm_free_scoring</t>
        </is>
      </c>
      <c r="E74" s="7" t="n">
        <v>9</v>
      </c>
      <c r="F74" s="7" t="inlineStr">
        <is>
          <t>gemini-3.5-flash</t>
        </is>
      </c>
      <c r="G74" s="7" t="n">
        <v>987</v>
      </c>
      <c r="H74" s="7" t="n">
        <v>126</v>
      </c>
      <c r="I74" s="7" t="n">
        <v>1805</v>
      </c>
      <c r="J74" s="7" t="inlineStr">
        <is>
          <t>sdk_usage_metadata</t>
        </is>
      </c>
      <c r="K74" s="7" t="inlineStr">
        <is>
          <t>success</t>
        </is>
      </c>
      <c r="L74" s="7" t="inlineStr"/>
      <c r="M74" s="7" t="n">
        <v>27</v>
      </c>
    </row>
    <row r="75" ht="34" customHeight="1">
      <c r="A75" s="7" t="n">
        <v>74</v>
      </c>
      <c r="B75" s="7" t="inlineStr">
        <is>
          <t>2026-07-30T13:06:34Z</t>
        </is>
      </c>
      <c r="C75" s="7" t="inlineStr">
        <is>
          <t>vlm_free</t>
        </is>
      </c>
      <c r="D75" s="7" t="inlineStr">
        <is>
          <t>vlm_free_scoring</t>
        </is>
      </c>
      <c r="E75" s="7" t="n">
        <v>9</v>
      </c>
      <c r="F75" s="7" t="inlineStr">
        <is>
          <t>gemini-3.5-flash</t>
        </is>
      </c>
      <c r="G75" s="7" t="n">
        <v>987</v>
      </c>
      <c r="H75" s="7" t="n">
        <v>152</v>
      </c>
      <c r="I75" s="7" t="n">
        <v>1692</v>
      </c>
      <c r="J75" s="7" t="inlineStr">
        <is>
          <t>sdk_usage_metadata</t>
        </is>
      </c>
      <c r="K75" s="7" t="inlineStr">
        <is>
          <t>success</t>
        </is>
      </c>
      <c r="L75" s="7" t="inlineStr"/>
      <c r="M75" s="7" t="n">
        <v>28</v>
      </c>
    </row>
    <row r="76" ht="34" customHeight="1">
      <c r="A76" s="7" t="n">
        <v>75</v>
      </c>
      <c r="B76" s="7" t="inlineStr">
        <is>
          <t>2026-07-30T13:06:39Z</t>
        </is>
      </c>
      <c r="C76" s="7" t="inlineStr">
        <is>
          <t>vlm_free</t>
        </is>
      </c>
      <c r="D76" s="7" t="inlineStr">
        <is>
          <t>vlm_free_scoring</t>
        </is>
      </c>
      <c r="E76" s="7" t="n">
        <v>9</v>
      </c>
      <c r="F76" s="7" t="inlineStr">
        <is>
          <t>gemini-3.5-flash</t>
        </is>
      </c>
      <c r="G76" s="7" t="n">
        <v>987</v>
      </c>
      <c r="H76" s="7" t="n">
        <v>155</v>
      </c>
      <c r="I76" s="7" t="n">
        <v>1671</v>
      </c>
      <c r="J76" s="7" t="inlineStr">
        <is>
          <t>sdk_usage_metadata</t>
        </is>
      </c>
      <c r="K76" s="7" t="inlineStr">
        <is>
          <t>success</t>
        </is>
      </c>
      <c r="L76" s="7" t="inlineStr"/>
      <c r="M76" s="7" t="n">
        <v>29</v>
      </c>
    </row>
    <row r="77" ht="34" customHeight="1">
      <c r="A77" s="7" t="n">
        <v>76</v>
      </c>
      <c r="B77" s="7" t="inlineStr">
        <is>
          <t>2026-07-30T13:06:45Z</t>
        </is>
      </c>
      <c r="C77" s="7" t="inlineStr">
        <is>
          <t>common</t>
        </is>
      </c>
      <c r="D77" s="7" t="inlineStr">
        <is>
          <t>guided_descriptive_prompt</t>
        </is>
      </c>
      <c r="E77" s="7" t="n">
        <v>9</v>
      </c>
      <c r="F77" s="7" t="inlineStr">
        <is>
          <t>gemini-3.5-flash</t>
        </is>
      </c>
      <c r="G77" s="7" t="n">
        <v>578</v>
      </c>
      <c r="H77" s="7" t="n">
        <v>311</v>
      </c>
      <c r="I77" s="7" t="n">
        <v>1653</v>
      </c>
      <c r="J77" s="7" t="inlineStr">
        <is>
          <t>sdk_usage_metadata</t>
        </is>
      </c>
      <c r="K77" s="7" t="inlineStr">
        <is>
          <t>success</t>
        </is>
      </c>
      <c r="L77" s="7" t="inlineStr"/>
      <c r="M77" s="7" t="n">
        <v>35</v>
      </c>
    </row>
    <row r="78" ht="34" customHeight="1">
      <c r="A78" s="7" t="n">
        <v>77</v>
      </c>
      <c r="B78" s="7" t="inlineStr">
        <is>
          <t>2026-07-30T13:06:52Z</t>
        </is>
      </c>
      <c r="C78" s="7" t="inlineStr">
        <is>
          <t>common</t>
        </is>
      </c>
      <c r="D78" s="7" t="inlineStr">
        <is>
          <t>guided_descriptive_prompt</t>
        </is>
      </c>
      <c r="E78" s="7" t="n">
        <v>9</v>
      </c>
      <c r="F78" s="7" t="inlineStr">
        <is>
          <t>gemini-3.5-flash</t>
        </is>
      </c>
      <c r="G78" s="7" t="n">
        <v>578</v>
      </c>
      <c r="H78" s="7" t="n">
        <v>321</v>
      </c>
      <c r="I78" s="7" t="n">
        <v>1690</v>
      </c>
      <c r="J78" s="7" t="inlineStr">
        <is>
          <t>sdk_usage_metadata</t>
        </is>
      </c>
      <c r="K78" s="7" t="inlineStr">
        <is>
          <t>success</t>
        </is>
      </c>
      <c r="L78" s="7" t="inlineStr"/>
      <c r="M78" s="7" t="n">
        <v>36</v>
      </c>
    </row>
    <row r="79" ht="34" customHeight="1">
      <c r="A79" s="7" t="n">
        <v>78</v>
      </c>
      <c r="B79" s="7" t="inlineStr">
        <is>
          <t>2026-07-30T13:06:59Z</t>
        </is>
      </c>
      <c r="C79" s="7" t="inlineStr">
        <is>
          <t>common</t>
        </is>
      </c>
      <c r="D79" s="7" t="inlineStr">
        <is>
          <t>guided_question_set</t>
        </is>
      </c>
      <c r="E79" s="7" t="n">
        <v>9</v>
      </c>
      <c r="F79" s="7" t="inlineStr">
        <is>
          <t>gemini-3.5-flash</t>
        </is>
      </c>
      <c r="G79" s="7" t="n">
        <v>1801</v>
      </c>
      <c r="H79" s="7" t="n">
        <v>308</v>
      </c>
      <c r="I79" s="7" t="n">
        <v>3292</v>
      </c>
      <c r="J79" s="7" t="inlineStr">
        <is>
          <t>sdk_usage_metadata</t>
        </is>
      </c>
      <c r="K79" s="7" t="inlineStr">
        <is>
          <t>success</t>
        </is>
      </c>
      <c r="L79" s="7" t="inlineStr"/>
      <c r="M79" s="7" t="n">
        <v>37</v>
      </c>
    </row>
    <row r="80" ht="34" customHeight="1">
      <c r="A80" s="7" t="n">
        <v>79</v>
      </c>
      <c r="B80" s="7" t="inlineStr">
        <is>
          <t>2026-07-30T13:07:06Z</t>
        </is>
      </c>
      <c r="C80" s="7" t="inlineStr">
        <is>
          <t>common</t>
        </is>
      </c>
      <c r="D80" s="7" t="inlineStr">
        <is>
          <t>guided_causal_engine</t>
        </is>
      </c>
      <c r="E80" s="7" t="n">
        <v>9</v>
      </c>
      <c r="F80" s="7" t="inlineStr">
        <is>
          <t>gemini-3.5-flash</t>
        </is>
      </c>
      <c r="G80" s="7" t="n">
        <v>914</v>
      </c>
      <c r="H80" s="7" t="n">
        <v>76</v>
      </c>
      <c r="I80" s="7" t="n">
        <v>2271</v>
      </c>
      <c r="J80" s="7" t="inlineStr">
        <is>
          <t>sdk_usage_metadata</t>
        </is>
      </c>
      <c r="K80" s="7" t="inlineStr">
        <is>
          <t>success</t>
        </is>
      </c>
      <c r="L80" s="7" t="inlineStr"/>
      <c r="M80" s="7" t="n">
        <v>38</v>
      </c>
    </row>
    <row r="81" ht="34" customHeight="1">
      <c r="A81" s="7" t="n">
        <v>80</v>
      </c>
      <c r="B81" s="7" t="inlineStr">
        <is>
          <t>2026-07-30T13:07:11Z</t>
        </is>
      </c>
      <c r="C81" s="7" t="inlineStr">
        <is>
          <t>vlm_guided</t>
        </is>
      </c>
      <c r="D81" s="7" t="inlineStr">
        <is>
          <t>vlm_guided_scoring</t>
        </is>
      </c>
      <c r="E81" s="7" t="n">
        <v>9</v>
      </c>
      <c r="F81" s="7" t="inlineStr">
        <is>
          <t>gemini-3.5-flash</t>
        </is>
      </c>
      <c r="G81" s="7" t="n">
        <v>976</v>
      </c>
      <c r="H81" s="7" t="n">
        <v>80</v>
      </c>
      <c r="I81" s="7" t="n">
        <v>1807</v>
      </c>
      <c r="J81" s="7" t="inlineStr">
        <is>
          <t>sdk_usage_metadata</t>
        </is>
      </c>
      <c r="K81" s="7" t="inlineStr">
        <is>
          <t>success</t>
        </is>
      </c>
      <c r="L81" s="7" t="inlineStr"/>
      <c r="M81" s="7" t="n">
        <v>13</v>
      </c>
    </row>
    <row r="82" ht="34" customHeight="1">
      <c r="A82" s="7" t="n">
        <v>81</v>
      </c>
      <c r="B82" s="7" t="inlineStr">
        <is>
          <t>2026-07-30T13:07:16Z</t>
        </is>
      </c>
      <c r="C82" s="7" t="inlineStr">
        <is>
          <t>vlm_guided</t>
        </is>
      </c>
      <c r="D82" s="7" t="inlineStr">
        <is>
          <t>vlm_guided_scoring</t>
        </is>
      </c>
      <c r="E82" s="7" t="n">
        <v>9</v>
      </c>
      <c r="F82" s="7" t="inlineStr">
        <is>
          <t>gemini-3.5-flash</t>
        </is>
      </c>
      <c r="G82" s="7" t="n">
        <v>976</v>
      </c>
      <c r="H82" s="7" t="n">
        <v>85</v>
      </c>
      <c r="I82" s="7" t="n">
        <v>1798</v>
      </c>
      <c r="J82" s="7" t="inlineStr">
        <is>
          <t>sdk_usage_metadata</t>
        </is>
      </c>
      <c r="K82" s="7" t="inlineStr">
        <is>
          <t>success</t>
        </is>
      </c>
      <c r="L82" s="7" t="inlineStr"/>
      <c r="M82" s="7" t="n">
        <v>14</v>
      </c>
    </row>
    <row r="83" ht="34" customHeight="1">
      <c r="A83" s="7" t="n">
        <v>82</v>
      </c>
      <c r="B83" s="7" t="inlineStr">
        <is>
          <t>2026-07-30T13:07:40Z</t>
        </is>
      </c>
      <c r="C83" s="7" t="inlineStr">
        <is>
          <t>vlm_free</t>
        </is>
      </c>
      <c r="D83" s="7" t="inlineStr">
        <is>
          <t>vlm_free_descriptive_causal</t>
        </is>
      </c>
      <c r="E83" s="7" t="n">
        <v>10</v>
      </c>
      <c r="F83" s="7" t="inlineStr">
        <is>
          <t>gemini-3.5-flash</t>
        </is>
      </c>
      <c r="G83" s="7" t="n">
        <v>738</v>
      </c>
      <c r="H83" s="7" t="n">
        <v>714</v>
      </c>
      <c r="I83" s="7" t="n">
        <v>2354</v>
      </c>
      <c r="J83" s="7" t="inlineStr">
        <is>
          <t>sdk_usage_metadata</t>
        </is>
      </c>
      <c r="K83" s="7" t="inlineStr">
        <is>
          <t>success</t>
        </is>
      </c>
      <c r="L83" s="7" t="inlineStr"/>
      <c r="M83" s="7" t="n">
        <v>30</v>
      </c>
    </row>
    <row r="84" ht="34" customHeight="1">
      <c r="A84" s="7" t="n">
        <v>83</v>
      </c>
      <c r="B84" s="7" t="inlineStr">
        <is>
          <t>2026-07-30T13:07:45Z</t>
        </is>
      </c>
      <c r="C84" s="7" t="inlineStr">
        <is>
          <t>vlm_free</t>
        </is>
      </c>
      <c r="D84" s="7" t="inlineStr">
        <is>
          <t>vlm_free_scoring</t>
        </is>
      </c>
      <c r="E84" s="7" t="n">
        <v>10</v>
      </c>
      <c r="F84" s="7" t="inlineStr">
        <is>
          <t>gemini-3.5-flash</t>
        </is>
      </c>
      <c r="G84" s="7" t="n">
        <v>1010</v>
      </c>
      <c r="H84" s="7" t="n">
        <v>112</v>
      </c>
      <c r="I84" s="7" t="n">
        <v>1781</v>
      </c>
      <c r="J84" s="7" t="inlineStr">
        <is>
          <t>sdk_usage_metadata</t>
        </is>
      </c>
      <c r="K84" s="7" t="inlineStr">
        <is>
          <t>success</t>
        </is>
      </c>
      <c r="L84" s="7" t="inlineStr"/>
      <c r="M84" s="7" t="n">
        <v>31</v>
      </c>
    </row>
    <row r="85" ht="34" customHeight="1">
      <c r="A85" s="7" t="n">
        <v>84</v>
      </c>
      <c r="B85" s="7" t="inlineStr">
        <is>
          <t>2026-07-30T13:07:50Z</t>
        </is>
      </c>
      <c r="C85" s="7" t="inlineStr">
        <is>
          <t>common</t>
        </is>
      </c>
      <c r="D85" s="7" t="inlineStr">
        <is>
          <t>guided_descriptive_prompt</t>
        </is>
      </c>
      <c r="E85" s="7" t="n">
        <v>10</v>
      </c>
      <c r="F85" s="7" t="inlineStr">
        <is>
          <t>gemini-3.5-flash</t>
        </is>
      </c>
      <c r="G85" s="7" t="n">
        <v>578</v>
      </c>
      <c r="H85" s="7" t="n">
        <v>275</v>
      </c>
      <c r="I85" s="7" t="n">
        <v>1588</v>
      </c>
      <c r="J85" s="7" t="inlineStr">
        <is>
          <t>sdk_usage_metadata</t>
        </is>
      </c>
      <c r="K85" s="7" t="inlineStr">
        <is>
          <t>success</t>
        </is>
      </c>
      <c r="L85" s="7" t="inlineStr"/>
      <c r="M85" s="7" t="n">
        <v>39</v>
      </c>
    </row>
    <row r="86" ht="34" customHeight="1">
      <c r="A86" s="7" t="n">
        <v>85</v>
      </c>
      <c r="B86" s="7" t="inlineStr">
        <is>
          <t>2026-07-30T13:07:58Z</t>
        </is>
      </c>
      <c r="C86" s="7" t="inlineStr">
        <is>
          <t>common</t>
        </is>
      </c>
      <c r="D86" s="7" t="inlineStr">
        <is>
          <t>guided_question_set</t>
        </is>
      </c>
      <c r="E86" s="7" t="n">
        <v>10</v>
      </c>
      <c r="F86" s="7" t="inlineStr">
        <is>
          <t>gemini-3.5-flash</t>
        </is>
      </c>
      <c r="G86" s="7" t="n">
        <v>1755</v>
      </c>
      <c r="H86" s="7" t="n">
        <v>299</v>
      </c>
      <c r="I86" s="7" t="n">
        <v>3162</v>
      </c>
      <c r="J86" s="7" t="inlineStr">
        <is>
          <t>sdk_usage_metadata</t>
        </is>
      </c>
      <c r="K86" s="7" t="inlineStr">
        <is>
          <t>success</t>
        </is>
      </c>
      <c r="L86" s="7" t="inlineStr"/>
      <c r="M86" s="7" t="n">
        <v>40</v>
      </c>
    </row>
    <row r="87" ht="34" customHeight="1">
      <c r="A87" s="7" t="n">
        <v>86</v>
      </c>
      <c r="B87" s="7" t="inlineStr">
        <is>
          <t>2026-07-30T13:08:07Z</t>
        </is>
      </c>
      <c r="C87" s="7" t="inlineStr">
        <is>
          <t>common</t>
        </is>
      </c>
      <c r="D87" s="7" t="inlineStr">
        <is>
          <t>guided_question_set</t>
        </is>
      </c>
      <c r="E87" s="7" t="n">
        <v>10</v>
      </c>
      <c r="F87" s="7" t="inlineStr">
        <is>
          <t>gemini-3.5-flash</t>
        </is>
      </c>
      <c r="G87" s="7" t="n">
        <v>1755</v>
      </c>
      <c r="H87" s="7" t="n">
        <v>290</v>
      </c>
      <c r="I87" s="7" t="n">
        <v>3432</v>
      </c>
      <c r="J87" s="7" t="inlineStr">
        <is>
          <t>sdk_usage_metadata</t>
        </is>
      </c>
      <c r="K87" s="7" t="inlineStr">
        <is>
          <t>success</t>
        </is>
      </c>
      <c r="L87" s="7" t="inlineStr"/>
      <c r="M87" s="7" t="n">
        <v>41</v>
      </c>
    </row>
    <row r="88" ht="34" customHeight="1">
      <c r="A88" s="7" t="n">
        <v>87</v>
      </c>
      <c r="B88" s="7" t="inlineStr">
        <is>
          <t>2026-07-30T13:08:15Z</t>
        </is>
      </c>
      <c r="C88" s="7" t="inlineStr">
        <is>
          <t>common</t>
        </is>
      </c>
      <c r="D88" s="7" t="inlineStr">
        <is>
          <t>guided_question_set</t>
        </is>
      </c>
      <c r="E88" s="7" t="n">
        <v>10</v>
      </c>
      <c r="F88" s="7" t="inlineStr">
        <is>
          <t>gemini-3.5-flash</t>
        </is>
      </c>
      <c r="G88" s="7" t="n">
        <v>1755</v>
      </c>
      <c r="H88" s="7" t="n">
        <v>287</v>
      </c>
      <c r="I88" s="7" t="n">
        <v>3256</v>
      </c>
      <c r="J88" s="7" t="inlineStr">
        <is>
          <t>sdk_usage_metadata</t>
        </is>
      </c>
      <c r="K88" s="7" t="inlineStr">
        <is>
          <t>success</t>
        </is>
      </c>
      <c r="L88" s="7" t="inlineStr"/>
      <c r="M88" s="7" t="n">
        <v>42</v>
      </c>
    </row>
    <row r="89" ht="34" customHeight="1">
      <c r="A89" s="7" t="n">
        <v>88</v>
      </c>
      <c r="B89" s="7" t="inlineStr">
        <is>
          <t>2026-07-30T13:08:23Z</t>
        </is>
      </c>
      <c r="C89" s="7" t="inlineStr">
        <is>
          <t>common</t>
        </is>
      </c>
      <c r="D89" s="7" t="inlineStr">
        <is>
          <t>guided_question_set</t>
        </is>
      </c>
      <c r="E89" s="7" t="n">
        <v>10</v>
      </c>
      <c r="F89" s="7" t="inlineStr">
        <is>
          <t>gemini-3.5-flash</t>
        </is>
      </c>
      <c r="G89" s="7" t="n">
        <v>1755</v>
      </c>
      <c r="H89" s="7" t="n">
        <v>293</v>
      </c>
      <c r="I89" s="7" t="n">
        <v>3321</v>
      </c>
      <c r="J89" s="7" t="inlineStr">
        <is>
          <t>sdk_usage_metadata</t>
        </is>
      </c>
      <c r="K89" s="7" t="inlineStr">
        <is>
          <t>success</t>
        </is>
      </c>
      <c r="L89" s="7" t="inlineStr"/>
      <c r="M89" s="7" t="n">
        <v>43</v>
      </c>
    </row>
    <row r="90" ht="34" customHeight="1">
      <c r="A90" s="7" t="n">
        <v>89</v>
      </c>
      <c r="B90" s="7" t="inlineStr">
        <is>
          <t>2026-07-30T13:08:29Z</t>
        </is>
      </c>
      <c r="C90" s="7" t="inlineStr">
        <is>
          <t>common</t>
        </is>
      </c>
      <c r="D90" s="7" t="inlineStr">
        <is>
          <t>guided_causal_engine</t>
        </is>
      </c>
      <c r="E90" s="7" t="n">
        <v>10</v>
      </c>
      <c r="F90" s="7" t="inlineStr">
        <is>
          <t>gemini-3.5-flash</t>
        </is>
      </c>
      <c r="G90" s="7" t="n">
        <v>853</v>
      </c>
      <c r="H90" s="7" t="n">
        <v>85</v>
      </c>
      <c r="I90" s="7" t="n">
        <v>2074</v>
      </c>
      <c r="J90" s="7" t="inlineStr">
        <is>
          <t>sdk_usage_metadata</t>
        </is>
      </c>
      <c r="K90" s="7" t="inlineStr">
        <is>
          <t>success</t>
        </is>
      </c>
      <c r="L90" s="7" t="inlineStr"/>
      <c r="M90" s="7" t="n">
        <v>44</v>
      </c>
    </row>
    <row r="91" ht="34" customHeight="1">
      <c r="A91" s="7" t="n">
        <v>90</v>
      </c>
      <c r="B91" s="7" t="inlineStr">
        <is>
          <t>2026-07-30T13:08:33Z</t>
        </is>
      </c>
      <c r="C91" s="7" t="inlineStr">
        <is>
          <t>vlm_guided</t>
        </is>
      </c>
      <c r="D91" s="7" t="inlineStr">
        <is>
          <t>vlm_guided_scoring</t>
        </is>
      </c>
      <c r="E91" s="7" t="n">
        <v>10</v>
      </c>
      <c r="F91" s="7" t="inlineStr">
        <is>
          <t>gemini-3.5-flash</t>
        </is>
      </c>
      <c r="G91" s="7" t="n">
        <v>925</v>
      </c>
      <c r="H91" s="7" t="n">
        <v>83</v>
      </c>
      <c r="I91" s="7" t="n">
        <v>1721</v>
      </c>
      <c r="J91" s="7" t="inlineStr">
        <is>
          <t>sdk_usage_metadata</t>
        </is>
      </c>
      <c r="K91" s="7" t="inlineStr">
        <is>
          <t>success</t>
        </is>
      </c>
      <c r="L91" s="7" t="inlineStr"/>
      <c r="M91" s="7" t="n">
        <v>15</v>
      </c>
    </row>
    <row r="92" ht="34" customHeight="1">
      <c r="A92" s="7" t="n">
        <v>91</v>
      </c>
      <c r="B92" s="7" t="inlineStr">
        <is>
          <t>2026-07-30T13:09:00Z</t>
        </is>
      </c>
      <c r="C92" s="7" t="inlineStr">
        <is>
          <t>vlm_free</t>
        </is>
      </c>
      <c r="D92" s="7" t="inlineStr">
        <is>
          <t>vlm_free_descriptive_causal</t>
        </is>
      </c>
      <c r="E92" s="7" t="n">
        <v>11</v>
      </c>
      <c r="F92" s="7" t="inlineStr">
        <is>
          <t>gemini-3.5-flash</t>
        </is>
      </c>
      <c r="G92" s="7" t="n">
        <v>738</v>
      </c>
      <c r="H92" s="7" t="n">
        <v>507</v>
      </c>
      <c r="I92" s="7" t="n">
        <v>2747</v>
      </c>
      <c r="J92" s="7" t="inlineStr">
        <is>
          <t>sdk_usage_metadata</t>
        </is>
      </c>
      <c r="K92" s="7" t="inlineStr">
        <is>
          <t>success</t>
        </is>
      </c>
      <c r="L92" s="7" t="inlineStr"/>
      <c r="M92" s="7" t="n">
        <v>32</v>
      </c>
    </row>
    <row r="93" ht="34" customHeight="1">
      <c r="A93" s="7" t="n">
        <v>92</v>
      </c>
      <c r="B93" s="7" t="inlineStr">
        <is>
          <t>2026-07-30T13:09:05Z</t>
        </is>
      </c>
      <c r="C93" s="7" t="inlineStr">
        <is>
          <t>vlm_free</t>
        </is>
      </c>
      <c r="D93" s="7" t="inlineStr">
        <is>
          <t>vlm_free_scoring</t>
        </is>
      </c>
      <c r="E93" s="7" t="n">
        <v>11</v>
      </c>
      <c r="F93" s="7" t="inlineStr">
        <is>
          <t>gemini-3.5-flash</t>
        </is>
      </c>
      <c r="G93" s="7" t="n">
        <v>802</v>
      </c>
      <c r="H93" s="7" t="n">
        <v>147</v>
      </c>
      <c r="I93" s="7" t="n">
        <v>1580</v>
      </c>
      <c r="J93" s="7" t="inlineStr">
        <is>
          <t>sdk_usage_metadata</t>
        </is>
      </c>
      <c r="K93" s="7" t="inlineStr">
        <is>
          <t>success</t>
        </is>
      </c>
      <c r="L93" s="7" t="inlineStr"/>
      <c r="M93" s="7" t="n">
        <v>33</v>
      </c>
    </row>
    <row r="94" ht="34" customHeight="1">
      <c r="A94" s="7" t="n">
        <v>93</v>
      </c>
      <c r="B94" s="7" t="inlineStr">
        <is>
          <t>2026-07-30T13:09:11Z</t>
        </is>
      </c>
      <c r="C94" s="7" t="inlineStr">
        <is>
          <t>common</t>
        </is>
      </c>
      <c r="D94" s="7" t="inlineStr">
        <is>
          <t>guided_descriptive_prompt</t>
        </is>
      </c>
      <c r="E94" s="7" t="n">
        <v>11</v>
      </c>
      <c r="F94" s="7" t="inlineStr">
        <is>
          <t>gemini-3.5-flash</t>
        </is>
      </c>
      <c r="G94" s="7" t="n">
        <v>578</v>
      </c>
      <c r="H94" s="7" t="n">
        <v>315</v>
      </c>
      <c r="I94" s="7" t="n">
        <v>1671</v>
      </c>
      <c r="J94" s="7" t="inlineStr">
        <is>
          <t>sdk_usage_metadata</t>
        </is>
      </c>
      <c r="K94" s="7" t="inlineStr">
        <is>
          <t>success</t>
        </is>
      </c>
      <c r="L94" s="7" t="inlineStr"/>
      <c r="M94" s="7" t="n">
        <v>45</v>
      </c>
    </row>
    <row r="95" ht="34" customHeight="1">
      <c r="A95" s="7" t="n">
        <v>94</v>
      </c>
      <c r="B95" s="7" t="inlineStr">
        <is>
          <t>2026-07-30T13:09:19Z</t>
        </is>
      </c>
      <c r="C95" s="7" t="inlineStr">
        <is>
          <t>common</t>
        </is>
      </c>
      <c r="D95" s="7" t="inlineStr">
        <is>
          <t>guided_question_set</t>
        </is>
      </c>
      <c r="E95" s="7" t="n">
        <v>11</v>
      </c>
      <c r="F95" s="7" t="inlineStr">
        <is>
          <t>gemini-3.5-flash</t>
        </is>
      </c>
      <c r="G95" s="7" t="n">
        <v>1794</v>
      </c>
      <c r="H95" s="7" t="n">
        <v>298</v>
      </c>
      <c r="I95" s="7" t="n">
        <v>3555</v>
      </c>
      <c r="J95" s="7" t="inlineStr">
        <is>
          <t>sdk_usage_metadata</t>
        </is>
      </c>
      <c r="K95" s="7" t="inlineStr">
        <is>
          <t>success</t>
        </is>
      </c>
      <c r="L95" s="7" t="inlineStr"/>
      <c r="M95" s="7" t="n">
        <v>46</v>
      </c>
    </row>
    <row r="96" ht="34" customHeight="1">
      <c r="A96" s="7" t="n">
        <v>95</v>
      </c>
      <c r="B96" s="7" t="inlineStr">
        <is>
          <t>2026-07-30T13:09:27Z</t>
        </is>
      </c>
      <c r="C96" s="7" t="inlineStr">
        <is>
          <t>common</t>
        </is>
      </c>
      <c r="D96" s="7" t="inlineStr">
        <is>
          <t>guided_causal_engine</t>
        </is>
      </c>
      <c r="E96" s="7" t="n">
        <v>11</v>
      </c>
      <c r="F96" s="7" t="inlineStr">
        <is>
          <t>gemini-3.5-flash</t>
        </is>
      </c>
      <c r="G96" s="7" t="n">
        <v>896</v>
      </c>
      <c r="H96" s="7" t="n">
        <v>231</v>
      </c>
      <c r="I96" s="7" t="n">
        <v>2424</v>
      </c>
      <c r="J96" s="7" t="inlineStr">
        <is>
          <t>sdk_usage_metadata</t>
        </is>
      </c>
      <c r="K96" s="7" t="inlineStr">
        <is>
          <t>success</t>
        </is>
      </c>
      <c r="L96" s="7" t="inlineStr"/>
      <c r="M96" s="7" t="n">
        <v>47</v>
      </c>
    </row>
    <row r="97" ht="34" customHeight="1">
      <c r="A97" s="7" t="n">
        <v>96</v>
      </c>
      <c r="B97" s="7" t="inlineStr">
        <is>
          <t>2026-07-30T13:09:31Z</t>
        </is>
      </c>
      <c r="C97" s="7" t="inlineStr">
        <is>
          <t>vlm_guided</t>
        </is>
      </c>
      <c r="D97" s="7" t="inlineStr">
        <is>
          <t>vlm_guided_scoring</t>
        </is>
      </c>
      <c r="E97" s="7" t="n">
        <v>11</v>
      </c>
      <c r="F97" s="7" t="inlineStr">
        <is>
          <t>gemini-3.5-flash</t>
        </is>
      </c>
      <c r="G97" s="7" t="n">
        <v>1114</v>
      </c>
      <c r="H97" s="7" t="n">
        <v>83</v>
      </c>
      <c r="I97" s="7" t="n">
        <v>1950</v>
      </c>
      <c r="J97" s="7" t="inlineStr">
        <is>
          <t>sdk_usage_metadata</t>
        </is>
      </c>
      <c r="K97" s="7" t="inlineStr">
        <is>
          <t>success</t>
        </is>
      </c>
      <c r="L97" s="7" t="inlineStr"/>
      <c r="M97" s="7" t="n">
        <v>16</v>
      </c>
    </row>
    <row r="98" ht="34" customHeight="1">
      <c r="A98" s="7" t="n">
        <v>97</v>
      </c>
      <c r="B98" s="7" t="inlineStr">
        <is>
          <t>2026-07-30T13:09:56Z</t>
        </is>
      </c>
      <c r="C98" s="7" t="inlineStr">
        <is>
          <t>vlm_free</t>
        </is>
      </c>
      <c r="D98" s="7" t="inlineStr">
        <is>
          <t>vlm_free_descriptive_causal</t>
        </is>
      </c>
      <c r="E98" s="7" t="n">
        <v>12</v>
      </c>
      <c r="F98" s="7" t="inlineStr">
        <is>
          <t>gemini-3.5-flash</t>
        </is>
      </c>
      <c r="G98" s="7" t="n">
        <v>738</v>
      </c>
      <c r="H98" s="7" t="n">
        <v>482</v>
      </c>
      <c r="I98" s="7" t="n">
        <v>2726</v>
      </c>
      <c r="J98" s="7" t="inlineStr">
        <is>
          <t>sdk_usage_metadata</t>
        </is>
      </c>
      <c r="K98" s="7" t="inlineStr">
        <is>
          <t>success</t>
        </is>
      </c>
      <c r="L98" s="7" t="inlineStr"/>
      <c r="M98" s="7" t="n">
        <v>34</v>
      </c>
    </row>
    <row r="99" ht="34" customHeight="1">
      <c r="A99" s="7" t="n">
        <v>98</v>
      </c>
      <c r="B99" s="7" t="inlineStr">
        <is>
          <t>2026-07-30T13:10:00Z</t>
        </is>
      </c>
      <c r="C99" s="7" t="inlineStr">
        <is>
          <t>vlm_free</t>
        </is>
      </c>
      <c r="D99" s="7" t="inlineStr">
        <is>
          <t>vlm_free_scoring</t>
        </is>
      </c>
      <c r="E99" s="7" t="n">
        <v>12</v>
      </c>
      <c r="F99" s="7" t="inlineStr">
        <is>
          <t>gemini-3.5-flash</t>
        </is>
      </c>
      <c r="G99" s="7" t="n">
        <v>784</v>
      </c>
      <c r="H99" s="7" t="n">
        <v>126</v>
      </c>
      <c r="I99" s="7" t="n">
        <v>1610</v>
      </c>
      <c r="J99" s="7" t="inlineStr">
        <is>
          <t>sdk_usage_metadata</t>
        </is>
      </c>
      <c r="K99" s="7" t="inlineStr">
        <is>
          <t>success</t>
        </is>
      </c>
      <c r="L99" s="7" t="inlineStr"/>
      <c r="M99" s="7" t="n">
        <v>35</v>
      </c>
    </row>
    <row r="100" ht="34" customHeight="1">
      <c r="A100" s="7" t="n">
        <v>99</v>
      </c>
      <c r="B100" s="7" t="inlineStr">
        <is>
          <t>2026-07-30T13:10:07Z</t>
        </is>
      </c>
      <c r="C100" s="7" t="inlineStr">
        <is>
          <t>common</t>
        </is>
      </c>
      <c r="D100" s="7" t="inlineStr">
        <is>
          <t>guided_descriptive_prompt</t>
        </is>
      </c>
      <c r="E100" s="7" t="n">
        <v>12</v>
      </c>
      <c r="F100" s="7" t="inlineStr">
        <is>
          <t>gemini-3.5-flash</t>
        </is>
      </c>
      <c r="G100" s="7" t="n">
        <v>578</v>
      </c>
      <c r="H100" s="7" t="n">
        <v>288</v>
      </c>
      <c r="I100" s="7" t="n">
        <v>2054</v>
      </c>
      <c r="J100" s="7" t="inlineStr">
        <is>
          <t>sdk_usage_metadata</t>
        </is>
      </c>
      <c r="K100" s="7" t="inlineStr">
        <is>
          <t>success</t>
        </is>
      </c>
      <c r="L100" s="7" t="inlineStr"/>
      <c r="M100" s="7" t="n">
        <v>48</v>
      </c>
    </row>
    <row r="101" ht="34" customHeight="1">
      <c r="A101" s="7" t="n">
        <v>100</v>
      </c>
      <c r="B101" s="7" t="inlineStr">
        <is>
          <t>2026-07-30T13:10:15Z</t>
        </is>
      </c>
      <c r="C101" s="7" t="inlineStr">
        <is>
          <t>common</t>
        </is>
      </c>
      <c r="D101" s="7" t="inlineStr">
        <is>
          <t>guided_descriptive_prompt</t>
        </is>
      </c>
      <c r="E101" s="7" t="n">
        <v>12</v>
      </c>
      <c r="F101" s="7" t="inlineStr">
        <is>
          <t>gemini-3.5-flash</t>
        </is>
      </c>
      <c r="G101" s="7" t="n">
        <v>578</v>
      </c>
      <c r="H101" s="7" t="n">
        <v>309</v>
      </c>
      <c r="I101" s="7" t="n">
        <v>1942</v>
      </c>
      <c r="J101" s="7" t="inlineStr">
        <is>
          <t>sdk_usage_metadata</t>
        </is>
      </c>
      <c r="K101" s="7" t="inlineStr">
        <is>
          <t>success</t>
        </is>
      </c>
      <c r="L101" s="7" t="inlineStr"/>
      <c r="M101" s="7" t="n">
        <v>49</v>
      </c>
    </row>
    <row r="102" ht="34" customHeight="1">
      <c r="A102" s="7" t="n">
        <v>101</v>
      </c>
      <c r="B102" s="7" t="inlineStr">
        <is>
          <t>2026-07-30T13:10:25Z</t>
        </is>
      </c>
      <c r="C102" s="7" t="inlineStr">
        <is>
          <t>common</t>
        </is>
      </c>
      <c r="D102" s="7" t="inlineStr">
        <is>
          <t>guided_question_set</t>
        </is>
      </c>
      <c r="E102" s="7" t="n">
        <v>12</v>
      </c>
      <c r="F102" s="7" t="inlineStr">
        <is>
          <t>gemini-3.5-flash</t>
        </is>
      </c>
      <c r="G102" s="7" t="n">
        <v>1789</v>
      </c>
      <c r="H102" s="7" t="n">
        <v>289</v>
      </c>
      <c r="I102" s="7" t="n">
        <v>3586</v>
      </c>
      <c r="J102" s="7" t="inlineStr">
        <is>
          <t>sdk_usage_metadata</t>
        </is>
      </c>
      <c r="K102" s="7" t="inlineStr">
        <is>
          <t>success</t>
        </is>
      </c>
      <c r="L102" s="7" t="inlineStr"/>
      <c r="M102" s="7" t="n">
        <v>50</v>
      </c>
    </row>
    <row r="103" ht="34" customHeight="1">
      <c r="A103" s="7" t="n">
        <v>102</v>
      </c>
      <c r="B103" s="7" t="inlineStr">
        <is>
          <t>2026-07-30T13:10:32Z</t>
        </is>
      </c>
      <c r="C103" s="7" t="inlineStr">
        <is>
          <t>common</t>
        </is>
      </c>
      <c r="D103" s="7" t="inlineStr">
        <is>
          <t>guided_causal_engine</t>
        </is>
      </c>
      <c r="E103" s="7" t="n">
        <v>12</v>
      </c>
      <c r="F103" s="7" t="inlineStr">
        <is>
          <t>gemini-3.5-flash</t>
        </is>
      </c>
      <c r="G103" s="7" t="n">
        <v>882</v>
      </c>
      <c r="H103" s="7" t="n">
        <v>195</v>
      </c>
      <c r="I103" s="7" t="n">
        <v>2379</v>
      </c>
      <c r="J103" s="7" t="inlineStr">
        <is>
          <t>sdk_usage_metadata</t>
        </is>
      </c>
      <c r="K103" s="7" t="inlineStr">
        <is>
          <t>success</t>
        </is>
      </c>
      <c r="L103" s="7" t="inlineStr"/>
      <c r="M103" s="7" t="n">
        <v>51</v>
      </c>
    </row>
    <row r="104" ht="34" customHeight="1">
      <c r="A104" s="7" t="n">
        <v>103</v>
      </c>
      <c r="B104" s="7" t="inlineStr">
        <is>
          <t>2026-07-30T13:10:37Z</t>
        </is>
      </c>
      <c r="C104" s="7" t="inlineStr">
        <is>
          <t>vlm_guided</t>
        </is>
      </c>
      <c r="D104" s="7" t="inlineStr">
        <is>
          <t>vlm_guided_scoring</t>
        </is>
      </c>
      <c r="E104" s="7" t="n">
        <v>12</v>
      </c>
      <c r="F104" s="7" t="inlineStr">
        <is>
          <t>gemini-3.5-flash</t>
        </is>
      </c>
      <c r="G104" s="7" t="n">
        <v>1063</v>
      </c>
      <c r="H104" s="7" t="n">
        <v>92</v>
      </c>
      <c r="I104" s="7" t="n">
        <v>2029</v>
      </c>
      <c r="J104" s="7" t="inlineStr">
        <is>
          <t>sdk_usage_metadata</t>
        </is>
      </c>
      <c r="K104" s="7" t="inlineStr">
        <is>
          <t>success</t>
        </is>
      </c>
      <c r="L104" s="7" t="inlineStr"/>
      <c r="M104" s="7" t="n">
        <v>17</v>
      </c>
    </row>
    <row r="105" ht="34" customHeight="1">
      <c r="A105" s="7" t="n">
        <v>104</v>
      </c>
      <c r="B105" s="7" t="inlineStr">
        <is>
          <t>2026-07-30T13:10:43Z</t>
        </is>
      </c>
      <c r="C105" s="7" t="inlineStr">
        <is>
          <t>vlm_guided</t>
        </is>
      </c>
      <c r="D105" s="7" t="inlineStr">
        <is>
          <t>vlm_guided_scoring</t>
        </is>
      </c>
      <c r="E105" s="7" t="n">
        <v>12</v>
      </c>
      <c r="F105" s="7" t="inlineStr">
        <is>
          <t>gemini-3.5-flash</t>
        </is>
      </c>
      <c r="G105" s="7" t="n">
        <v>1063</v>
      </c>
      <c r="H105" s="7" t="n">
        <v>91</v>
      </c>
      <c r="I105" s="7" t="n">
        <v>1958</v>
      </c>
      <c r="J105" s="7" t="inlineStr">
        <is>
          <t>sdk_usage_metadata</t>
        </is>
      </c>
      <c r="K105" s="7" t="inlineStr">
        <is>
          <t>success</t>
        </is>
      </c>
      <c r="L105" s="7" t="inlineStr"/>
      <c r="M105" s="7" t="n">
        <v>18</v>
      </c>
    </row>
    <row r="106" ht="34" customHeight="1">
      <c r="A106" s="7" t="n">
        <v>105</v>
      </c>
      <c r="B106" s="7" t="inlineStr">
        <is>
          <t>2026-07-30T13:11:08Z</t>
        </is>
      </c>
      <c r="C106" s="7" t="inlineStr">
        <is>
          <t>vlm_free</t>
        </is>
      </c>
      <c r="D106" s="7" t="inlineStr">
        <is>
          <t>vlm_free_descriptive_causal</t>
        </is>
      </c>
      <c r="E106" s="7" t="n">
        <v>13</v>
      </c>
      <c r="F106" s="7" t="inlineStr">
        <is>
          <t>gemini-3.5-flash</t>
        </is>
      </c>
      <c r="G106" s="7" t="n">
        <v>738</v>
      </c>
      <c r="H106" s="7" t="n">
        <v>460</v>
      </c>
      <c r="I106" s="7" t="n">
        <v>2607</v>
      </c>
      <c r="J106" s="7" t="inlineStr">
        <is>
          <t>sdk_usage_metadata</t>
        </is>
      </c>
      <c r="K106" s="7" t="inlineStr">
        <is>
          <t>success</t>
        </is>
      </c>
      <c r="L106" s="7" t="inlineStr"/>
      <c r="M106" s="7" t="n">
        <v>36</v>
      </c>
    </row>
    <row r="107" ht="34" customHeight="1">
      <c r="A107" s="7" t="n">
        <v>106</v>
      </c>
      <c r="B107" s="7" t="inlineStr">
        <is>
          <t>2026-07-30T13:11:13Z</t>
        </is>
      </c>
      <c r="C107" s="7" t="inlineStr">
        <is>
          <t>vlm_free</t>
        </is>
      </c>
      <c r="D107" s="7" t="inlineStr">
        <is>
          <t>vlm_free_scoring</t>
        </is>
      </c>
      <c r="E107" s="7" t="n">
        <v>13</v>
      </c>
      <c r="F107" s="7" t="inlineStr">
        <is>
          <t>gemini-3.5-flash</t>
        </is>
      </c>
      <c r="G107" s="7" t="n">
        <v>755</v>
      </c>
      <c r="H107" s="7" t="n">
        <v>145</v>
      </c>
      <c r="I107" s="7" t="n">
        <v>1593</v>
      </c>
      <c r="J107" s="7" t="inlineStr">
        <is>
          <t>sdk_usage_metadata</t>
        </is>
      </c>
      <c r="K107" s="7" t="inlineStr">
        <is>
          <t>success</t>
        </is>
      </c>
      <c r="L107" s="7" t="inlineStr"/>
      <c r="M107" s="7" t="n">
        <v>37</v>
      </c>
    </row>
    <row r="108" ht="34" customHeight="1">
      <c r="A108" s="7" t="n">
        <v>107</v>
      </c>
      <c r="B108" s="7" t="inlineStr">
        <is>
          <t>2026-07-30T13:11:18Z</t>
        </is>
      </c>
      <c r="C108" s="7" t="inlineStr">
        <is>
          <t>vlm_free</t>
        </is>
      </c>
      <c r="D108" s="7" t="inlineStr">
        <is>
          <t>vlm_free_scoring</t>
        </is>
      </c>
      <c r="E108" s="7" t="n">
        <v>13</v>
      </c>
      <c r="F108" s="7" t="inlineStr">
        <is>
          <t>gemini-3.5-flash</t>
        </is>
      </c>
      <c r="G108" s="7" t="n">
        <v>755</v>
      </c>
      <c r="H108" s="7" t="n">
        <v>124</v>
      </c>
      <c r="I108" s="7" t="n">
        <v>1462</v>
      </c>
      <c r="J108" s="7" t="inlineStr">
        <is>
          <t>sdk_usage_metadata</t>
        </is>
      </c>
      <c r="K108" s="7" t="inlineStr">
        <is>
          <t>success</t>
        </is>
      </c>
      <c r="L108" s="7" t="inlineStr"/>
      <c r="M108" s="7" t="n">
        <v>38</v>
      </c>
    </row>
    <row r="109" ht="34" customHeight="1">
      <c r="A109" s="7" t="n">
        <v>108</v>
      </c>
      <c r="B109" s="7" t="inlineStr">
        <is>
          <t>2026-07-30T13:11:25Z</t>
        </is>
      </c>
      <c r="C109" s="7" t="inlineStr">
        <is>
          <t>common</t>
        </is>
      </c>
      <c r="D109" s="7" t="inlineStr">
        <is>
          <t>guided_descriptive_prompt</t>
        </is>
      </c>
      <c r="E109" s="7" t="n">
        <v>13</v>
      </c>
      <c r="F109" s="7" t="inlineStr">
        <is>
          <t>gemini-3.5-flash</t>
        </is>
      </c>
      <c r="G109" s="7" t="n">
        <v>578</v>
      </c>
      <c r="H109" s="7" t="n">
        <v>352</v>
      </c>
      <c r="I109" s="7" t="n">
        <v>1992</v>
      </c>
      <c r="J109" s="7" t="inlineStr">
        <is>
          <t>sdk_usage_metadata</t>
        </is>
      </c>
      <c r="K109" s="7" t="inlineStr">
        <is>
          <t>success</t>
        </is>
      </c>
      <c r="L109" s="7" t="inlineStr"/>
      <c r="M109" s="7" t="n">
        <v>52</v>
      </c>
    </row>
    <row r="110" ht="34" customHeight="1">
      <c r="A110" s="7" t="n">
        <v>109</v>
      </c>
      <c r="B110" s="7" t="inlineStr">
        <is>
          <t>2026-07-30T13:11:33Z</t>
        </is>
      </c>
      <c r="C110" s="7" t="inlineStr">
        <is>
          <t>common</t>
        </is>
      </c>
      <c r="D110" s="7" t="inlineStr">
        <is>
          <t>guided_question_set</t>
        </is>
      </c>
      <c r="E110" s="7" t="n">
        <v>13</v>
      </c>
      <c r="F110" s="7" t="inlineStr">
        <is>
          <t>gemini-3.5-flash</t>
        </is>
      </c>
      <c r="G110" s="7" t="n">
        <v>1832</v>
      </c>
      <c r="H110" s="7" t="n">
        <v>300</v>
      </c>
      <c r="I110" s="7" t="n">
        <v>3413</v>
      </c>
      <c r="J110" s="7" t="inlineStr">
        <is>
          <t>sdk_usage_metadata</t>
        </is>
      </c>
      <c r="K110" s="7" t="inlineStr">
        <is>
          <t>success</t>
        </is>
      </c>
      <c r="L110" s="7" t="inlineStr"/>
      <c r="M110" s="7" t="n">
        <v>53</v>
      </c>
    </row>
    <row r="111" ht="34" customHeight="1">
      <c r="A111" s="7" t="n">
        <v>110</v>
      </c>
      <c r="B111" s="7" t="inlineStr">
        <is>
          <t>2026-07-30T13:11:41Z</t>
        </is>
      </c>
      <c r="C111" s="7" t="inlineStr">
        <is>
          <t>common</t>
        </is>
      </c>
      <c r="D111" s="7" t="inlineStr">
        <is>
          <t>guided_question_set</t>
        </is>
      </c>
      <c r="E111" s="7" t="n">
        <v>13</v>
      </c>
      <c r="F111" s="7" t="inlineStr">
        <is>
          <t>gemini-3.5-flash</t>
        </is>
      </c>
      <c r="G111" s="7" t="n">
        <v>1832</v>
      </c>
      <c r="H111" s="7" t="n">
        <v>324</v>
      </c>
      <c r="I111" s="7" t="n">
        <v>3234</v>
      </c>
      <c r="J111" s="7" t="inlineStr">
        <is>
          <t>sdk_usage_metadata</t>
        </is>
      </c>
      <c r="K111" s="7" t="inlineStr">
        <is>
          <t>success</t>
        </is>
      </c>
      <c r="L111" s="7" t="inlineStr"/>
      <c r="M111" s="7" t="n">
        <v>54</v>
      </c>
    </row>
    <row r="112" ht="34" customHeight="1">
      <c r="A112" s="7" t="n">
        <v>111</v>
      </c>
      <c r="B112" s="7" t="inlineStr">
        <is>
          <t>2026-07-30T13:11:49Z</t>
        </is>
      </c>
      <c r="C112" s="7" t="inlineStr">
        <is>
          <t>common</t>
        </is>
      </c>
      <c r="D112" s="7" t="inlineStr">
        <is>
          <t>guided_question_set</t>
        </is>
      </c>
      <c r="E112" s="7" t="n">
        <v>13</v>
      </c>
      <c r="F112" s="7" t="inlineStr">
        <is>
          <t>gemini-3.5-flash</t>
        </is>
      </c>
      <c r="G112" s="7" t="n">
        <v>1832</v>
      </c>
      <c r="H112" s="7" t="n">
        <v>310</v>
      </c>
      <c r="I112" s="7" t="n">
        <v>3322</v>
      </c>
      <c r="J112" s="7" t="inlineStr">
        <is>
          <t>sdk_usage_metadata</t>
        </is>
      </c>
      <c r="K112" s="7" t="inlineStr">
        <is>
          <t>success</t>
        </is>
      </c>
      <c r="L112" s="7" t="inlineStr"/>
      <c r="M112" s="7" t="n">
        <v>55</v>
      </c>
    </row>
    <row r="113" ht="34" customHeight="1">
      <c r="A113" s="7" t="n">
        <v>112</v>
      </c>
      <c r="B113" s="7" t="inlineStr">
        <is>
          <t>2026-07-30T13:11:58Z</t>
        </is>
      </c>
      <c r="C113" s="7" t="inlineStr">
        <is>
          <t>common</t>
        </is>
      </c>
      <c r="D113" s="7" t="inlineStr">
        <is>
          <t>guided_question_set</t>
        </is>
      </c>
      <c r="E113" s="7" t="n">
        <v>13</v>
      </c>
      <c r="F113" s="7" t="inlineStr">
        <is>
          <t>gemini-3.5-flash</t>
        </is>
      </c>
      <c r="G113" s="7" t="n">
        <v>1832</v>
      </c>
      <c r="H113" s="7" t="n">
        <v>277</v>
      </c>
      <c r="I113" s="7" t="n">
        <v>3574</v>
      </c>
      <c r="J113" s="7" t="inlineStr">
        <is>
          <t>sdk_usage_metadata</t>
        </is>
      </c>
      <c r="K113" s="7" t="inlineStr">
        <is>
          <t>success</t>
        </is>
      </c>
      <c r="L113" s="7" t="inlineStr"/>
      <c r="M113" s="7" t="n">
        <v>56</v>
      </c>
    </row>
    <row r="114" ht="34" customHeight="1">
      <c r="A114" s="7" t="n">
        <v>113</v>
      </c>
      <c r="B114" s="7" t="inlineStr">
        <is>
          <t>2026-07-30T13:12:07Z</t>
        </is>
      </c>
      <c r="C114" s="7" t="inlineStr">
        <is>
          <t>common</t>
        </is>
      </c>
      <c r="D114" s="7" t="inlineStr">
        <is>
          <t>guided_question_set</t>
        </is>
      </c>
      <c r="E114" s="7" t="n">
        <v>13</v>
      </c>
      <c r="F114" s="7" t="inlineStr">
        <is>
          <t>gemini-3.5-flash</t>
        </is>
      </c>
      <c r="G114" s="7" t="n">
        <v>1832</v>
      </c>
      <c r="H114" s="7" t="n">
        <v>344</v>
      </c>
      <c r="I114" s="7" t="n">
        <v>3466</v>
      </c>
      <c r="J114" s="7" t="inlineStr">
        <is>
          <t>sdk_usage_metadata</t>
        </is>
      </c>
      <c r="K114" s="7" t="inlineStr">
        <is>
          <t>success</t>
        </is>
      </c>
      <c r="L114" s="7" t="inlineStr"/>
      <c r="M114" s="7" t="n">
        <v>57</v>
      </c>
    </row>
    <row r="115" ht="34" customHeight="1">
      <c r="A115" s="7" t="n">
        <v>114</v>
      </c>
      <c r="B115" s="7" t="inlineStr">
        <is>
          <t>2026-07-30T13:12:16Z</t>
        </is>
      </c>
      <c r="C115" s="7" t="inlineStr">
        <is>
          <t>common</t>
        </is>
      </c>
      <c r="D115" s="7" t="inlineStr">
        <is>
          <t>guided_question_set</t>
        </is>
      </c>
      <c r="E115" s="7" t="n">
        <v>13</v>
      </c>
      <c r="F115" s="7" t="inlineStr">
        <is>
          <t>gemini-3.5-flash</t>
        </is>
      </c>
      <c r="G115" s="7" t="n">
        <v>1832</v>
      </c>
      <c r="H115" s="7" t="n">
        <v>335</v>
      </c>
      <c r="I115" s="7" t="n">
        <v>3370</v>
      </c>
      <c r="J115" s="7" t="inlineStr">
        <is>
          <t>sdk_usage_metadata</t>
        </is>
      </c>
      <c r="K115" s="7" t="inlineStr">
        <is>
          <t>success</t>
        </is>
      </c>
      <c r="L115" s="7" t="inlineStr"/>
      <c r="M115" s="7" t="n">
        <v>58</v>
      </c>
    </row>
    <row r="116" ht="34" customHeight="1">
      <c r="A116" s="7" t="n">
        <v>115</v>
      </c>
      <c r="B116" s="7" t="inlineStr">
        <is>
          <t>2026-07-30T13:12:25Z</t>
        </is>
      </c>
      <c r="C116" s="7" t="inlineStr">
        <is>
          <t>common</t>
        </is>
      </c>
      <c r="D116" s="7" t="inlineStr">
        <is>
          <t>guided_question_set</t>
        </is>
      </c>
      <c r="E116" s="7" t="n">
        <v>13</v>
      </c>
      <c r="F116" s="7" t="inlineStr">
        <is>
          <t>gemini-3.5-flash</t>
        </is>
      </c>
      <c r="G116" s="7" t="n">
        <v>1832</v>
      </c>
      <c r="H116" s="7" t="n">
        <v>323</v>
      </c>
      <c r="I116" s="7" t="n">
        <v>3515</v>
      </c>
      <c r="J116" s="7" t="inlineStr">
        <is>
          <t>sdk_usage_metadata</t>
        </is>
      </c>
      <c r="K116" s="7" t="inlineStr">
        <is>
          <t>success</t>
        </is>
      </c>
      <c r="L116" s="7" t="inlineStr"/>
      <c r="M116" s="7" t="n">
        <v>59</v>
      </c>
    </row>
    <row r="117" ht="34" customHeight="1">
      <c r="A117" s="7" t="n">
        <v>116</v>
      </c>
      <c r="B117" s="7" t="inlineStr">
        <is>
          <t>2026-07-30T13:12:31Z</t>
        </is>
      </c>
      <c r="C117" s="7" t="inlineStr">
        <is>
          <t>common</t>
        </is>
      </c>
      <c r="D117" s="7" t="inlineStr">
        <is>
          <t>guided_causal_engine</t>
        </is>
      </c>
      <c r="E117" s="7" t="n">
        <v>13</v>
      </c>
      <c r="F117" s="7" t="inlineStr">
        <is>
          <t>gemini-3.5-flash</t>
        </is>
      </c>
      <c r="G117" s="7" t="n">
        <v>960</v>
      </c>
      <c r="H117" s="7" t="n">
        <v>198</v>
      </c>
      <c r="I117" s="7" t="n">
        <v>2067</v>
      </c>
      <c r="J117" s="7" t="inlineStr">
        <is>
          <t>sdk_usage_metadata</t>
        </is>
      </c>
      <c r="K117" s="7" t="inlineStr">
        <is>
          <t>success</t>
        </is>
      </c>
      <c r="L117" s="7" t="inlineStr"/>
      <c r="M117" s="7" t="n">
        <v>60</v>
      </c>
    </row>
    <row r="118" ht="34" customHeight="1">
      <c r="A118" s="7" t="n">
        <v>117</v>
      </c>
      <c r="B118" s="7" t="inlineStr">
        <is>
          <t>2026-07-30T13:12:35Z</t>
        </is>
      </c>
      <c r="C118" s="7" t="inlineStr">
        <is>
          <t>vlm_guided</t>
        </is>
      </c>
      <c r="D118" s="7" t="inlineStr">
        <is>
          <t>vlm_guided_scoring</t>
        </is>
      </c>
      <c r="E118" s="7" t="n">
        <v>13</v>
      </c>
      <c r="F118" s="7" t="inlineStr">
        <is>
          <t>gemini-3.5-flash</t>
        </is>
      </c>
      <c r="G118" s="7" t="n">
        <v>1145</v>
      </c>
      <c r="H118" s="7" t="n">
        <v>100</v>
      </c>
      <c r="I118" s="7" t="n">
        <v>1868</v>
      </c>
      <c r="J118" s="7" t="inlineStr">
        <is>
          <t>sdk_usage_metadata</t>
        </is>
      </c>
      <c r="K118" s="7" t="inlineStr">
        <is>
          <t>success</t>
        </is>
      </c>
      <c r="L118" s="7" t="inlineStr"/>
      <c r="M118" s="7" t="n">
        <v>19</v>
      </c>
    </row>
    <row r="119" ht="34" customHeight="1">
      <c r="A119" s="7" t="n">
        <v>118</v>
      </c>
      <c r="B119" s="7" t="inlineStr">
        <is>
          <t>2026-07-30T13:13:00Z</t>
        </is>
      </c>
      <c r="C119" s="7" t="inlineStr">
        <is>
          <t>vlm_free</t>
        </is>
      </c>
      <c r="D119" s="7" t="inlineStr">
        <is>
          <t>vlm_free_descriptive_causal</t>
        </is>
      </c>
      <c r="E119" s="7" t="n">
        <v>14</v>
      </c>
      <c r="F119" s="7" t="inlineStr">
        <is>
          <t>gemini-3.5-flash</t>
        </is>
      </c>
      <c r="G119" s="7" t="n">
        <v>738</v>
      </c>
      <c r="H119" s="7" t="n">
        <v>553</v>
      </c>
      <c r="I119" s="7" t="n">
        <v>2628</v>
      </c>
      <c r="J119" s="7" t="inlineStr">
        <is>
          <t>sdk_usage_metadata</t>
        </is>
      </c>
      <c r="K119" s="7" t="inlineStr">
        <is>
          <t>success</t>
        </is>
      </c>
      <c r="L119" s="7" t="inlineStr"/>
      <c r="M119" s="7" t="n">
        <v>39</v>
      </c>
    </row>
    <row r="120" ht="34" customHeight="1">
      <c r="A120" s="7" t="n">
        <v>119</v>
      </c>
      <c r="B120" s="7" t="inlineStr">
        <is>
          <t>2026-07-30T13:13:04Z</t>
        </is>
      </c>
      <c r="C120" s="7" t="inlineStr">
        <is>
          <t>vlm_free</t>
        </is>
      </c>
      <c r="D120" s="7" t="inlineStr">
        <is>
          <t>vlm_free_scoring</t>
        </is>
      </c>
      <c r="E120" s="7" t="n">
        <v>14</v>
      </c>
      <c r="F120" s="7" t="inlineStr">
        <is>
          <t>gemini-3.5-flash</t>
        </is>
      </c>
      <c r="G120" s="7" t="n">
        <v>849</v>
      </c>
      <c r="H120" s="7" t="n">
        <v>140</v>
      </c>
      <c r="I120" s="7" t="n">
        <v>1592</v>
      </c>
      <c r="J120" s="7" t="inlineStr">
        <is>
          <t>sdk_usage_metadata</t>
        </is>
      </c>
      <c r="K120" s="7" t="inlineStr">
        <is>
          <t>success</t>
        </is>
      </c>
      <c r="L120" s="7" t="inlineStr"/>
      <c r="M120" s="7" t="n">
        <v>40</v>
      </c>
    </row>
    <row r="121" ht="34" customHeight="1">
      <c r="A121" s="7" t="n">
        <v>120</v>
      </c>
      <c r="B121" s="7" t="inlineStr">
        <is>
          <t>2026-07-30T13:13:09Z</t>
        </is>
      </c>
      <c r="C121" s="7" t="inlineStr">
        <is>
          <t>common</t>
        </is>
      </c>
      <c r="D121" s="7" t="inlineStr">
        <is>
          <t>guided_descriptive_prompt</t>
        </is>
      </c>
      <c r="E121" s="7" t="n">
        <v>14</v>
      </c>
      <c r="F121" s="7" t="inlineStr">
        <is>
          <t>gemini-3.5-flash</t>
        </is>
      </c>
      <c r="G121" s="7" t="n">
        <v>578</v>
      </c>
      <c r="H121" s="7" t="n">
        <v>366</v>
      </c>
      <c r="I121" s="7" t="n">
        <v>1552</v>
      </c>
      <c r="J121" s="7" t="inlineStr">
        <is>
          <t>sdk_usage_metadata</t>
        </is>
      </c>
      <c r="K121" s="7" t="inlineStr">
        <is>
          <t>success</t>
        </is>
      </c>
      <c r="L121" s="7" t="inlineStr"/>
      <c r="M121" s="7" t="n">
        <v>61</v>
      </c>
    </row>
    <row r="122" ht="34" customHeight="1">
      <c r="A122" s="7" t="n">
        <v>121</v>
      </c>
      <c r="B122" s="7" t="inlineStr">
        <is>
          <t>2026-07-30T13:13:18Z</t>
        </is>
      </c>
      <c r="C122" s="7" t="inlineStr">
        <is>
          <t>common</t>
        </is>
      </c>
      <c r="D122" s="7" t="inlineStr">
        <is>
          <t>guided_question_set</t>
        </is>
      </c>
      <c r="E122" s="7" t="n">
        <v>14</v>
      </c>
      <c r="F122" s="7" t="inlineStr">
        <is>
          <t>gemini-3.5-flash</t>
        </is>
      </c>
      <c r="G122" s="7" t="n">
        <v>1846</v>
      </c>
      <c r="H122" s="7" t="n">
        <v>333</v>
      </c>
      <c r="I122" s="7" t="n">
        <v>3677</v>
      </c>
      <c r="J122" s="7" t="inlineStr">
        <is>
          <t>sdk_usage_metadata</t>
        </is>
      </c>
      <c r="K122" s="7" t="inlineStr">
        <is>
          <t>success</t>
        </is>
      </c>
      <c r="L122" s="7" t="inlineStr"/>
      <c r="M122" s="7" t="n">
        <v>62</v>
      </c>
    </row>
    <row r="123" ht="34" customHeight="1">
      <c r="A123" s="7" t="n">
        <v>122</v>
      </c>
      <c r="B123" s="7" t="inlineStr">
        <is>
          <t>2026-07-30T13:13:27Z</t>
        </is>
      </c>
      <c r="C123" s="7" t="inlineStr">
        <is>
          <t>common</t>
        </is>
      </c>
      <c r="D123" s="7" t="inlineStr">
        <is>
          <t>guided_question_set</t>
        </is>
      </c>
      <c r="E123" s="7" t="n">
        <v>14</v>
      </c>
      <c r="F123" s="7" t="inlineStr">
        <is>
          <t>gemini-3.5-flash</t>
        </is>
      </c>
      <c r="G123" s="7" t="n">
        <v>1846</v>
      </c>
      <c r="H123" s="7" t="n">
        <v>359</v>
      </c>
      <c r="I123" s="7" t="n">
        <v>3624</v>
      </c>
      <c r="J123" s="7" t="inlineStr">
        <is>
          <t>sdk_usage_metadata</t>
        </is>
      </c>
      <c r="K123" s="7" t="inlineStr">
        <is>
          <t>success</t>
        </is>
      </c>
      <c r="L123" s="7" t="inlineStr"/>
      <c r="M123" s="7" t="n">
        <v>63</v>
      </c>
    </row>
    <row r="124" ht="34" customHeight="1">
      <c r="A124" s="7" t="n">
        <v>123</v>
      </c>
      <c r="B124" s="7" t="inlineStr">
        <is>
          <t>2026-07-30T13:13:33Z</t>
        </is>
      </c>
      <c r="C124" s="7" t="inlineStr">
        <is>
          <t>common</t>
        </is>
      </c>
      <c r="D124" s="7" t="inlineStr">
        <is>
          <t>guided_causal_engine</t>
        </is>
      </c>
      <c r="E124" s="7" t="n">
        <v>14</v>
      </c>
      <c r="F124" s="7" t="inlineStr">
        <is>
          <t>gemini-3.5-flash</t>
        </is>
      </c>
      <c r="G124" s="7" t="n">
        <v>1010</v>
      </c>
      <c r="H124" s="7" t="n">
        <v>251</v>
      </c>
      <c r="I124" s="7" t="n">
        <v>2339</v>
      </c>
      <c r="J124" s="7" t="inlineStr">
        <is>
          <t>sdk_usage_metadata</t>
        </is>
      </c>
      <c r="K124" s="7" t="inlineStr">
        <is>
          <t>success</t>
        </is>
      </c>
      <c r="L124" s="7" t="inlineStr"/>
      <c r="M124" s="7" t="n">
        <v>64</v>
      </c>
    </row>
    <row r="125" ht="34" customHeight="1">
      <c r="A125" s="7" t="n">
        <v>124</v>
      </c>
      <c r="B125" s="7" t="inlineStr">
        <is>
          <t>2026-07-30T13:13:41Z</t>
        </is>
      </c>
      <c r="C125" s="7" t="inlineStr">
        <is>
          <t>common</t>
        </is>
      </c>
      <c r="D125" s="7" t="inlineStr">
        <is>
          <t>guided_causal_engine</t>
        </is>
      </c>
      <c r="E125" s="7" t="n">
        <v>14</v>
      </c>
      <c r="F125" s="7" t="inlineStr">
        <is>
          <t>gemini-3.5-flash</t>
        </is>
      </c>
      <c r="G125" s="7" t="n">
        <v>1010</v>
      </c>
      <c r="H125" s="7" t="n">
        <v>251</v>
      </c>
      <c r="I125" s="7" t="n">
        <v>2368</v>
      </c>
      <c r="J125" s="7" t="inlineStr">
        <is>
          <t>sdk_usage_metadata</t>
        </is>
      </c>
      <c r="K125" s="7" t="inlineStr">
        <is>
          <t>success</t>
        </is>
      </c>
      <c r="L125" s="7" t="inlineStr"/>
      <c r="M125" s="7" t="n">
        <v>65</v>
      </c>
    </row>
    <row r="126" ht="34" customHeight="1">
      <c r="A126" s="7" t="n">
        <v>125</v>
      </c>
      <c r="B126" s="7" t="inlineStr">
        <is>
          <t>2026-07-30T13:13:45Z</t>
        </is>
      </c>
      <c r="C126" s="7" t="inlineStr">
        <is>
          <t>vlm_guided</t>
        </is>
      </c>
      <c r="D126" s="7" t="inlineStr">
        <is>
          <t>vlm_guided_scoring</t>
        </is>
      </c>
      <c r="E126" s="7" t="n">
        <v>14</v>
      </c>
      <c r="F126" s="7" t="inlineStr">
        <is>
          <t>gemini-3.5-flash</t>
        </is>
      </c>
      <c r="G126" s="7" t="n">
        <v>1248</v>
      </c>
      <c r="H126" s="7" t="n">
        <v>95</v>
      </c>
      <c r="I126" s="7" t="n">
        <v>2118</v>
      </c>
      <c r="J126" s="7" t="inlineStr">
        <is>
          <t>sdk_usage_metadata</t>
        </is>
      </c>
      <c r="K126" s="7" t="inlineStr">
        <is>
          <t>success</t>
        </is>
      </c>
      <c r="L126" s="7" t="inlineStr"/>
      <c r="M126" s="7" t="n">
        <v>20</v>
      </c>
    </row>
    <row r="127" ht="34" customHeight="1">
      <c r="A127" s="7" t="n">
        <v>126</v>
      </c>
      <c r="B127" s="7" t="inlineStr">
        <is>
          <t>2026-07-30T13:14:10Z</t>
        </is>
      </c>
      <c r="C127" s="7" t="inlineStr">
        <is>
          <t>vlm_free</t>
        </is>
      </c>
      <c r="D127" s="7" t="inlineStr">
        <is>
          <t>vlm_free_descriptive_causal</t>
        </is>
      </c>
      <c r="E127" s="7" t="n">
        <v>15</v>
      </c>
      <c r="F127" s="7" t="inlineStr">
        <is>
          <t>gemini-3.5-flash</t>
        </is>
      </c>
      <c r="G127" s="7" t="n">
        <v>738</v>
      </c>
      <c r="H127" s="7" t="n">
        <v>607</v>
      </c>
      <c r="I127" s="7" t="n">
        <v>2864</v>
      </c>
      <c r="J127" s="7" t="inlineStr">
        <is>
          <t>sdk_usage_metadata</t>
        </is>
      </c>
      <c r="K127" s="7" t="inlineStr">
        <is>
          <t>success</t>
        </is>
      </c>
      <c r="L127" s="7" t="inlineStr"/>
      <c r="M127" s="7" t="n">
        <v>41</v>
      </c>
    </row>
    <row r="128" ht="34" customHeight="1">
      <c r="A128" s="7" t="n">
        <v>127</v>
      </c>
      <c r="B128" s="7" t="inlineStr">
        <is>
          <t>2026-07-30T13:14:14Z</t>
        </is>
      </c>
      <c r="C128" s="7" t="inlineStr">
        <is>
          <t>vlm_free</t>
        </is>
      </c>
      <c r="D128" s="7" t="inlineStr">
        <is>
          <t>vlm_free_scoring</t>
        </is>
      </c>
      <c r="E128" s="7" t="n">
        <v>15</v>
      </c>
      <c r="F128" s="7" t="inlineStr">
        <is>
          <t>gemini-3.5-flash</t>
        </is>
      </c>
      <c r="G128" s="7" t="n">
        <v>903</v>
      </c>
      <c r="H128" s="7" t="n">
        <v>131</v>
      </c>
      <c r="I128" s="7" t="n">
        <v>1817</v>
      </c>
      <c r="J128" s="7" t="inlineStr">
        <is>
          <t>sdk_usage_metadata</t>
        </is>
      </c>
      <c r="K128" s="7" t="inlineStr">
        <is>
          <t>success</t>
        </is>
      </c>
      <c r="L128" s="7" t="inlineStr"/>
      <c r="M128" s="7" t="n">
        <v>42</v>
      </c>
    </row>
    <row r="129" ht="34" customHeight="1">
      <c r="A129" s="7" t="n">
        <v>128</v>
      </c>
      <c r="B129" s="7" t="inlineStr">
        <is>
          <t>2026-07-30T13:14:21Z</t>
        </is>
      </c>
      <c r="C129" s="7" t="inlineStr">
        <is>
          <t>common</t>
        </is>
      </c>
      <c r="D129" s="7" t="inlineStr">
        <is>
          <t>guided_descriptive_prompt</t>
        </is>
      </c>
      <c r="E129" s="7" t="n">
        <v>15</v>
      </c>
      <c r="F129" s="7" t="inlineStr">
        <is>
          <t>gemini-3.5-flash</t>
        </is>
      </c>
      <c r="G129" s="7" t="n">
        <v>578</v>
      </c>
      <c r="H129" s="7" t="n">
        <v>315</v>
      </c>
      <c r="I129" s="7" t="n">
        <v>2186</v>
      </c>
      <c r="J129" s="7" t="inlineStr">
        <is>
          <t>sdk_usage_metadata</t>
        </is>
      </c>
      <c r="K129" s="7" t="inlineStr">
        <is>
          <t>success</t>
        </is>
      </c>
      <c r="L129" s="7" t="inlineStr"/>
      <c r="M129" s="7" t="n">
        <v>66</v>
      </c>
    </row>
    <row r="130" ht="34" customHeight="1">
      <c r="A130" s="7" t="n">
        <v>129</v>
      </c>
      <c r="B130" s="7" t="inlineStr">
        <is>
          <t>2026-07-30T13:14:29Z</t>
        </is>
      </c>
      <c r="C130" s="7" t="inlineStr">
        <is>
          <t>common</t>
        </is>
      </c>
      <c r="D130" s="7" t="inlineStr">
        <is>
          <t>guided_question_set</t>
        </is>
      </c>
      <c r="E130" s="7" t="n">
        <v>15</v>
      </c>
      <c r="F130" s="7" t="inlineStr">
        <is>
          <t>gemini-3.5-flash</t>
        </is>
      </c>
      <c r="G130" s="7" t="n">
        <v>1795</v>
      </c>
      <c r="H130" s="7" t="n">
        <v>336</v>
      </c>
      <c r="I130" s="7" t="n">
        <v>3333</v>
      </c>
      <c r="J130" s="7" t="inlineStr">
        <is>
          <t>sdk_usage_metadata</t>
        </is>
      </c>
      <c r="K130" s="7" t="inlineStr">
        <is>
          <t>success</t>
        </is>
      </c>
      <c r="L130" s="7" t="inlineStr"/>
      <c r="M130" s="7" t="n">
        <v>67</v>
      </c>
    </row>
    <row r="131" ht="34" customHeight="1">
      <c r="A131" s="7" t="n">
        <v>130</v>
      </c>
      <c r="B131" s="7" t="inlineStr">
        <is>
          <t>2026-07-30T13:14:34Z</t>
        </is>
      </c>
      <c r="C131" s="7" t="inlineStr">
        <is>
          <t>common</t>
        </is>
      </c>
      <c r="D131" s="7" t="inlineStr">
        <is>
          <t>guided_causal_engine</t>
        </is>
      </c>
      <c r="E131" s="7" t="n">
        <v>15</v>
      </c>
      <c r="F131" s="7" t="inlineStr">
        <is>
          <t>gemini-3.5-flash</t>
        </is>
      </c>
      <c r="G131" s="7" t="n">
        <v>936</v>
      </c>
      <c r="H131" s="7" t="n">
        <v>236</v>
      </c>
      <c r="I131" s="7" t="n">
        <v>2098</v>
      </c>
      <c r="J131" s="7" t="inlineStr">
        <is>
          <t>sdk_usage_metadata</t>
        </is>
      </c>
      <c r="K131" s="7" t="inlineStr">
        <is>
          <t>success</t>
        </is>
      </c>
      <c r="L131" s="7" t="inlineStr"/>
      <c r="M131" s="7" t="n">
        <v>68</v>
      </c>
    </row>
    <row r="132" ht="34" customHeight="1">
      <c r="A132" s="7" t="n">
        <v>131</v>
      </c>
      <c r="B132" s="7" t="inlineStr">
        <is>
          <t>2026-07-30T13:14:41Z</t>
        </is>
      </c>
      <c r="C132" s="7" t="inlineStr">
        <is>
          <t>common</t>
        </is>
      </c>
      <c r="D132" s="7" t="inlineStr">
        <is>
          <t>guided_causal_engine</t>
        </is>
      </c>
      <c r="E132" s="7" t="n">
        <v>15</v>
      </c>
      <c r="F132" s="7" t="inlineStr">
        <is>
          <t>gemini-3.5-flash</t>
        </is>
      </c>
      <c r="G132" s="7" t="n">
        <v>936</v>
      </c>
      <c r="H132" s="7" t="n">
        <v>239</v>
      </c>
      <c r="I132" s="7" t="n">
        <v>2068</v>
      </c>
      <c r="J132" s="7" t="inlineStr">
        <is>
          <t>sdk_usage_metadata</t>
        </is>
      </c>
      <c r="K132" s="7" t="inlineStr">
        <is>
          <t>success</t>
        </is>
      </c>
      <c r="L132" s="7" t="inlineStr"/>
      <c r="M132" s="7" t="n">
        <v>69</v>
      </c>
    </row>
    <row r="133" ht="34" customHeight="1">
      <c r="A133" s="7" t="n">
        <v>132</v>
      </c>
      <c r="B133" s="7" t="inlineStr">
        <is>
          <t>2026-07-30T13:14:45Z</t>
        </is>
      </c>
      <c r="C133" s="7" t="inlineStr">
        <is>
          <t>vlm_guided</t>
        </is>
      </c>
      <c r="D133" s="7" t="inlineStr">
        <is>
          <t>vlm_guided_scoring</t>
        </is>
      </c>
      <c r="E133" s="7" t="n">
        <v>15</v>
      </c>
      <c r="F133" s="7" t="inlineStr">
        <is>
          <t>gemini-3.5-flash</t>
        </is>
      </c>
      <c r="G133" s="7" t="n">
        <v>1161</v>
      </c>
      <c r="H133" s="7" t="n">
        <v>92</v>
      </c>
      <c r="I133" s="7" t="n">
        <v>1998</v>
      </c>
      <c r="J133" s="7" t="inlineStr">
        <is>
          <t>sdk_usage_metadata</t>
        </is>
      </c>
      <c r="K133" s="7" t="inlineStr">
        <is>
          <t>success</t>
        </is>
      </c>
      <c r="L133" s="7" t="inlineStr"/>
      <c r="M133" s="7" t="n">
        <v>21</v>
      </c>
    </row>
    <row r="134" ht="34" customHeight="1">
      <c r="A134" s="7" t="n">
        <v>133</v>
      </c>
      <c r="B134" s="7" t="inlineStr">
        <is>
          <t>2026-07-30T13:15:13Z</t>
        </is>
      </c>
      <c r="C134" s="7" t="inlineStr">
        <is>
          <t>vlm_free</t>
        </is>
      </c>
      <c r="D134" s="7" t="inlineStr">
        <is>
          <t>vlm_free_descriptive_causal</t>
        </is>
      </c>
      <c r="E134" s="7" t="n">
        <v>16</v>
      </c>
      <c r="F134" s="7" t="inlineStr">
        <is>
          <t>gemini-3.5-flash</t>
        </is>
      </c>
      <c r="G134" s="7" t="n">
        <v>738</v>
      </c>
      <c r="H134" s="7" t="n">
        <v>610</v>
      </c>
      <c r="I134" s="7" t="n">
        <v>2923</v>
      </c>
      <c r="J134" s="7" t="inlineStr">
        <is>
          <t>sdk_usage_metadata</t>
        </is>
      </c>
      <c r="K134" s="7" t="inlineStr">
        <is>
          <t>success</t>
        </is>
      </c>
      <c r="L134" s="7" t="inlineStr"/>
      <c r="M134" s="7" t="n">
        <v>43</v>
      </c>
    </row>
    <row r="135" ht="34" customHeight="1">
      <c r="A135" s="7" t="n">
        <v>134</v>
      </c>
      <c r="B135" s="7" t="inlineStr">
        <is>
          <t>2026-07-30T13:15:18Z</t>
        </is>
      </c>
      <c r="C135" s="7" t="inlineStr">
        <is>
          <t>vlm_free</t>
        </is>
      </c>
      <c r="D135" s="7" t="inlineStr">
        <is>
          <t>vlm_free_scoring</t>
        </is>
      </c>
      <c r="E135" s="7" t="n">
        <v>16</v>
      </c>
      <c r="F135" s="7" t="inlineStr">
        <is>
          <t>gemini-3.5-flash</t>
        </is>
      </c>
      <c r="G135" s="7" t="n">
        <v>906</v>
      </c>
      <c r="H135" s="7" t="n">
        <v>122</v>
      </c>
      <c r="I135" s="7" t="n">
        <v>1938</v>
      </c>
      <c r="J135" s="7" t="inlineStr">
        <is>
          <t>sdk_usage_metadata</t>
        </is>
      </c>
      <c r="K135" s="7" t="inlineStr">
        <is>
          <t>success</t>
        </is>
      </c>
      <c r="L135" s="7" t="inlineStr"/>
      <c r="M135" s="7" t="n">
        <v>44</v>
      </c>
    </row>
    <row r="136" ht="34" customHeight="1">
      <c r="A136" s="7" t="n">
        <v>135</v>
      </c>
      <c r="B136" s="7" t="inlineStr">
        <is>
          <t>2026-07-30T13:15:24Z</t>
        </is>
      </c>
      <c r="C136" s="7" t="inlineStr">
        <is>
          <t>vlm_free</t>
        </is>
      </c>
      <c r="D136" s="7" t="inlineStr">
        <is>
          <t>vlm_free_scoring</t>
        </is>
      </c>
      <c r="E136" s="7" t="n">
        <v>16</v>
      </c>
      <c r="F136" s="7" t="inlineStr">
        <is>
          <t>gemini-3.5-flash</t>
        </is>
      </c>
      <c r="G136" s="7" t="n">
        <v>906</v>
      </c>
      <c r="H136" s="7" t="n">
        <v>125</v>
      </c>
      <c r="I136" s="7" t="n">
        <v>1878</v>
      </c>
      <c r="J136" s="7" t="inlineStr">
        <is>
          <t>sdk_usage_metadata</t>
        </is>
      </c>
      <c r="K136" s="7" t="inlineStr">
        <is>
          <t>success</t>
        </is>
      </c>
      <c r="L136" s="7" t="inlineStr"/>
      <c r="M136" s="7" t="n">
        <v>45</v>
      </c>
    </row>
    <row r="137" ht="34" customHeight="1">
      <c r="A137" s="7" t="n">
        <v>136</v>
      </c>
      <c r="B137" s="7" t="inlineStr">
        <is>
          <t>2026-07-30T13:15:32Z</t>
        </is>
      </c>
      <c r="C137" s="7" t="inlineStr">
        <is>
          <t>common</t>
        </is>
      </c>
      <c r="D137" s="7" t="inlineStr">
        <is>
          <t>guided_descriptive_prompt</t>
        </is>
      </c>
      <c r="E137" s="7" t="n">
        <v>16</v>
      </c>
      <c r="F137" s="7" t="inlineStr">
        <is>
          <t>gemini-3.5-flash</t>
        </is>
      </c>
      <c r="G137" s="7" t="n">
        <v>578</v>
      </c>
      <c r="H137" s="7" t="n">
        <v>300</v>
      </c>
      <c r="I137" s="7" t="n">
        <v>2123</v>
      </c>
      <c r="J137" s="7" t="inlineStr">
        <is>
          <t>sdk_usage_metadata</t>
        </is>
      </c>
      <c r="K137" s="7" t="inlineStr">
        <is>
          <t>success</t>
        </is>
      </c>
      <c r="L137" s="7" t="inlineStr"/>
      <c r="M137" s="7" t="n">
        <v>70</v>
      </c>
    </row>
    <row r="138" ht="34" customHeight="1">
      <c r="A138" s="7" t="n">
        <v>137</v>
      </c>
      <c r="B138" s="7" t="inlineStr">
        <is>
          <t>2026-07-30T13:15:39Z</t>
        </is>
      </c>
      <c r="C138" s="7" t="inlineStr">
        <is>
          <t>common</t>
        </is>
      </c>
      <c r="D138" s="7" t="inlineStr">
        <is>
          <t>guided_descriptive_prompt</t>
        </is>
      </c>
      <c r="E138" s="7" t="n">
        <v>16</v>
      </c>
      <c r="F138" s="7" t="inlineStr">
        <is>
          <t>gemini-3.5-flash</t>
        </is>
      </c>
      <c r="G138" s="7" t="n">
        <v>578</v>
      </c>
      <c r="H138" s="7" t="n">
        <v>297</v>
      </c>
      <c r="I138" s="7" t="n">
        <v>1990</v>
      </c>
      <c r="J138" s="7" t="inlineStr">
        <is>
          <t>sdk_usage_metadata</t>
        </is>
      </c>
      <c r="K138" s="7" t="inlineStr">
        <is>
          <t>success</t>
        </is>
      </c>
      <c r="L138" s="7" t="inlineStr"/>
      <c r="M138" s="7" t="n">
        <v>71</v>
      </c>
    </row>
    <row r="139" ht="34" customHeight="1">
      <c r="A139" s="7" t="n">
        <v>138</v>
      </c>
      <c r="B139" s="7" t="inlineStr">
        <is>
          <t>2026-07-30T13:15:47Z</t>
        </is>
      </c>
      <c r="C139" s="7" t="inlineStr">
        <is>
          <t>common</t>
        </is>
      </c>
      <c r="D139" s="7" t="inlineStr">
        <is>
          <t>guided_question_set</t>
        </is>
      </c>
      <c r="E139" s="7" t="n">
        <v>16</v>
      </c>
      <c r="F139" s="7" t="inlineStr">
        <is>
          <t>gemini-3.5-flash</t>
        </is>
      </c>
      <c r="G139" s="7" t="n">
        <v>1777</v>
      </c>
      <c r="H139" s="7" t="n">
        <v>363</v>
      </c>
      <c r="I139" s="7" t="n">
        <v>3274</v>
      </c>
      <c r="J139" s="7" t="inlineStr">
        <is>
          <t>sdk_usage_metadata</t>
        </is>
      </c>
      <c r="K139" s="7" t="inlineStr">
        <is>
          <t>success</t>
        </is>
      </c>
      <c r="L139" s="7" t="inlineStr"/>
      <c r="M139" s="7" t="n">
        <v>72</v>
      </c>
    </row>
    <row r="140" ht="34" customHeight="1">
      <c r="A140" s="7" t="n">
        <v>139</v>
      </c>
      <c r="B140" s="7" t="inlineStr">
        <is>
          <t>2026-07-30T13:15:53Z</t>
        </is>
      </c>
      <c r="C140" s="7" t="inlineStr">
        <is>
          <t>common</t>
        </is>
      </c>
      <c r="D140" s="7" t="inlineStr">
        <is>
          <t>guided_causal_engine</t>
        </is>
      </c>
      <c r="E140" s="7" t="n">
        <v>16</v>
      </c>
      <c r="F140" s="7" t="inlineStr">
        <is>
          <t>gemini-3.5-flash</t>
        </is>
      </c>
      <c r="G140" s="7" t="n">
        <v>944</v>
      </c>
      <c r="H140" s="7" t="n">
        <v>225</v>
      </c>
      <c r="I140" s="7" t="n">
        <v>2032</v>
      </c>
      <c r="J140" s="7" t="inlineStr">
        <is>
          <t>sdk_usage_metadata</t>
        </is>
      </c>
      <c r="K140" s="7" t="inlineStr">
        <is>
          <t>success</t>
        </is>
      </c>
      <c r="L140" s="7" t="inlineStr"/>
      <c r="M140" s="7" t="n">
        <v>73</v>
      </c>
    </row>
    <row r="141" ht="34" customHeight="1">
      <c r="A141" s="7" t="n">
        <v>140</v>
      </c>
      <c r="B141" s="7" t="inlineStr">
        <is>
          <t>2026-07-30T13:15:57Z</t>
        </is>
      </c>
      <c r="C141" s="7" t="inlineStr">
        <is>
          <t>vlm_guided</t>
        </is>
      </c>
      <c r="D141" s="7" t="inlineStr">
        <is>
          <t>vlm_guided_scoring</t>
        </is>
      </c>
      <c r="E141" s="7" t="n">
        <v>16</v>
      </c>
      <c r="F141" s="7" t="inlineStr">
        <is>
          <t>gemini-3.5-flash</t>
        </is>
      </c>
      <c r="G141" s="7" t="n">
        <v>1156</v>
      </c>
      <c r="H141" s="7" t="n">
        <v>95</v>
      </c>
      <c r="I141" s="7" t="n">
        <v>2028</v>
      </c>
      <c r="J141" s="7" t="inlineStr">
        <is>
          <t>sdk_usage_metadata</t>
        </is>
      </c>
      <c r="K141" s="7" t="inlineStr">
        <is>
          <t>success</t>
        </is>
      </c>
      <c r="L141" s="7" t="inlineStr"/>
      <c r="M141" s="7" t="n">
        <v>22</v>
      </c>
    </row>
    <row r="142" ht="34" customHeight="1">
      <c r="A142" s="7" t="n">
        <v>141</v>
      </c>
      <c r="B142" s="7" t="inlineStr">
        <is>
          <t>2026-07-30T13:16:23Z</t>
        </is>
      </c>
      <c r="C142" s="7" t="inlineStr">
        <is>
          <t>vlm_free</t>
        </is>
      </c>
      <c r="D142" s="7" t="inlineStr">
        <is>
          <t>vlm_free_descriptive_causal</t>
        </is>
      </c>
      <c r="E142" s="7" t="n">
        <v>17</v>
      </c>
      <c r="F142" s="7" t="inlineStr">
        <is>
          <t>gemini-3.5-flash</t>
        </is>
      </c>
      <c r="G142" s="7" t="n">
        <v>738</v>
      </c>
      <c r="H142" s="7" t="n">
        <v>468</v>
      </c>
      <c r="I142" s="7" t="n">
        <v>2379</v>
      </c>
      <c r="J142" s="7" t="inlineStr">
        <is>
          <t>sdk_usage_metadata</t>
        </is>
      </c>
      <c r="K142" s="7" t="inlineStr">
        <is>
          <t>success</t>
        </is>
      </c>
      <c r="L142" s="7" t="inlineStr"/>
      <c r="M142" s="7" t="n">
        <v>46</v>
      </c>
    </row>
    <row r="143" ht="34" customHeight="1">
      <c r="A143" s="7" t="n">
        <v>142</v>
      </c>
      <c r="B143" s="7" t="inlineStr">
        <is>
          <t>2026-07-30T13:16:28Z</t>
        </is>
      </c>
      <c r="C143" s="7" t="inlineStr">
        <is>
          <t>vlm_free</t>
        </is>
      </c>
      <c r="D143" s="7" t="inlineStr">
        <is>
          <t>vlm_free_scoring</t>
        </is>
      </c>
      <c r="E143" s="7" t="n">
        <v>17</v>
      </c>
      <c r="F143" s="7" t="inlineStr">
        <is>
          <t>gemini-3.5-flash</t>
        </is>
      </c>
      <c r="G143" s="7" t="n">
        <v>763</v>
      </c>
      <c r="H143" s="7" t="n">
        <v>142</v>
      </c>
      <c r="I143" s="7" t="n">
        <v>1706</v>
      </c>
      <c r="J143" s="7" t="inlineStr">
        <is>
          <t>sdk_usage_metadata</t>
        </is>
      </c>
      <c r="K143" s="7" t="inlineStr">
        <is>
          <t>success</t>
        </is>
      </c>
      <c r="L143" s="7" t="inlineStr"/>
      <c r="M143" s="7" t="n">
        <v>47</v>
      </c>
    </row>
    <row r="144" ht="34" customHeight="1">
      <c r="A144" s="7" t="n">
        <v>143</v>
      </c>
      <c r="B144" s="7" t="inlineStr">
        <is>
          <t>2026-07-30T13:16:34Z</t>
        </is>
      </c>
      <c r="C144" s="7" t="inlineStr">
        <is>
          <t>common</t>
        </is>
      </c>
      <c r="D144" s="7" t="inlineStr">
        <is>
          <t>guided_descriptive_prompt</t>
        </is>
      </c>
      <c r="E144" s="7" t="n">
        <v>17</v>
      </c>
      <c r="F144" s="7" t="inlineStr">
        <is>
          <t>gemini-3.5-flash</t>
        </is>
      </c>
      <c r="G144" s="7" t="n">
        <v>578</v>
      </c>
      <c r="H144" s="7" t="n">
        <v>291</v>
      </c>
      <c r="I144" s="7" t="n">
        <v>1953</v>
      </c>
      <c r="J144" s="7" t="inlineStr">
        <is>
          <t>sdk_usage_metadata</t>
        </is>
      </c>
      <c r="K144" s="7" t="inlineStr">
        <is>
          <t>success</t>
        </is>
      </c>
      <c r="L144" s="7" t="inlineStr"/>
      <c r="M144" s="7" t="n">
        <v>74</v>
      </c>
    </row>
    <row r="145" ht="34" customHeight="1">
      <c r="A145" s="7" t="n">
        <v>144</v>
      </c>
      <c r="B145" s="7" t="inlineStr">
        <is>
          <t>2026-07-30T13:16:42Z</t>
        </is>
      </c>
      <c r="C145" s="7" t="inlineStr">
        <is>
          <t>common</t>
        </is>
      </c>
      <c r="D145" s="7" t="inlineStr">
        <is>
          <t>guided_descriptive_prompt</t>
        </is>
      </c>
      <c r="E145" s="7" t="n">
        <v>17</v>
      </c>
      <c r="F145" s="7" t="inlineStr">
        <is>
          <t>gemini-3.5-flash</t>
        </is>
      </c>
      <c r="G145" s="7" t="n">
        <v>578</v>
      </c>
      <c r="H145" s="7" t="n">
        <v>340</v>
      </c>
      <c r="I145" s="7" t="n">
        <v>2009</v>
      </c>
      <c r="J145" s="7" t="inlineStr">
        <is>
          <t>sdk_usage_metadata</t>
        </is>
      </c>
      <c r="K145" s="7" t="inlineStr">
        <is>
          <t>success</t>
        </is>
      </c>
      <c r="L145" s="7" t="inlineStr"/>
      <c r="M145" s="7" t="n">
        <v>75</v>
      </c>
    </row>
    <row r="146" ht="34" customHeight="1">
      <c r="A146" s="7" t="n">
        <v>145</v>
      </c>
      <c r="B146" s="7" t="inlineStr">
        <is>
          <t>2026-07-30T13:16:49Z</t>
        </is>
      </c>
      <c r="C146" s="7" t="inlineStr">
        <is>
          <t>common</t>
        </is>
      </c>
      <c r="D146" s="7" t="inlineStr">
        <is>
          <t>guided_question_set</t>
        </is>
      </c>
      <c r="E146" s="7" t="n">
        <v>17</v>
      </c>
      <c r="F146" s="7" t="inlineStr">
        <is>
          <t>gemini-3.5-flash</t>
        </is>
      </c>
      <c r="G146" s="7" t="n">
        <v>1820</v>
      </c>
      <c r="H146" s="7" t="n">
        <v>342</v>
      </c>
      <c r="I146" s="7" t="n">
        <v>3464</v>
      </c>
      <c r="J146" s="7" t="inlineStr">
        <is>
          <t>sdk_usage_metadata</t>
        </is>
      </c>
      <c r="K146" s="7" t="inlineStr">
        <is>
          <t>success</t>
        </is>
      </c>
      <c r="L146" s="7" t="inlineStr"/>
      <c r="M146" s="7" t="n">
        <v>76</v>
      </c>
    </row>
    <row r="147" ht="34" customHeight="1">
      <c r="A147" s="7" t="n">
        <v>146</v>
      </c>
      <c r="B147" s="7" t="inlineStr">
        <is>
          <t>2026-07-30T13:16:57Z</t>
        </is>
      </c>
      <c r="C147" s="7" t="inlineStr">
        <is>
          <t>common</t>
        </is>
      </c>
      <c r="D147" s="7" t="inlineStr">
        <is>
          <t>guided_question_set</t>
        </is>
      </c>
      <c r="E147" s="7" t="n">
        <v>17</v>
      </c>
      <c r="F147" s="7" t="inlineStr">
        <is>
          <t>gemini-3.5-flash</t>
        </is>
      </c>
      <c r="G147" s="7" t="n">
        <v>1820</v>
      </c>
      <c r="H147" s="7" t="n">
        <v>325</v>
      </c>
      <c r="I147" s="7" t="n">
        <v>3551</v>
      </c>
      <c r="J147" s="7" t="inlineStr">
        <is>
          <t>sdk_usage_metadata</t>
        </is>
      </c>
      <c r="K147" s="7" t="inlineStr">
        <is>
          <t>success</t>
        </is>
      </c>
      <c r="L147" s="7" t="inlineStr"/>
      <c r="M147" s="7" t="n">
        <v>77</v>
      </c>
    </row>
    <row r="148" ht="34" customHeight="1">
      <c r="A148" s="7" t="n">
        <v>147</v>
      </c>
      <c r="B148" s="7" t="inlineStr">
        <is>
          <t>2026-07-30T13:17:05Z</t>
        </is>
      </c>
      <c r="C148" s="7" t="inlineStr">
        <is>
          <t>common</t>
        </is>
      </c>
      <c r="D148" s="7" t="inlineStr">
        <is>
          <t>guided_question_set</t>
        </is>
      </c>
      <c r="E148" s="7" t="n">
        <v>17</v>
      </c>
      <c r="F148" s="7" t="inlineStr">
        <is>
          <t>gemini-3.5-flash</t>
        </is>
      </c>
      <c r="G148" s="7" t="n">
        <v>1820</v>
      </c>
      <c r="H148" s="7" t="n">
        <v>362</v>
      </c>
      <c r="I148" s="7" t="n">
        <v>3199</v>
      </c>
      <c r="J148" s="7" t="inlineStr">
        <is>
          <t>sdk_usage_metadata</t>
        </is>
      </c>
      <c r="K148" s="7" t="inlineStr">
        <is>
          <t>success</t>
        </is>
      </c>
      <c r="L148" s="7" t="inlineStr"/>
      <c r="M148" s="7" t="n">
        <v>78</v>
      </c>
    </row>
    <row r="149" ht="34" customHeight="1">
      <c r="A149" s="7" t="n">
        <v>148</v>
      </c>
      <c r="B149" s="7" t="inlineStr">
        <is>
          <t>2026-07-30T13:17:10Z</t>
        </is>
      </c>
      <c r="C149" s="7" t="inlineStr">
        <is>
          <t>common</t>
        </is>
      </c>
      <c r="D149" s="7" t="inlineStr">
        <is>
          <t>guided_causal_engine</t>
        </is>
      </c>
      <c r="E149" s="7" t="n">
        <v>17</v>
      </c>
      <c r="F149" s="7" t="inlineStr">
        <is>
          <t>gemini-3.5-flash</t>
        </is>
      </c>
      <c r="G149" s="7" t="n">
        <v>987</v>
      </c>
      <c r="H149" s="7" t="n">
        <v>222</v>
      </c>
      <c r="I149" s="7" t="n">
        <v>2157</v>
      </c>
      <c r="J149" s="7" t="inlineStr">
        <is>
          <t>sdk_usage_metadata</t>
        </is>
      </c>
      <c r="K149" s="7" t="inlineStr">
        <is>
          <t>success</t>
        </is>
      </c>
      <c r="L149" s="7" t="inlineStr"/>
      <c r="M149" s="7" t="n">
        <v>79</v>
      </c>
    </row>
    <row r="150" ht="34" customHeight="1">
      <c r="A150" s="7" t="n">
        <v>149</v>
      </c>
      <c r="B150" s="7" t="inlineStr">
        <is>
          <t>2026-07-30T13:17:17Z</t>
        </is>
      </c>
      <c r="C150" s="7" t="inlineStr">
        <is>
          <t>common</t>
        </is>
      </c>
      <c r="D150" s="7" t="inlineStr">
        <is>
          <t>guided_causal_engine</t>
        </is>
      </c>
      <c r="E150" s="7" t="n">
        <v>17</v>
      </c>
      <c r="F150" s="7" t="inlineStr">
        <is>
          <t>gemini-3.5-flash</t>
        </is>
      </c>
      <c r="G150" s="7" t="n">
        <v>987</v>
      </c>
      <c r="H150" s="7" t="n">
        <v>222</v>
      </c>
      <c r="I150" s="7" t="n">
        <v>2208</v>
      </c>
      <c r="J150" s="7" t="inlineStr">
        <is>
          <t>sdk_usage_metadata</t>
        </is>
      </c>
      <c r="K150" s="7" t="inlineStr">
        <is>
          <t>success</t>
        </is>
      </c>
      <c r="L150" s="7" t="inlineStr"/>
      <c r="M150" s="7" t="n">
        <v>80</v>
      </c>
    </row>
    <row r="151" ht="34" customHeight="1">
      <c r="A151" s="7" t="n">
        <v>150</v>
      </c>
      <c r="B151" s="7" t="inlineStr">
        <is>
          <t>2026-07-30T13:17:22Z</t>
        </is>
      </c>
      <c r="C151" s="7" t="inlineStr">
        <is>
          <t>vlm_guided</t>
        </is>
      </c>
      <c r="D151" s="7" t="inlineStr">
        <is>
          <t>vlm_guided_scoring</t>
        </is>
      </c>
      <c r="E151" s="7" t="n">
        <v>17</v>
      </c>
      <c r="F151" s="7" t="inlineStr">
        <is>
          <t>gemini-3.5-flash</t>
        </is>
      </c>
      <c r="G151" s="7" t="n">
        <v>1196</v>
      </c>
      <c r="H151" s="7" t="n">
        <v>103</v>
      </c>
      <c r="I151" s="7" t="n">
        <v>2088</v>
      </c>
      <c r="J151" s="7" t="inlineStr">
        <is>
          <t>sdk_usage_metadata</t>
        </is>
      </c>
      <c r="K151" s="7" t="inlineStr">
        <is>
          <t>success</t>
        </is>
      </c>
      <c r="L151" s="7" t="inlineStr"/>
      <c r="M151" s="7" t="n">
        <v>23</v>
      </c>
    </row>
    <row r="152" ht="34" customHeight="1">
      <c r="A152" s="7" t="n">
        <v>151</v>
      </c>
      <c r="B152" s="7" t="inlineStr">
        <is>
          <t>2026-07-30T13:17:49Z</t>
        </is>
      </c>
      <c r="C152" s="7" t="inlineStr">
        <is>
          <t>vlm_free</t>
        </is>
      </c>
      <c r="D152" s="7" t="inlineStr">
        <is>
          <t>vlm_free_descriptive_causal</t>
        </is>
      </c>
      <c r="E152" s="7" t="n">
        <v>18</v>
      </c>
      <c r="F152" s="7" t="inlineStr">
        <is>
          <t>gemini-3.5-flash</t>
        </is>
      </c>
      <c r="G152" s="7" t="n">
        <v>738</v>
      </c>
      <c r="H152" s="7" t="n">
        <v>498</v>
      </c>
      <c r="I152" s="7" t="n">
        <v>2521</v>
      </c>
      <c r="J152" s="7" t="inlineStr">
        <is>
          <t>sdk_usage_metadata</t>
        </is>
      </c>
      <c r="K152" s="7" t="inlineStr">
        <is>
          <t>success</t>
        </is>
      </c>
      <c r="L152" s="7" t="inlineStr"/>
      <c r="M152" s="7" t="n">
        <v>48</v>
      </c>
    </row>
    <row r="153" ht="34" customHeight="1">
      <c r="A153" s="7" t="n">
        <v>152</v>
      </c>
      <c r="B153" s="7" t="inlineStr">
        <is>
          <t>2026-07-30T13:18:01Z</t>
        </is>
      </c>
      <c r="C153" s="7" t="inlineStr">
        <is>
          <t>vlm_free</t>
        </is>
      </c>
      <c r="D153" s="7" t="inlineStr">
        <is>
          <t>vlm_free_descriptive_causal</t>
        </is>
      </c>
      <c r="E153" s="7" t="n">
        <v>18</v>
      </c>
      <c r="F153" s="7" t="inlineStr">
        <is>
          <t>gemini-3.5-flash</t>
        </is>
      </c>
      <c r="G153" s="7" t="n">
        <v>738</v>
      </c>
      <c r="H153" s="7" t="n">
        <v>507</v>
      </c>
      <c r="I153" s="7" t="n">
        <v>2859</v>
      </c>
      <c r="J153" s="7" t="inlineStr">
        <is>
          <t>sdk_usage_metadata</t>
        </is>
      </c>
      <c r="K153" s="7" t="inlineStr">
        <is>
          <t>success</t>
        </is>
      </c>
      <c r="L153" s="7" t="inlineStr"/>
      <c r="M153" s="7" t="n">
        <v>49</v>
      </c>
    </row>
    <row r="154" ht="34" customHeight="1">
      <c r="A154" s="7" t="n">
        <v>153</v>
      </c>
      <c r="B154" s="7" t="inlineStr">
        <is>
          <t>2026-07-30T13:18:06Z</t>
        </is>
      </c>
      <c r="C154" s="7" t="inlineStr">
        <is>
          <t>vlm_free</t>
        </is>
      </c>
      <c r="D154" s="7" t="inlineStr">
        <is>
          <t>vlm_free_scoring</t>
        </is>
      </c>
      <c r="E154" s="7" t="n">
        <v>18</v>
      </c>
      <c r="F154" s="7" t="inlineStr">
        <is>
          <t>gemini-3.5-flash</t>
        </is>
      </c>
      <c r="G154" s="7" t="n">
        <v>803</v>
      </c>
      <c r="H154" s="7" t="n">
        <v>126</v>
      </c>
      <c r="I154" s="7" t="n">
        <v>1768</v>
      </c>
      <c r="J154" s="7" t="inlineStr">
        <is>
          <t>sdk_usage_metadata</t>
        </is>
      </c>
      <c r="K154" s="7" t="inlineStr">
        <is>
          <t>success</t>
        </is>
      </c>
      <c r="L154" s="7" t="inlineStr"/>
      <c r="M154" s="7" t="n">
        <v>50</v>
      </c>
    </row>
    <row r="155" ht="34" customHeight="1">
      <c r="A155" s="7" t="n">
        <v>154</v>
      </c>
      <c r="B155" s="7" t="inlineStr">
        <is>
          <t>2026-07-30T13:18:12Z</t>
        </is>
      </c>
      <c r="C155" s="7" t="inlineStr">
        <is>
          <t>common</t>
        </is>
      </c>
      <c r="D155" s="7" t="inlineStr">
        <is>
          <t>guided_descriptive_prompt</t>
        </is>
      </c>
      <c r="E155" s="7" t="n">
        <v>18</v>
      </c>
      <c r="F155" s="7" t="inlineStr">
        <is>
          <t>gemini-3.5-flash</t>
        </is>
      </c>
      <c r="G155" s="7" t="n">
        <v>578</v>
      </c>
      <c r="H155" s="7" t="n">
        <v>334</v>
      </c>
      <c r="I155" s="7" t="n">
        <v>1935</v>
      </c>
      <c r="J155" s="7" t="inlineStr">
        <is>
          <t>sdk_usage_metadata</t>
        </is>
      </c>
      <c r="K155" s="7" t="inlineStr">
        <is>
          <t>success</t>
        </is>
      </c>
      <c r="L155" s="7" t="inlineStr"/>
      <c r="M155" s="7" t="n">
        <v>81</v>
      </c>
    </row>
    <row r="156" ht="34" customHeight="1">
      <c r="A156" s="7" t="n">
        <v>155</v>
      </c>
      <c r="B156" s="7" t="inlineStr">
        <is>
          <t>2026-07-30T13:18:19Z</t>
        </is>
      </c>
      <c r="C156" s="7" t="inlineStr">
        <is>
          <t>common</t>
        </is>
      </c>
      <c r="D156" s="7" t="inlineStr">
        <is>
          <t>guided_question_set</t>
        </is>
      </c>
      <c r="E156" s="7" t="n">
        <v>18</v>
      </c>
      <c r="F156" s="7" t="inlineStr">
        <is>
          <t>gemini-3.5-flash</t>
        </is>
      </c>
      <c r="G156" s="7" t="n">
        <v>1814</v>
      </c>
      <c r="H156" s="7" t="n">
        <v>353</v>
      </c>
      <c r="I156" s="7" t="n">
        <v>3310</v>
      </c>
      <c r="J156" s="7" t="inlineStr">
        <is>
          <t>sdk_usage_metadata</t>
        </is>
      </c>
      <c r="K156" s="7" t="inlineStr">
        <is>
          <t>success</t>
        </is>
      </c>
      <c r="L156" s="7" t="inlineStr"/>
      <c r="M156" s="7" t="n">
        <v>82</v>
      </c>
    </row>
    <row r="157" ht="34" customHeight="1">
      <c r="A157" s="7" t="n">
        <v>156</v>
      </c>
      <c r="B157" s="7" t="inlineStr">
        <is>
          <t>2026-07-30T13:18:25Z</t>
        </is>
      </c>
      <c r="C157" s="7" t="inlineStr">
        <is>
          <t>common</t>
        </is>
      </c>
      <c r="D157" s="7" t="inlineStr">
        <is>
          <t>guided_causal_engine</t>
        </is>
      </c>
      <c r="E157" s="7" t="n">
        <v>18</v>
      </c>
      <c r="F157" s="7" t="inlineStr">
        <is>
          <t>gemini-3.5-flash</t>
        </is>
      </c>
      <c r="G157" s="7" t="n">
        <v>972</v>
      </c>
      <c r="H157" s="7" t="n">
        <v>202</v>
      </c>
      <c r="I157" s="7" t="n">
        <v>2056</v>
      </c>
      <c r="J157" s="7" t="inlineStr">
        <is>
          <t>sdk_usage_metadata</t>
        </is>
      </c>
      <c r="K157" s="7" t="inlineStr">
        <is>
          <t>success</t>
        </is>
      </c>
      <c r="L157" s="7" t="inlineStr"/>
      <c r="M157" s="7" t="n">
        <v>83</v>
      </c>
    </row>
    <row r="158" ht="34" customHeight="1">
      <c r="A158" s="7" t="n">
        <v>157</v>
      </c>
      <c r="B158" s="7" t="inlineStr">
        <is>
          <t>2026-07-30T13:18:29Z</t>
        </is>
      </c>
      <c r="C158" s="7" t="inlineStr">
        <is>
          <t>vlm_guided</t>
        </is>
      </c>
      <c r="D158" s="7" t="inlineStr">
        <is>
          <t>vlm_guided_scoring</t>
        </is>
      </c>
      <c r="E158" s="7" t="n">
        <v>18</v>
      </c>
      <c r="F158" s="7" t="inlineStr">
        <is>
          <t>gemini-3.5-flash</t>
        </is>
      </c>
      <c r="G158" s="7" t="n">
        <v>1160</v>
      </c>
      <c r="H158" s="7" t="n">
        <v>108</v>
      </c>
      <c r="I158" s="7" t="n">
        <v>2079</v>
      </c>
      <c r="J158" s="7" t="inlineStr">
        <is>
          <t>sdk_usage_metadata</t>
        </is>
      </c>
      <c r="K158" s="7" t="inlineStr">
        <is>
          <t>success</t>
        </is>
      </c>
      <c r="L158" s="7" t="inlineStr"/>
      <c r="M158" s="7" t="n">
        <v>24</v>
      </c>
    </row>
    <row r="159" ht="34" customHeight="1">
      <c r="A159" s="7" t="n">
        <v>158</v>
      </c>
      <c r="B159" s="7" t="inlineStr">
        <is>
          <t>2026-07-30T13:18:55Z</t>
        </is>
      </c>
      <c r="C159" s="7" t="inlineStr">
        <is>
          <t>vlm_free</t>
        </is>
      </c>
      <c r="D159" s="7" t="inlineStr">
        <is>
          <t>vlm_free_descriptive_causal</t>
        </is>
      </c>
      <c r="E159" s="7" t="n">
        <v>19</v>
      </c>
      <c r="F159" s="7" t="inlineStr">
        <is>
          <t>gemini-3.5-flash</t>
        </is>
      </c>
      <c r="G159" s="7" t="n">
        <v>738</v>
      </c>
      <c r="H159" s="7" t="n">
        <v>515</v>
      </c>
      <c r="I159" s="7" t="n">
        <v>2726</v>
      </c>
      <c r="J159" s="7" t="inlineStr">
        <is>
          <t>sdk_usage_metadata</t>
        </is>
      </c>
      <c r="K159" s="7" t="inlineStr">
        <is>
          <t>success</t>
        </is>
      </c>
      <c r="L159" s="7" t="inlineStr"/>
      <c r="M159" s="7" t="n">
        <v>51</v>
      </c>
    </row>
    <row r="160" ht="34" customHeight="1">
      <c r="A160" s="7" t="n">
        <v>159</v>
      </c>
      <c r="B160" s="7" t="inlineStr">
        <is>
          <t>2026-07-30T13:18:58Z</t>
        </is>
      </c>
      <c r="C160" s="7" t="inlineStr">
        <is>
          <t>vlm_free</t>
        </is>
      </c>
      <c r="D160" s="7" t="inlineStr">
        <is>
          <t>vlm_free_scoring</t>
        </is>
      </c>
      <c r="E160" s="7" t="n">
        <v>19</v>
      </c>
      <c r="F160" s="7" t="inlineStr">
        <is>
          <t>gemini-3.5-flash</t>
        </is>
      </c>
      <c r="G160" s="7" t="n">
        <v>810</v>
      </c>
      <c r="H160" s="7" t="n">
        <v>138</v>
      </c>
      <c r="I160" s="7" t="n">
        <v>1654</v>
      </c>
      <c r="J160" s="7" t="inlineStr">
        <is>
          <t>sdk_usage_metadata</t>
        </is>
      </c>
      <c r="K160" s="7" t="inlineStr">
        <is>
          <t>success</t>
        </is>
      </c>
      <c r="L160" s="7" t="inlineStr"/>
      <c r="M160" s="7" t="n">
        <v>52</v>
      </c>
    </row>
    <row r="161" ht="34" customHeight="1">
      <c r="A161" s="7" t="n">
        <v>160</v>
      </c>
      <c r="B161" s="7" t="inlineStr">
        <is>
          <t>2026-07-30T13:19:05Z</t>
        </is>
      </c>
      <c r="C161" s="7" t="inlineStr">
        <is>
          <t>common</t>
        </is>
      </c>
      <c r="D161" s="7" t="inlineStr">
        <is>
          <t>guided_descriptive_prompt</t>
        </is>
      </c>
      <c r="E161" s="7" t="n">
        <v>19</v>
      </c>
      <c r="F161" s="7" t="inlineStr">
        <is>
          <t>gemini-3.5-flash</t>
        </is>
      </c>
      <c r="G161" s="7" t="n">
        <v>578</v>
      </c>
      <c r="H161" s="7" t="n">
        <v>420</v>
      </c>
      <c r="I161" s="7" t="n">
        <v>1957</v>
      </c>
      <c r="J161" s="7" t="inlineStr">
        <is>
          <t>sdk_usage_metadata</t>
        </is>
      </c>
      <c r="K161" s="7" t="inlineStr">
        <is>
          <t>success</t>
        </is>
      </c>
      <c r="L161" s="7" t="inlineStr"/>
      <c r="M161" s="7" t="n">
        <v>84</v>
      </c>
    </row>
    <row r="162" ht="34" customHeight="1">
      <c r="A162" s="7" t="n">
        <v>161</v>
      </c>
      <c r="B162" s="7" t="inlineStr">
        <is>
          <t>2026-07-30T13:19:13Z</t>
        </is>
      </c>
      <c r="C162" s="7" t="inlineStr">
        <is>
          <t>common</t>
        </is>
      </c>
      <c r="D162" s="7" t="inlineStr">
        <is>
          <t>guided_descriptive_prompt</t>
        </is>
      </c>
      <c r="E162" s="7" t="n">
        <v>19</v>
      </c>
      <c r="F162" s="7" t="inlineStr">
        <is>
          <t>gemini-3.5-flash</t>
        </is>
      </c>
      <c r="G162" s="7" t="n">
        <v>578</v>
      </c>
      <c r="H162" s="7" t="n">
        <v>339</v>
      </c>
      <c r="I162" s="7" t="n">
        <v>2130</v>
      </c>
      <c r="J162" s="7" t="inlineStr">
        <is>
          <t>sdk_usage_metadata</t>
        </is>
      </c>
      <c r="K162" s="7" t="inlineStr">
        <is>
          <t>success</t>
        </is>
      </c>
      <c r="L162" s="7" t="inlineStr"/>
      <c r="M162" s="7" t="n">
        <v>85</v>
      </c>
    </row>
    <row r="163" ht="34" customHeight="1">
      <c r="A163" s="7" t="n">
        <v>162</v>
      </c>
      <c r="B163" s="7" t="inlineStr">
        <is>
          <t>2026-07-30T13:19:21Z</t>
        </is>
      </c>
      <c r="C163" s="7" t="inlineStr">
        <is>
          <t>common</t>
        </is>
      </c>
      <c r="D163" s="7" t="inlineStr">
        <is>
          <t>guided_question_set</t>
        </is>
      </c>
      <c r="E163" s="7" t="n">
        <v>19</v>
      </c>
      <c r="F163" s="7" t="inlineStr">
        <is>
          <t>gemini-3.5-flash</t>
        </is>
      </c>
      <c r="G163" s="7" t="n">
        <v>1819</v>
      </c>
      <c r="H163" s="7" t="n">
        <v>378</v>
      </c>
      <c r="I163" s="7" t="n">
        <v>3445</v>
      </c>
      <c r="J163" s="7" t="inlineStr">
        <is>
          <t>sdk_usage_metadata</t>
        </is>
      </c>
      <c r="K163" s="7" t="inlineStr">
        <is>
          <t>success</t>
        </is>
      </c>
      <c r="L163" s="7" t="inlineStr"/>
      <c r="M163" s="7" t="n">
        <v>86</v>
      </c>
    </row>
    <row r="164" ht="34" customHeight="1">
      <c r="A164" s="7" t="n">
        <v>163</v>
      </c>
      <c r="B164" s="7" t="inlineStr">
        <is>
          <t>2026-07-30T13:19:31Z</t>
        </is>
      </c>
      <c r="C164" s="7" t="inlineStr">
        <is>
          <t>common</t>
        </is>
      </c>
      <c r="D164" s="7" t="inlineStr">
        <is>
          <t>guided_question_set</t>
        </is>
      </c>
      <c r="E164" s="7" t="n">
        <v>19</v>
      </c>
      <c r="F164" s="7" t="inlineStr">
        <is>
          <t>gemini-3.5-flash</t>
        </is>
      </c>
      <c r="G164" s="7" t="n">
        <v>1819</v>
      </c>
      <c r="H164" s="7" t="n">
        <v>379</v>
      </c>
      <c r="I164" s="7" t="n">
        <v>3442</v>
      </c>
      <c r="J164" s="7" t="inlineStr">
        <is>
          <t>sdk_usage_metadata</t>
        </is>
      </c>
      <c r="K164" s="7" t="inlineStr">
        <is>
          <t>success</t>
        </is>
      </c>
      <c r="L164" s="7" t="inlineStr"/>
      <c r="M164" s="7" t="n">
        <v>87</v>
      </c>
    </row>
    <row r="165" ht="34" customHeight="1">
      <c r="A165" s="7" t="n">
        <v>164</v>
      </c>
      <c r="B165" s="7" t="inlineStr">
        <is>
          <t>2026-07-30T13:19:36Z</t>
        </is>
      </c>
      <c r="C165" s="7" t="inlineStr">
        <is>
          <t>common</t>
        </is>
      </c>
      <c r="D165" s="7" t="inlineStr">
        <is>
          <t>guided_causal_engine</t>
        </is>
      </c>
      <c r="E165" s="7" t="n">
        <v>19</v>
      </c>
      <c r="F165" s="7" t="inlineStr">
        <is>
          <t>gemini-3.5-flash</t>
        </is>
      </c>
      <c r="G165" s="7" t="n">
        <v>1003</v>
      </c>
      <c r="H165" s="7" t="n">
        <v>220</v>
      </c>
      <c r="I165" s="7" t="n">
        <v>2207</v>
      </c>
      <c r="J165" s="7" t="inlineStr">
        <is>
          <t>sdk_usage_metadata</t>
        </is>
      </c>
      <c r="K165" s="7" t="inlineStr">
        <is>
          <t>success</t>
        </is>
      </c>
      <c r="L165" s="7" t="inlineStr"/>
      <c r="M165" s="7" t="n">
        <v>88</v>
      </c>
    </row>
    <row r="166" ht="34" customHeight="1">
      <c r="A166" s="7" t="n">
        <v>165</v>
      </c>
      <c r="B166" s="7" t="inlineStr">
        <is>
          <t>2026-07-30T13:19:41Z</t>
        </is>
      </c>
      <c r="C166" s="7" t="inlineStr">
        <is>
          <t>vlm_guided</t>
        </is>
      </c>
      <c r="D166" s="7" t="inlineStr">
        <is>
          <t>vlm_guided_scoring</t>
        </is>
      </c>
      <c r="E166" s="7" t="n">
        <v>19</v>
      </c>
      <c r="F166" s="7" t="inlineStr">
        <is>
          <t>gemini-3.5-flash</t>
        </is>
      </c>
      <c r="G166" s="7" t="n">
        <v>1210</v>
      </c>
      <c r="H166" s="7" t="n">
        <v>118</v>
      </c>
      <c r="I166" s="7" t="n">
        <v>2136</v>
      </c>
      <c r="J166" s="7" t="inlineStr">
        <is>
          <t>sdk_usage_metadata</t>
        </is>
      </c>
      <c r="K166" s="7" t="inlineStr">
        <is>
          <t>success</t>
        </is>
      </c>
      <c r="L166" s="7" t="inlineStr"/>
      <c r="M166" s="7" t="n">
        <v>25</v>
      </c>
    </row>
    <row r="167" ht="34" customHeight="1">
      <c r="A167" s="7" t="n">
        <v>166</v>
      </c>
      <c r="B167" s="7" t="inlineStr">
        <is>
          <t>2026-07-30T13:20:09Z</t>
        </is>
      </c>
      <c r="C167" s="7" t="inlineStr">
        <is>
          <t>vlm_free</t>
        </is>
      </c>
      <c r="D167" s="7" t="inlineStr">
        <is>
          <t>vlm_free_descriptive_causal</t>
        </is>
      </c>
      <c r="E167" s="7" t="n">
        <v>20</v>
      </c>
      <c r="F167" s="7" t="inlineStr">
        <is>
          <t>gemini-3.5-flash</t>
        </is>
      </c>
      <c r="G167" s="7" t="n">
        <v>738</v>
      </c>
      <c r="H167" s="7" t="n">
        <v>675</v>
      </c>
      <c r="I167" s="7" t="n">
        <v>3042</v>
      </c>
      <c r="J167" s="7" t="inlineStr">
        <is>
          <t>sdk_usage_metadata</t>
        </is>
      </c>
      <c r="K167" s="7" t="inlineStr">
        <is>
          <t>success</t>
        </is>
      </c>
      <c r="L167" s="7" t="inlineStr"/>
      <c r="M167" s="7" t="n">
        <v>53</v>
      </c>
    </row>
    <row r="168" ht="34" customHeight="1">
      <c r="A168" s="7" t="n">
        <v>167</v>
      </c>
      <c r="B168" s="7" t="inlineStr">
        <is>
          <t>2026-07-30T13:20:14Z</t>
        </is>
      </c>
      <c r="C168" s="7" t="inlineStr">
        <is>
          <t>vlm_free</t>
        </is>
      </c>
      <c r="D168" s="7" t="inlineStr">
        <is>
          <t>vlm_free_scoring</t>
        </is>
      </c>
      <c r="E168" s="7" t="n">
        <v>20</v>
      </c>
      <c r="F168" s="7" t="inlineStr">
        <is>
          <t>gemini-3.5-flash</t>
        </is>
      </c>
      <c r="G168" s="7" t="n">
        <v>971</v>
      </c>
      <c r="H168" s="7" t="n">
        <v>171</v>
      </c>
      <c r="I168" s="7" t="n">
        <v>1988</v>
      </c>
      <c r="J168" s="7" t="inlineStr">
        <is>
          <t>sdk_usage_metadata</t>
        </is>
      </c>
      <c r="K168" s="7" t="inlineStr">
        <is>
          <t>success</t>
        </is>
      </c>
      <c r="L168" s="7" t="inlineStr"/>
      <c r="M168" s="7" t="n">
        <v>54</v>
      </c>
    </row>
    <row r="169" ht="34" customHeight="1">
      <c r="A169" s="7" t="n">
        <v>168</v>
      </c>
      <c r="B169" s="7" t="inlineStr">
        <is>
          <t>2026-07-30T13:20:20Z</t>
        </is>
      </c>
      <c r="C169" s="7" t="inlineStr">
        <is>
          <t>common</t>
        </is>
      </c>
      <c r="D169" s="7" t="inlineStr">
        <is>
          <t>guided_descriptive_prompt</t>
        </is>
      </c>
      <c r="E169" s="7" t="n">
        <v>20</v>
      </c>
      <c r="F169" s="7" t="inlineStr">
        <is>
          <t>gemini-3.5-flash</t>
        </is>
      </c>
      <c r="G169" s="7" t="n">
        <v>578</v>
      </c>
      <c r="H169" s="7" t="n">
        <v>322</v>
      </c>
      <c r="I169" s="7" t="n">
        <v>1748</v>
      </c>
      <c r="J169" s="7" t="inlineStr">
        <is>
          <t>sdk_usage_metadata</t>
        </is>
      </c>
      <c r="K169" s="7" t="inlineStr">
        <is>
          <t>success</t>
        </is>
      </c>
      <c r="L169" s="7" t="inlineStr"/>
      <c r="M169" s="7" t="n">
        <v>89</v>
      </c>
    </row>
    <row r="170" ht="34" customHeight="1">
      <c r="A170" s="7" t="n">
        <v>169</v>
      </c>
      <c r="B170" s="7" t="inlineStr">
        <is>
          <t>2026-07-30T13:20:27Z</t>
        </is>
      </c>
      <c r="C170" s="7" t="inlineStr">
        <is>
          <t>common</t>
        </is>
      </c>
      <c r="D170" s="7" t="inlineStr">
        <is>
          <t>guided_descriptive_prompt</t>
        </is>
      </c>
      <c r="E170" s="7" t="n">
        <v>20</v>
      </c>
      <c r="F170" s="7" t="inlineStr">
        <is>
          <t>gemini-3.5-flash</t>
        </is>
      </c>
      <c r="G170" s="7" t="n">
        <v>578</v>
      </c>
      <c r="H170" s="7" t="n">
        <v>307</v>
      </c>
      <c r="I170" s="7" t="n">
        <v>1635</v>
      </c>
      <c r="J170" s="7" t="inlineStr">
        <is>
          <t>sdk_usage_metadata</t>
        </is>
      </c>
      <c r="K170" s="7" t="inlineStr">
        <is>
          <t>success</t>
        </is>
      </c>
      <c r="L170" s="7" t="inlineStr"/>
      <c r="M170" s="7" t="n">
        <v>90</v>
      </c>
    </row>
    <row r="171" ht="34" customHeight="1">
      <c r="A171" s="7" t="n">
        <v>170</v>
      </c>
      <c r="B171" s="7" t="inlineStr">
        <is>
          <t>2026-07-30T13:20:35Z</t>
        </is>
      </c>
      <c r="C171" s="7" t="inlineStr">
        <is>
          <t>common</t>
        </is>
      </c>
      <c r="D171" s="7" t="inlineStr">
        <is>
          <t>guided_question_set</t>
        </is>
      </c>
      <c r="E171" s="7" t="n">
        <v>20</v>
      </c>
      <c r="F171" s="7" t="inlineStr">
        <is>
          <t>gemini-3.5-flash</t>
        </is>
      </c>
      <c r="G171" s="7" t="n">
        <v>1787</v>
      </c>
      <c r="H171" s="7" t="n">
        <v>391</v>
      </c>
      <c r="I171" s="7" t="n">
        <v>3414</v>
      </c>
      <c r="J171" s="7" t="inlineStr">
        <is>
          <t>sdk_usage_metadata</t>
        </is>
      </c>
      <c r="K171" s="7" t="inlineStr">
        <is>
          <t>success</t>
        </is>
      </c>
      <c r="L171" s="7" t="inlineStr"/>
      <c r="M171" s="7" t="n">
        <v>91</v>
      </c>
    </row>
    <row r="172" ht="34" customHeight="1">
      <c r="A172" s="7" t="n">
        <v>171</v>
      </c>
      <c r="B172" s="7" t="inlineStr">
        <is>
          <t>2026-07-30T13:20:41Z</t>
        </is>
      </c>
      <c r="C172" s="7" t="inlineStr">
        <is>
          <t>common</t>
        </is>
      </c>
      <c r="D172" s="7" t="inlineStr">
        <is>
          <t>guided_causal_engine</t>
        </is>
      </c>
      <c r="E172" s="7" t="n">
        <v>20</v>
      </c>
      <c r="F172" s="7" t="inlineStr">
        <is>
          <t>gemini-3.5-flash</t>
        </is>
      </c>
      <c r="G172" s="7" t="n">
        <v>982</v>
      </c>
      <c r="H172" s="7" t="n">
        <v>229</v>
      </c>
      <c r="I172" s="7" t="n">
        <v>2236</v>
      </c>
      <c r="J172" s="7" t="inlineStr">
        <is>
          <t>sdk_usage_metadata</t>
        </is>
      </c>
      <c r="K172" s="7" t="inlineStr">
        <is>
          <t>success</t>
        </is>
      </c>
      <c r="L172" s="7" t="inlineStr"/>
      <c r="M172" s="7" t="n">
        <v>92</v>
      </c>
    </row>
    <row r="173" ht="34" customHeight="1">
      <c r="A173" s="7" t="n">
        <v>172</v>
      </c>
      <c r="B173" s="7" t="inlineStr">
        <is>
          <t>2026-07-30T13:20:46Z</t>
        </is>
      </c>
      <c r="C173" s="7" t="inlineStr">
        <is>
          <t>vlm_guided</t>
        </is>
      </c>
      <c r="D173" s="7" t="inlineStr">
        <is>
          <t>vlm_guided_scoring</t>
        </is>
      </c>
      <c r="E173" s="7" t="n">
        <v>20</v>
      </c>
      <c r="F173" s="7" t="inlineStr">
        <is>
          <t>gemini-3.5-flash</t>
        </is>
      </c>
      <c r="G173" s="7" t="n">
        <v>1197</v>
      </c>
      <c r="H173" s="7" t="n">
        <v>95</v>
      </c>
      <c r="I173" s="7" t="n">
        <v>2178</v>
      </c>
      <c r="J173" s="7" t="inlineStr">
        <is>
          <t>sdk_usage_metadata</t>
        </is>
      </c>
      <c r="K173" s="7" t="inlineStr">
        <is>
          <t>success</t>
        </is>
      </c>
      <c r="L173" s="7" t="inlineStr"/>
      <c r="M173" s="7" t="n">
        <v>26</v>
      </c>
    </row>
    <row r="174" ht="34" customHeight="1">
      <c r="A174" s="7" t="n">
        <v>173</v>
      </c>
      <c r="B174" s="7" t="inlineStr">
        <is>
          <t>2026-07-30T13:21:13Z</t>
        </is>
      </c>
      <c r="C174" s="7" t="inlineStr">
        <is>
          <t>vlm_free</t>
        </is>
      </c>
      <c r="D174" s="7" t="inlineStr">
        <is>
          <t>vlm_free_descriptive_causal</t>
        </is>
      </c>
      <c r="E174" s="7" t="n">
        <v>21</v>
      </c>
      <c r="F174" s="7" t="inlineStr">
        <is>
          <t>gemini-3.5-flash</t>
        </is>
      </c>
      <c r="G174" s="7" t="n">
        <v>738</v>
      </c>
      <c r="H174" s="7" t="n">
        <v>642</v>
      </c>
      <c r="I174" s="7" t="n">
        <v>3090</v>
      </c>
      <c r="J174" s="7" t="inlineStr">
        <is>
          <t>sdk_usage_metadata</t>
        </is>
      </c>
      <c r="K174" s="7" t="inlineStr">
        <is>
          <t>success</t>
        </is>
      </c>
      <c r="L174" s="7" t="inlineStr"/>
      <c r="M174" s="7" t="n">
        <v>55</v>
      </c>
    </row>
    <row r="175" ht="34" customHeight="1">
      <c r="A175" s="7" t="n">
        <v>174</v>
      </c>
      <c r="B175" s="7" t="inlineStr">
        <is>
          <t>2026-07-30T13:21:18Z</t>
        </is>
      </c>
      <c r="C175" s="7" t="inlineStr">
        <is>
          <t>vlm_free</t>
        </is>
      </c>
      <c r="D175" s="7" t="inlineStr">
        <is>
          <t>vlm_free_scoring</t>
        </is>
      </c>
      <c r="E175" s="7" t="n">
        <v>21</v>
      </c>
      <c r="F175" s="7" t="inlineStr">
        <is>
          <t>gemini-3.5-flash</t>
        </is>
      </c>
      <c r="G175" s="7" t="n">
        <v>938</v>
      </c>
      <c r="H175" s="7" t="n">
        <v>144</v>
      </c>
      <c r="I175" s="7" t="n">
        <v>1715</v>
      </c>
      <c r="J175" s="7" t="inlineStr">
        <is>
          <t>sdk_usage_metadata</t>
        </is>
      </c>
      <c r="K175" s="7" t="inlineStr">
        <is>
          <t>success</t>
        </is>
      </c>
      <c r="L175" s="7" t="inlineStr"/>
      <c r="M175" s="7" t="n">
        <v>56</v>
      </c>
    </row>
    <row r="176" ht="34" customHeight="1">
      <c r="A176" s="7" t="n">
        <v>175</v>
      </c>
      <c r="B176" s="7" t="inlineStr">
        <is>
          <t>2026-07-30T13:21:24Z</t>
        </is>
      </c>
      <c r="C176" s="7" t="inlineStr">
        <is>
          <t>vlm_free</t>
        </is>
      </c>
      <c r="D176" s="7" t="inlineStr">
        <is>
          <t>vlm_free_scoring</t>
        </is>
      </c>
      <c r="E176" s="7" t="n">
        <v>21</v>
      </c>
      <c r="F176" s="7" t="inlineStr">
        <is>
          <t>gemini-3.5-flash</t>
        </is>
      </c>
      <c r="G176" s="7" t="n">
        <v>938</v>
      </c>
      <c r="H176" s="7" t="n">
        <v>144</v>
      </c>
      <c r="I176" s="7" t="n">
        <v>1855</v>
      </c>
      <c r="J176" s="7" t="inlineStr">
        <is>
          <t>sdk_usage_metadata</t>
        </is>
      </c>
      <c r="K176" s="7" t="inlineStr">
        <is>
          <t>success</t>
        </is>
      </c>
      <c r="L176" s="7" t="inlineStr"/>
      <c r="M176" s="7" t="n">
        <v>57</v>
      </c>
    </row>
    <row r="177" ht="34" customHeight="1">
      <c r="A177" s="7" t="n">
        <v>176</v>
      </c>
      <c r="B177" s="7" t="inlineStr">
        <is>
          <t>2026-07-30T13:21:30Z</t>
        </is>
      </c>
      <c r="C177" s="7" t="inlineStr">
        <is>
          <t>vlm_free</t>
        </is>
      </c>
      <c r="D177" s="7" t="inlineStr">
        <is>
          <t>vlm_free_scoring</t>
        </is>
      </c>
      <c r="E177" s="7" t="n">
        <v>21</v>
      </c>
      <c r="F177" s="7" t="inlineStr">
        <is>
          <t>gemini-3.5-flash</t>
        </is>
      </c>
      <c r="G177" s="7" t="n">
        <v>938</v>
      </c>
      <c r="H177" s="7" t="n">
        <v>135</v>
      </c>
      <c r="I177" s="7" t="n">
        <v>1845</v>
      </c>
      <c r="J177" s="7" t="inlineStr">
        <is>
          <t>sdk_usage_metadata</t>
        </is>
      </c>
      <c r="K177" s="7" t="inlineStr">
        <is>
          <t>success</t>
        </is>
      </c>
      <c r="L177" s="7" t="inlineStr"/>
      <c r="M177" s="7" t="n">
        <v>58</v>
      </c>
    </row>
    <row r="178" ht="34" customHeight="1">
      <c r="A178" s="7" t="n">
        <v>177</v>
      </c>
      <c r="B178" s="7" t="inlineStr">
        <is>
          <t>2026-07-30T13:21:39Z</t>
        </is>
      </c>
      <c r="C178" s="7" t="inlineStr">
        <is>
          <t>common</t>
        </is>
      </c>
      <c r="D178" s="7" t="inlineStr">
        <is>
          <t>guided_descriptive_prompt</t>
        </is>
      </c>
      <c r="E178" s="7" t="n">
        <v>21</v>
      </c>
      <c r="F178" s="7" t="inlineStr">
        <is>
          <t>gemini-3.5-flash</t>
        </is>
      </c>
      <c r="G178" s="7" t="n">
        <v>578</v>
      </c>
      <c r="H178" s="7" t="n">
        <v>306</v>
      </c>
      <c r="I178" s="7" t="n">
        <v>2365</v>
      </c>
      <c r="J178" s="7" t="inlineStr">
        <is>
          <t>sdk_usage_metadata</t>
        </is>
      </c>
      <c r="K178" s="7" t="inlineStr">
        <is>
          <t>success</t>
        </is>
      </c>
      <c r="L178" s="7" t="inlineStr"/>
      <c r="M178" s="7" t="n">
        <v>93</v>
      </c>
    </row>
    <row r="179" ht="34" customHeight="1">
      <c r="A179" s="7" t="n">
        <v>178</v>
      </c>
      <c r="B179" s="7" t="inlineStr">
        <is>
          <t>2026-07-30T13:21:47Z</t>
        </is>
      </c>
      <c r="C179" s="7" t="inlineStr">
        <is>
          <t>common</t>
        </is>
      </c>
      <c r="D179" s="7" t="inlineStr">
        <is>
          <t>guided_descriptive_prompt</t>
        </is>
      </c>
      <c r="E179" s="7" t="n">
        <v>21</v>
      </c>
      <c r="F179" s="7" t="inlineStr">
        <is>
          <t>gemini-3.5-flash</t>
        </is>
      </c>
      <c r="G179" s="7" t="n">
        <v>578</v>
      </c>
      <c r="H179" s="7" t="n">
        <v>331</v>
      </c>
      <c r="I179" s="7" t="n">
        <v>2046</v>
      </c>
      <c r="J179" s="7" t="inlineStr">
        <is>
          <t>sdk_usage_metadata</t>
        </is>
      </c>
      <c r="K179" s="7" t="inlineStr">
        <is>
          <t>success</t>
        </is>
      </c>
      <c r="L179" s="7" t="inlineStr"/>
      <c r="M179" s="7" t="n">
        <v>94</v>
      </c>
    </row>
    <row r="180" ht="34" customHeight="1">
      <c r="A180" s="7" t="n">
        <v>179</v>
      </c>
      <c r="B180" s="7" t="inlineStr">
        <is>
          <t>2026-07-30T13:21:56Z</t>
        </is>
      </c>
      <c r="C180" s="7" t="inlineStr">
        <is>
          <t>common</t>
        </is>
      </c>
      <c r="D180" s="7" t="inlineStr">
        <is>
          <t>guided_question_set</t>
        </is>
      </c>
      <c r="E180" s="7" t="n">
        <v>21</v>
      </c>
      <c r="F180" s="7" t="inlineStr">
        <is>
          <t>gemini-3.5-flash</t>
        </is>
      </c>
      <c r="G180" s="7" t="n">
        <v>1811</v>
      </c>
      <c r="H180" s="7" t="n">
        <v>349</v>
      </c>
      <c r="I180" s="7" t="n">
        <v>3675</v>
      </c>
      <c r="J180" s="7" t="inlineStr">
        <is>
          <t>sdk_usage_metadata</t>
        </is>
      </c>
      <c r="K180" s="7" t="inlineStr">
        <is>
          <t>success</t>
        </is>
      </c>
      <c r="L180" s="7" t="inlineStr"/>
      <c r="M180" s="7" t="n">
        <v>95</v>
      </c>
    </row>
    <row r="181" ht="34" customHeight="1">
      <c r="A181" s="7" t="n">
        <v>180</v>
      </c>
      <c r="B181" s="7" t="inlineStr">
        <is>
          <t>2026-07-30T13:22:01Z</t>
        </is>
      </c>
      <c r="C181" s="7" t="inlineStr">
        <is>
          <t>common</t>
        </is>
      </c>
      <c r="D181" s="7" t="inlineStr">
        <is>
          <t>guided_causal_engine</t>
        </is>
      </c>
      <c r="E181" s="7" t="n">
        <v>21</v>
      </c>
      <c r="F181" s="7" t="inlineStr">
        <is>
          <t>gemini-3.5-flash</t>
        </is>
      </c>
      <c r="G181" s="7" t="n">
        <v>965</v>
      </c>
      <c r="H181" s="7" t="n">
        <v>250</v>
      </c>
      <c r="I181" s="7" t="n">
        <v>2207</v>
      </c>
      <c r="J181" s="7" t="inlineStr">
        <is>
          <t>sdk_usage_metadata</t>
        </is>
      </c>
      <c r="K181" s="7" t="inlineStr">
        <is>
          <t>success</t>
        </is>
      </c>
      <c r="L181" s="7" t="inlineStr"/>
      <c r="M181" s="7" t="n">
        <v>96</v>
      </c>
    </row>
    <row r="182" ht="34" customHeight="1">
      <c r="A182" s="7" t="n">
        <v>181</v>
      </c>
      <c r="B182" s="7" t="inlineStr">
        <is>
          <t>2026-07-30T13:22:06Z</t>
        </is>
      </c>
      <c r="C182" s="7" t="inlineStr">
        <is>
          <t>vlm_guided</t>
        </is>
      </c>
      <c r="D182" s="7" t="inlineStr">
        <is>
          <t>vlm_guided_scoring</t>
        </is>
      </c>
      <c r="E182" s="7" t="n">
        <v>21</v>
      </c>
      <c r="F182" s="7" t="inlineStr">
        <is>
          <t>gemini-3.5-flash</t>
        </is>
      </c>
      <c r="G182" s="7" t="n">
        <v>1202</v>
      </c>
      <c r="H182" s="7" t="n">
        <v>94</v>
      </c>
      <c r="I182" s="7" t="n">
        <v>2123</v>
      </c>
      <c r="J182" s="7" t="inlineStr">
        <is>
          <t>sdk_usage_metadata</t>
        </is>
      </c>
      <c r="K182" s="7" t="inlineStr">
        <is>
          <t>success</t>
        </is>
      </c>
      <c r="L182" s="7" t="inlineStr"/>
      <c r="M182" s="7" t="n">
        <v>27</v>
      </c>
    </row>
    <row r="183" ht="34" customHeight="1">
      <c r="A183" s="7" t="n">
        <v>182</v>
      </c>
      <c r="B183" s="7" t="inlineStr">
        <is>
          <t>2026-07-30T13:22:30Z</t>
        </is>
      </c>
      <c r="C183" s="7" t="inlineStr">
        <is>
          <t>vlm_free</t>
        </is>
      </c>
      <c r="D183" s="7" t="inlineStr">
        <is>
          <t>vlm_free_descriptive_causal</t>
        </is>
      </c>
      <c r="E183" s="7" t="n">
        <v>22</v>
      </c>
      <c r="F183" s="7" t="inlineStr">
        <is>
          <t>gemini-3.5-flash</t>
        </is>
      </c>
      <c r="G183" s="7" t="n">
        <v>738</v>
      </c>
      <c r="H183" s="7" t="n">
        <v>714</v>
      </c>
      <c r="I183" s="7" t="n">
        <v>2536</v>
      </c>
      <c r="J183" s="7" t="inlineStr">
        <is>
          <t>sdk_usage_metadata</t>
        </is>
      </c>
      <c r="K183" s="7" t="inlineStr">
        <is>
          <t>success</t>
        </is>
      </c>
      <c r="L183" s="7" t="inlineStr"/>
      <c r="M183" s="7" t="n">
        <v>59</v>
      </c>
    </row>
    <row r="184" ht="34" customHeight="1">
      <c r="A184" s="7" t="n">
        <v>183</v>
      </c>
      <c r="B184" s="7" t="inlineStr">
        <is>
          <t>2026-07-30T13:22:36Z</t>
        </is>
      </c>
      <c r="C184" s="7" t="inlineStr">
        <is>
          <t>vlm_free</t>
        </is>
      </c>
      <c r="D184" s="7" t="inlineStr">
        <is>
          <t>vlm_free_scoring</t>
        </is>
      </c>
      <c r="E184" s="7" t="n">
        <v>22</v>
      </c>
      <c r="F184" s="7" t="inlineStr">
        <is>
          <t>gemini-3.5-flash</t>
        </is>
      </c>
      <c r="G184" s="7" t="n">
        <v>1009</v>
      </c>
      <c r="H184" s="7" t="n">
        <v>146</v>
      </c>
      <c r="I184" s="7" t="n">
        <v>2110</v>
      </c>
      <c r="J184" s="7" t="inlineStr">
        <is>
          <t>sdk_usage_metadata</t>
        </is>
      </c>
      <c r="K184" s="7" t="inlineStr">
        <is>
          <t>success</t>
        </is>
      </c>
      <c r="L184" s="7" t="inlineStr"/>
      <c r="M184" s="7" t="n">
        <v>60</v>
      </c>
    </row>
    <row r="185" ht="34" customHeight="1">
      <c r="A185" s="7" t="n">
        <v>184</v>
      </c>
      <c r="B185" s="7" t="inlineStr">
        <is>
          <t>2026-07-30T13:22:42Z</t>
        </is>
      </c>
      <c r="C185" s="7" t="inlineStr">
        <is>
          <t>vlm_free</t>
        </is>
      </c>
      <c r="D185" s="7" t="inlineStr">
        <is>
          <t>vlm_free_scoring</t>
        </is>
      </c>
      <c r="E185" s="7" t="n">
        <v>22</v>
      </c>
      <c r="F185" s="7" t="inlineStr">
        <is>
          <t>gemini-3.5-flash</t>
        </is>
      </c>
      <c r="G185" s="7" t="n">
        <v>1009</v>
      </c>
      <c r="H185" s="7" t="n">
        <v>137</v>
      </c>
      <c r="I185" s="7" t="n">
        <v>2019</v>
      </c>
      <c r="J185" s="7" t="inlineStr">
        <is>
          <t>sdk_usage_metadata</t>
        </is>
      </c>
      <c r="K185" s="7" t="inlineStr">
        <is>
          <t>success</t>
        </is>
      </c>
      <c r="L185" s="7" t="inlineStr"/>
      <c r="M185" s="7" t="n">
        <v>61</v>
      </c>
    </row>
    <row r="186" ht="34" customHeight="1">
      <c r="A186" s="7" t="n">
        <v>185</v>
      </c>
      <c r="B186" s="7" t="inlineStr">
        <is>
          <t>2026-07-30T13:22:49Z</t>
        </is>
      </c>
      <c r="C186" s="7" t="inlineStr">
        <is>
          <t>common</t>
        </is>
      </c>
      <c r="D186" s="7" t="inlineStr">
        <is>
          <t>guided_descriptive_prompt</t>
        </is>
      </c>
      <c r="E186" s="7" t="n">
        <v>22</v>
      </c>
      <c r="F186" s="7" t="inlineStr">
        <is>
          <t>gemini-3.5-flash</t>
        </is>
      </c>
      <c r="G186" s="7" t="n">
        <v>578</v>
      </c>
      <c r="H186" s="7" t="n">
        <v>315</v>
      </c>
      <c r="I186" s="7" t="n">
        <v>1967</v>
      </c>
      <c r="J186" s="7" t="inlineStr">
        <is>
          <t>sdk_usage_metadata</t>
        </is>
      </c>
      <c r="K186" s="7" t="inlineStr">
        <is>
          <t>success</t>
        </is>
      </c>
      <c r="L186" s="7" t="inlineStr"/>
      <c r="M186" s="7" t="n">
        <v>97</v>
      </c>
    </row>
    <row r="187" ht="34" customHeight="1">
      <c r="A187" s="7" t="n">
        <v>186</v>
      </c>
      <c r="B187" s="7" t="inlineStr">
        <is>
          <t>2026-07-30T13:22:57Z</t>
        </is>
      </c>
      <c r="C187" s="7" t="inlineStr">
        <is>
          <t>common</t>
        </is>
      </c>
      <c r="D187" s="7" t="inlineStr">
        <is>
          <t>guided_question_set</t>
        </is>
      </c>
      <c r="E187" s="7" t="n">
        <v>22</v>
      </c>
      <c r="F187" s="7" t="inlineStr">
        <is>
          <t>gemini-3.5-flash</t>
        </is>
      </c>
      <c r="G187" s="7" t="n">
        <v>1794</v>
      </c>
      <c r="H187" s="7" t="n">
        <v>330</v>
      </c>
      <c r="I187" s="7" t="n">
        <v>3282</v>
      </c>
      <c r="J187" s="7" t="inlineStr">
        <is>
          <t>sdk_usage_metadata</t>
        </is>
      </c>
      <c r="K187" s="7" t="inlineStr">
        <is>
          <t>success</t>
        </is>
      </c>
      <c r="L187" s="7" t="inlineStr"/>
      <c r="M187" s="7" t="n">
        <v>98</v>
      </c>
    </row>
    <row r="188" ht="34" customHeight="1">
      <c r="A188" s="7" t="n">
        <v>187</v>
      </c>
      <c r="B188" s="7" t="inlineStr">
        <is>
          <t>2026-07-30T13:23:02Z</t>
        </is>
      </c>
      <c r="C188" s="7" t="inlineStr">
        <is>
          <t>common</t>
        </is>
      </c>
      <c r="D188" s="7" t="inlineStr">
        <is>
          <t>guided_causal_engine</t>
        </is>
      </c>
      <c r="E188" s="7" t="n">
        <v>22</v>
      </c>
      <c r="F188" s="7" t="inlineStr">
        <is>
          <t>gemini-3.5-flash</t>
        </is>
      </c>
      <c r="G188" s="7" t="n">
        <v>929</v>
      </c>
      <c r="H188" s="7" t="n">
        <v>211</v>
      </c>
      <c r="I188" s="7" t="n">
        <v>2013</v>
      </c>
      <c r="J188" s="7" t="inlineStr">
        <is>
          <t>sdk_usage_metadata</t>
        </is>
      </c>
      <c r="K188" s="7" t="inlineStr">
        <is>
          <t>success</t>
        </is>
      </c>
      <c r="L188" s="7" t="inlineStr"/>
      <c r="M188" s="7" t="n">
        <v>99</v>
      </c>
    </row>
    <row r="189" ht="34" customHeight="1">
      <c r="A189" s="7" t="n">
        <v>188</v>
      </c>
      <c r="B189" s="7" t="inlineStr">
        <is>
          <t>2026-07-30T13:23:09Z</t>
        </is>
      </c>
      <c r="C189" s="7" t="inlineStr">
        <is>
          <t>common</t>
        </is>
      </c>
      <c r="D189" s="7" t="inlineStr">
        <is>
          <t>guided_causal_engine</t>
        </is>
      </c>
      <c r="E189" s="7" t="n">
        <v>22</v>
      </c>
      <c r="F189" s="7" t="inlineStr">
        <is>
          <t>gemini-3.5-flash</t>
        </is>
      </c>
      <c r="G189" s="7" t="n">
        <v>929</v>
      </c>
      <c r="H189" s="7" t="n">
        <v>272</v>
      </c>
      <c r="I189" s="7" t="n">
        <v>2029</v>
      </c>
      <c r="J189" s="7" t="inlineStr">
        <is>
          <t>sdk_usage_metadata</t>
        </is>
      </c>
      <c r="K189" s="7" t="inlineStr">
        <is>
          <t>success</t>
        </is>
      </c>
      <c r="L189" s="7" t="inlineStr"/>
      <c r="M189" s="7" t="n">
        <v>100</v>
      </c>
    </row>
    <row r="190" ht="34" customHeight="1">
      <c r="A190" s="7" t="n">
        <v>189</v>
      </c>
      <c r="B190" s="7" t="inlineStr">
        <is>
          <t>2026-07-30T13:23:13Z</t>
        </is>
      </c>
      <c r="C190" s="7" t="inlineStr">
        <is>
          <t>vlm_guided</t>
        </is>
      </c>
      <c r="D190" s="7" t="inlineStr">
        <is>
          <t>vlm_guided_scoring</t>
        </is>
      </c>
      <c r="E190" s="7" t="n">
        <v>22</v>
      </c>
      <c r="F190" s="7" t="inlineStr">
        <is>
          <t>gemini-3.5-flash</t>
        </is>
      </c>
      <c r="G190" s="7" t="n">
        <v>1188</v>
      </c>
      <c r="H190" s="7" t="n">
        <v>106</v>
      </c>
      <c r="I190" s="7" t="n">
        <v>2109</v>
      </c>
      <c r="J190" s="7" t="inlineStr">
        <is>
          <t>sdk_usage_metadata</t>
        </is>
      </c>
      <c r="K190" s="7" t="inlineStr">
        <is>
          <t>success</t>
        </is>
      </c>
      <c r="L190" s="7" t="inlineStr"/>
      <c r="M190" s="7" t="n">
        <v>28</v>
      </c>
    </row>
    <row r="191" ht="34" customHeight="1">
      <c r="A191" s="7" t="n">
        <v>190</v>
      </c>
      <c r="B191" s="7" t="inlineStr">
        <is>
          <t>2026-07-30T13:23:41Z</t>
        </is>
      </c>
      <c r="C191" s="7" t="inlineStr">
        <is>
          <t>vlm_free</t>
        </is>
      </c>
      <c r="D191" s="7" t="inlineStr">
        <is>
          <t>vlm_free_descriptive_causal</t>
        </is>
      </c>
      <c r="E191" s="7" t="n">
        <v>23</v>
      </c>
      <c r="F191" s="7" t="inlineStr">
        <is>
          <t>gemini-3.5-flash</t>
        </is>
      </c>
      <c r="G191" s="7" t="n">
        <v>738</v>
      </c>
      <c r="H191" s="7" t="n">
        <v>747</v>
      </c>
      <c r="I191" s="7" t="n">
        <v>3207</v>
      </c>
      <c r="J191" s="7" t="inlineStr">
        <is>
          <t>sdk_usage_metadata</t>
        </is>
      </c>
      <c r="K191" s="7" t="inlineStr">
        <is>
          <t>success</t>
        </is>
      </c>
      <c r="L191" s="7" t="inlineStr"/>
      <c r="M191" s="7" t="n">
        <v>62</v>
      </c>
    </row>
    <row r="192" ht="34" customHeight="1">
      <c r="A192" s="7" t="n">
        <v>191</v>
      </c>
      <c r="B192" s="7" t="inlineStr">
        <is>
          <t>2026-07-30T13:23:46Z</t>
        </is>
      </c>
      <c r="C192" s="7" t="inlineStr">
        <is>
          <t>vlm_free</t>
        </is>
      </c>
      <c r="D192" s="7" t="inlineStr">
        <is>
          <t>vlm_free_scoring</t>
        </is>
      </c>
      <c r="E192" s="7" t="n">
        <v>23</v>
      </c>
      <c r="F192" s="7" t="inlineStr">
        <is>
          <t>gemini-3.5-flash</t>
        </is>
      </c>
      <c r="G192" s="7" t="n">
        <v>1042</v>
      </c>
      <c r="H192" s="7" t="n">
        <v>153</v>
      </c>
      <c r="I192" s="7" t="n">
        <v>1759</v>
      </c>
      <c r="J192" s="7" t="inlineStr">
        <is>
          <t>sdk_usage_metadata</t>
        </is>
      </c>
      <c r="K192" s="7" t="inlineStr">
        <is>
          <t>success</t>
        </is>
      </c>
      <c r="L192" s="7" t="inlineStr"/>
      <c r="M192" s="7" t="n">
        <v>63</v>
      </c>
    </row>
    <row r="193" ht="34" customHeight="1">
      <c r="A193" s="7" t="n">
        <v>192</v>
      </c>
      <c r="B193" s="7" t="inlineStr">
        <is>
          <t>2026-07-30T13:23:50Z</t>
        </is>
      </c>
      <c r="C193" s="7" t="inlineStr">
        <is>
          <t>vlm_free</t>
        </is>
      </c>
      <c r="D193" s="7" t="inlineStr">
        <is>
          <t>vlm_free_scoring</t>
        </is>
      </c>
      <c r="E193" s="7" t="n">
        <v>23</v>
      </c>
      <c r="F193" s="7" t="inlineStr">
        <is>
          <t>gemini-3.5-flash</t>
        </is>
      </c>
      <c r="G193" s="7" t="n">
        <v>1042</v>
      </c>
      <c r="H193" s="7" t="n">
        <v>171</v>
      </c>
      <c r="I193" s="7" t="n">
        <v>1748</v>
      </c>
      <c r="J193" s="7" t="inlineStr">
        <is>
          <t>sdk_usage_metadata</t>
        </is>
      </c>
      <c r="K193" s="7" t="inlineStr">
        <is>
          <t>success</t>
        </is>
      </c>
      <c r="L193" s="7" t="inlineStr"/>
      <c r="M193" s="7" t="n">
        <v>64</v>
      </c>
    </row>
    <row r="194" ht="34" customHeight="1">
      <c r="A194" s="7" t="n">
        <v>193</v>
      </c>
      <c r="B194" s="7" t="inlineStr">
        <is>
          <t>2026-07-30T13:23:57Z</t>
        </is>
      </c>
      <c r="C194" s="7" t="inlineStr">
        <is>
          <t>common</t>
        </is>
      </c>
      <c r="D194" s="7" t="inlineStr">
        <is>
          <t>guided_descriptive_prompt</t>
        </is>
      </c>
      <c r="E194" s="7" t="n">
        <v>23</v>
      </c>
      <c r="F194" s="7" t="inlineStr">
        <is>
          <t>gemini-3.5-flash</t>
        </is>
      </c>
      <c r="G194" s="7" t="n">
        <v>578</v>
      </c>
      <c r="H194" s="7" t="n">
        <v>276</v>
      </c>
      <c r="I194" s="7" t="n">
        <v>1959</v>
      </c>
      <c r="J194" s="7" t="inlineStr">
        <is>
          <t>sdk_usage_metadata</t>
        </is>
      </c>
      <c r="K194" s="7" t="inlineStr">
        <is>
          <t>success</t>
        </is>
      </c>
      <c r="L194" s="7" t="inlineStr"/>
      <c r="M194" s="7" t="n">
        <v>101</v>
      </c>
    </row>
    <row r="195" ht="34" customHeight="1">
      <c r="A195" s="7" t="n">
        <v>194</v>
      </c>
      <c r="B195" s="7" t="inlineStr">
        <is>
          <t>2026-07-30T13:24:06Z</t>
        </is>
      </c>
      <c r="C195" s="7" t="inlineStr">
        <is>
          <t>common</t>
        </is>
      </c>
      <c r="D195" s="7" t="inlineStr">
        <is>
          <t>guided_question_set</t>
        </is>
      </c>
      <c r="E195" s="7" t="n">
        <v>23</v>
      </c>
      <c r="F195" s="7" t="inlineStr">
        <is>
          <t>gemini-3.5-flash</t>
        </is>
      </c>
      <c r="G195" s="7" t="n">
        <v>1755</v>
      </c>
      <c r="H195" s="7" t="n">
        <v>364</v>
      </c>
      <c r="I195" s="7" t="n">
        <v>3326</v>
      </c>
      <c r="J195" s="7" t="inlineStr">
        <is>
          <t>sdk_usage_metadata</t>
        </is>
      </c>
      <c r="K195" s="7" t="inlineStr">
        <is>
          <t>success</t>
        </is>
      </c>
      <c r="L195" s="7" t="inlineStr"/>
      <c r="M195" s="7" t="n">
        <v>102</v>
      </c>
    </row>
    <row r="196" ht="34" customHeight="1">
      <c r="A196" s="7" t="n">
        <v>195</v>
      </c>
      <c r="B196" s="7" t="inlineStr">
        <is>
          <t>2026-07-30T13:24:15Z</t>
        </is>
      </c>
      <c r="C196" s="7" t="inlineStr">
        <is>
          <t>common</t>
        </is>
      </c>
      <c r="D196" s="7" t="inlineStr">
        <is>
          <t>guided_question_set</t>
        </is>
      </c>
      <c r="E196" s="7" t="n">
        <v>23</v>
      </c>
      <c r="F196" s="7" t="inlineStr">
        <is>
          <t>gemini-3.5-flash</t>
        </is>
      </c>
      <c r="G196" s="7" t="n">
        <v>1755</v>
      </c>
      <c r="H196" s="7" t="n">
        <v>320</v>
      </c>
      <c r="I196" s="7" t="n">
        <v>3564</v>
      </c>
      <c r="J196" s="7" t="inlineStr">
        <is>
          <t>sdk_usage_metadata</t>
        </is>
      </c>
      <c r="K196" s="7" t="inlineStr">
        <is>
          <t>success</t>
        </is>
      </c>
      <c r="L196" s="7" t="inlineStr"/>
      <c r="M196" s="7" t="n">
        <v>103</v>
      </c>
    </row>
    <row r="197" ht="34" customHeight="1">
      <c r="A197" s="7" t="n">
        <v>196</v>
      </c>
      <c r="B197" s="7" t="inlineStr">
        <is>
          <t>2026-07-30T13:24:21Z</t>
        </is>
      </c>
      <c r="C197" s="7" t="inlineStr">
        <is>
          <t>common</t>
        </is>
      </c>
      <c r="D197" s="7" t="inlineStr">
        <is>
          <t>guided_causal_engine</t>
        </is>
      </c>
      <c r="E197" s="7" t="n">
        <v>23</v>
      </c>
      <c r="F197" s="7" t="inlineStr">
        <is>
          <t>gemini-3.5-flash</t>
        </is>
      </c>
      <c r="G197" s="7" t="n">
        <v>880</v>
      </c>
      <c r="H197" s="7" t="n">
        <v>238</v>
      </c>
      <c r="I197" s="7" t="n">
        <v>2125</v>
      </c>
      <c r="J197" s="7" t="inlineStr">
        <is>
          <t>sdk_usage_metadata</t>
        </is>
      </c>
      <c r="K197" s="7" t="inlineStr">
        <is>
          <t>success</t>
        </is>
      </c>
      <c r="L197" s="7" t="inlineStr"/>
      <c r="M197" s="7" t="n">
        <v>104</v>
      </c>
    </row>
    <row r="198" ht="34" customHeight="1">
      <c r="A198" s="7" t="n">
        <v>197</v>
      </c>
      <c r="B198" s="7" t="inlineStr">
        <is>
          <t>2026-07-30T13:24:26Z</t>
        </is>
      </c>
      <c r="C198" s="7" t="inlineStr">
        <is>
          <t>vlm_guided</t>
        </is>
      </c>
      <c r="D198" s="7" t="inlineStr">
        <is>
          <t>vlm_guided_scoring</t>
        </is>
      </c>
      <c r="E198" s="7" t="n">
        <v>23</v>
      </c>
      <c r="F198" s="7" t="inlineStr">
        <is>
          <t>gemini-3.5-flash</t>
        </is>
      </c>
      <c r="G198" s="7" t="n">
        <v>1105</v>
      </c>
      <c r="H198" s="7" t="n">
        <v>90</v>
      </c>
      <c r="I198" s="7" t="n">
        <v>1990</v>
      </c>
      <c r="J198" s="7" t="inlineStr">
        <is>
          <t>sdk_usage_metadata</t>
        </is>
      </c>
      <c r="K198" s="7" t="inlineStr">
        <is>
          <t>success</t>
        </is>
      </c>
      <c r="L198" s="7" t="inlineStr"/>
      <c r="M198" s="7" t="n">
        <v>29</v>
      </c>
    </row>
    <row r="199" ht="34" customHeight="1">
      <c r="A199" s="7" t="n">
        <v>198</v>
      </c>
      <c r="B199" s="7" t="inlineStr">
        <is>
          <t>2026-07-30T13:24:32Z</t>
        </is>
      </c>
      <c r="C199" s="7" t="inlineStr">
        <is>
          <t>vlm_guided</t>
        </is>
      </c>
      <c r="D199" s="7" t="inlineStr">
        <is>
          <t>vlm_guided_scoring</t>
        </is>
      </c>
      <c r="E199" s="7" t="n">
        <v>23</v>
      </c>
      <c r="F199" s="7" t="inlineStr">
        <is>
          <t>gemini-3.5-flash</t>
        </is>
      </c>
      <c r="G199" s="7" t="n">
        <v>1105</v>
      </c>
      <c r="H199" s="7" t="n">
        <v>95</v>
      </c>
      <c r="I199" s="7" t="n">
        <v>2063</v>
      </c>
      <c r="J199" s="7" t="inlineStr">
        <is>
          <t>sdk_usage_metadata</t>
        </is>
      </c>
      <c r="K199" s="7" t="inlineStr">
        <is>
          <t>success</t>
        </is>
      </c>
      <c r="L199" s="7" t="inlineStr"/>
      <c r="M199" s="7" t="n">
        <v>30</v>
      </c>
    </row>
    <row r="200" ht="34" customHeight="1">
      <c r="A200" s="7" t="n">
        <v>199</v>
      </c>
      <c r="B200" s="7" t="inlineStr">
        <is>
          <t>2026-07-30T13:25:02Z</t>
        </is>
      </c>
      <c r="C200" s="7" t="inlineStr">
        <is>
          <t>vlm_free</t>
        </is>
      </c>
      <c r="D200" s="7" t="inlineStr">
        <is>
          <t>vlm_free_descriptive_causal</t>
        </is>
      </c>
      <c r="E200" s="7" t="n">
        <v>24</v>
      </c>
      <c r="F200" s="7" t="inlineStr">
        <is>
          <t>gemini-3.5-flash</t>
        </is>
      </c>
      <c r="G200" s="7" t="n">
        <v>738</v>
      </c>
      <c r="H200" s="7" t="n">
        <v>759</v>
      </c>
      <c r="I200" s="7" t="n">
        <v>3325</v>
      </c>
      <c r="J200" s="7" t="inlineStr">
        <is>
          <t>sdk_usage_metadata</t>
        </is>
      </c>
      <c r="K200" s="7" t="inlineStr">
        <is>
          <t>success</t>
        </is>
      </c>
      <c r="L200" s="7" t="inlineStr"/>
      <c r="M200" s="7" t="n">
        <v>65</v>
      </c>
    </row>
    <row r="201" ht="34" customHeight="1">
      <c r="A201" s="7" t="n">
        <v>200</v>
      </c>
      <c r="B201" s="7" t="inlineStr">
        <is>
          <t>2026-07-30T13:25:07Z</t>
        </is>
      </c>
      <c r="C201" s="7" t="inlineStr">
        <is>
          <t>vlm_free</t>
        </is>
      </c>
      <c r="D201" s="7" t="inlineStr">
        <is>
          <t>vlm_free_scoring</t>
        </is>
      </c>
      <c r="E201" s="7" t="n">
        <v>24</v>
      </c>
      <c r="F201" s="7" t="inlineStr">
        <is>
          <t>gemini-3.5-flash</t>
        </is>
      </c>
      <c r="G201" s="7" t="n">
        <v>1054</v>
      </c>
      <c r="H201" s="7" t="n">
        <v>173</v>
      </c>
      <c r="I201" s="7" t="n">
        <v>2037</v>
      </c>
      <c r="J201" s="7" t="inlineStr">
        <is>
          <t>sdk_usage_metadata</t>
        </is>
      </c>
      <c r="K201" s="7" t="inlineStr">
        <is>
          <t>success</t>
        </is>
      </c>
      <c r="L201" s="7" t="inlineStr"/>
      <c r="M201" s="7" t="n">
        <v>66</v>
      </c>
    </row>
    <row r="202" ht="34" customHeight="1">
      <c r="A202" s="7" t="n">
        <v>201</v>
      </c>
      <c r="B202" s="7" t="inlineStr">
        <is>
          <t>2026-07-30T13:25:14Z</t>
        </is>
      </c>
      <c r="C202" s="7" t="inlineStr">
        <is>
          <t>vlm_free</t>
        </is>
      </c>
      <c r="D202" s="7" t="inlineStr">
        <is>
          <t>vlm_free_scoring</t>
        </is>
      </c>
      <c r="E202" s="7" t="n">
        <v>24</v>
      </c>
      <c r="F202" s="7" t="inlineStr">
        <is>
          <t>gemini-3.5-flash</t>
        </is>
      </c>
      <c r="G202" s="7" t="n">
        <v>1054</v>
      </c>
      <c r="H202" s="7" t="n">
        <v>172</v>
      </c>
      <c r="I202" s="7" t="n">
        <v>1845</v>
      </c>
      <c r="J202" s="7" t="inlineStr">
        <is>
          <t>sdk_usage_metadata</t>
        </is>
      </c>
      <c r="K202" s="7" t="inlineStr">
        <is>
          <t>success</t>
        </is>
      </c>
      <c r="L202" s="7" t="inlineStr"/>
      <c r="M202" s="7" t="n">
        <v>67</v>
      </c>
    </row>
    <row r="203" ht="34" customHeight="1">
      <c r="A203" s="7" t="n">
        <v>202</v>
      </c>
      <c r="B203" s="7" t="inlineStr">
        <is>
          <t>2026-07-30T13:25:20Z</t>
        </is>
      </c>
      <c r="C203" s="7" t="inlineStr">
        <is>
          <t>common</t>
        </is>
      </c>
      <c r="D203" s="7" t="inlineStr">
        <is>
          <t>guided_descriptive_prompt</t>
        </is>
      </c>
      <c r="E203" s="7" t="n">
        <v>24</v>
      </c>
      <c r="F203" s="7" t="inlineStr">
        <is>
          <t>gemini-3.5-flash</t>
        </is>
      </c>
      <c r="G203" s="7" t="n">
        <v>578</v>
      </c>
      <c r="H203" s="7" t="n">
        <v>352</v>
      </c>
      <c r="I203" s="7" t="n">
        <v>1687</v>
      </c>
      <c r="J203" s="7" t="inlineStr">
        <is>
          <t>sdk_usage_metadata</t>
        </is>
      </c>
      <c r="K203" s="7" t="inlineStr">
        <is>
          <t>success</t>
        </is>
      </c>
      <c r="L203" s="7" t="inlineStr"/>
      <c r="M203" s="7" t="n">
        <v>105</v>
      </c>
    </row>
    <row r="204" ht="34" customHeight="1">
      <c r="A204" s="7" t="n">
        <v>203</v>
      </c>
      <c r="B204" s="7" t="inlineStr">
        <is>
          <t>2026-07-30T13:25:31Z</t>
        </is>
      </c>
      <c r="C204" s="7" t="inlineStr">
        <is>
          <t>common</t>
        </is>
      </c>
      <c r="D204" s="7" t="inlineStr">
        <is>
          <t>guided_question_set</t>
        </is>
      </c>
      <c r="E204" s="7" t="n">
        <v>24</v>
      </c>
      <c r="F204" s="7" t="inlineStr">
        <is>
          <t>gemini-3.5-flash</t>
        </is>
      </c>
      <c r="G204" s="7" t="n">
        <v>1832</v>
      </c>
      <c r="H204" s="7" t="n">
        <v>341</v>
      </c>
      <c r="I204" s="7" t="n">
        <v>3881</v>
      </c>
      <c r="J204" s="7" t="inlineStr">
        <is>
          <t>sdk_usage_metadata</t>
        </is>
      </c>
      <c r="K204" s="7" t="inlineStr">
        <is>
          <t>success</t>
        </is>
      </c>
      <c r="L204" s="7" t="inlineStr"/>
      <c r="M204" s="7" t="n">
        <v>106</v>
      </c>
    </row>
    <row r="205" ht="34" customHeight="1">
      <c r="A205" s="7" t="n">
        <v>204</v>
      </c>
      <c r="B205" s="7" t="inlineStr">
        <is>
          <t>2026-07-30T13:25:40Z</t>
        </is>
      </c>
      <c r="C205" s="7" t="inlineStr">
        <is>
          <t>common</t>
        </is>
      </c>
      <c r="D205" s="7" t="inlineStr">
        <is>
          <t>guided_question_set</t>
        </is>
      </c>
      <c r="E205" s="7" t="n">
        <v>24</v>
      </c>
      <c r="F205" s="7" t="inlineStr">
        <is>
          <t>gemini-3.5-flash</t>
        </is>
      </c>
      <c r="G205" s="7" t="n">
        <v>1832</v>
      </c>
      <c r="H205" s="7" t="n">
        <v>352</v>
      </c>
      <c r="I205" s="7" t="n">
        <v>3453</v>
      </c>
      <c r="J205" s="7" t="inlineStr">
        <is>
          <t>sdk_usage_metadata</t>
        </is>
      </c>
      <c r="K205" s="7" t="inlineStr">
        <is>
          <t>success</t>
        </is>
      </c>
      <c r="L205" s="7" t="inlineStr"/>
      <c r="M205" s="7" t="n">
        <v>107</v>
      </c>
    </row>
    <row r="206" ht="34" customHeight="1">
      <c r="A206" s="7" t="n">
        <v>205</v>
      </c>
      <c r="B206" s="7" t="inlineStr">
        <is>
          <t>2026-07-30T13:25:51Z</t>
        </is>
      </c>
      <c r="C206" s="7" t="inlineStr">
        <is>
          <t>common</t>
        </is>
      </c>
      <c r="D206" s="7" t="inlineStr">
        <is>
          <t>guided_question_set</t>
        </is>
      </c>
      <c r="E206" s="7" t="n">
        <v>24</v>
      </c>
      <c r="F206" s="7" t="inlineStr">
        <is>
          <t>gemini-3.5-flash</t>
        </is>
      </c>
      <c r="G206" s="7" t="n">
        <v>1832</v>
      </c>
      <c r="H206" s="7" t="n">
        <v>392</v>
      </c>
      <c r="I206" s="7" t="n">
        <v>3592</v>
      </c>
      <c r="J206" s="7" t="inlineStr">
        <is>
          <t>sdk_usage_metadata</t>
        </is>
      </c>
      <c r="K206" s="7" t="inlineStr">
        <is>
          <t>success</t>
        </is>
      </c>
      <c r="L206" s="7" t="inlineStr"/>
      <c r="M206" s="7" t="n">
        <v>108</v>
      </c>
    </row>
    <row r="207" ht="34" customHeight="1">
      <c r="A207" s="7" t="n">
        <v>206</v>
      </c>
      <c r="B207" s="7" t="inlineStr">
        <is>
          <t>2026-07-30T13:26:01Z</t>
        </is>
      </c>
      <c r="C207" s="7" t="inlineStr">
        <is>
          <t>common</t>
        </is>
      </c>
      <c r="D207" s="7" t="inlineStr">
        <is>
          <t>guided_question_set</t>
        </is>
      </c>
      <c r="E207" s="7" t="n">
        <v>24</v>
      </c>
      <c r="F207" s="7" t="inlineStr">
        <is>
          <t>gemini-3.5-flash</t>
        </is>
      </c>
      <c r="G207" s="7" t="n">
        <v>1832</v>
      </c>
      <c r="H207" s="7" t="n">
        <v>321</v>
      </c>
      <c r="I207" s="7" t="n">
        <v>3677</v>
      </c>
      <c r="J207" s="7" t="inlineStr">
        <is>
          <t>sdk_usage_metadata</t>
        </is>
      </c>
      <c r="K207" s="7" t="inlineStr">
        <is>
          <t>success</t>
        </is>
      </c>
      <c r="L207" s="7" t="inlineStr"/>
      <c r="M207" s="7" t="n">
        <v>109</v>
      </c>
    </row>
    <row r="208" ht="34" customHeight="1">
      <c r="A208" s="7" t="n">
        <v>207</v>
      </c>
      <c r="B208" s="7" t="inlineStr">
        <is>
          <t>2026-07-30T13:26:12Z</t>
        </is>
      </c>
      <c r="C208" s="7" t="inlineStr">
        <is>
          <t>common</t>
        </is>
      </c>
      <c r="D208" s="7" t="inlineStr">
        <is>
          <t>guided_question_set</t>
        </is>
      </c>
      <c r="E208" s="7" t="n">
        <v>24</v>
      </c>
      <c r="F208" s="7" t="inlineStr">
        <is>
          <t>gemini-3.5-flash</t>
        </is>
      </c>
      <c r="G208" s="7" t="n">
        <v>1832</v>
      </c>
      <c r="H208" s="7" t="n">
        <v>313</v>
      </c>
      <c r="I208" s="7" t="n">
        <v>3733</v>
      </c>
      <c r="J208" s="7" t="inlineStr">
        <is>
          <t>sdk_usage_metadata</t>
        </is>
      </c>
      <c r="K208" s="7" t="inlineStr">
        <is>
          <t>success</t>
        </is>
      </c>
      <c r="L208" s="7" t="inlineStr"/>
      <c r="M208" s="7" t="n">
        <v>110</v>
      </c>
    </row>
    <row r="209" ht="34" customHeight="1">
      <c r="A209" s="7" t="n">
        <v>208</v>
      </c>
      <c r="B209" s="7" t="inlineStr">
        <is>
          <t>2026-07-30T13:26:19Z</t>
        </is>
      </c>
      <c r="C209" s="7" t="inlineStr">
        <is>
          <t>common</t>
        </is>
      </c>
      <c r="D209" s="7" t="inlineStr">
        <is>
          <t>guided_causal_engine</t>
        </is>
      </c>
      <c r="E209" s="7" t="n">
        <v>24</v>
      </c>
      <c r="F209" s="7" t="inlineStr">
        <is>
          <t>gemini-3.5-flash</t>
        </is>
      </c>
      <c r="G209" s="7" t="n">
        <v>949</v>
      </c>
      <c r="H209" s="7" t="n">
        <v>251</v>
      </c>
      <c r="I209" s="7" t="n">
        <v>2309</v>
      </c>
      <c r="J209" s="7" t="inlineStr">
        <is>
          <t>sdk_usage_metadata</t>
        </is>
      </c>
      <c r="K209" s="7" t="inlineStr">
        <is>
          <t>success</t>
        </is>
      </c>
      <c r="L209" s="7" t="inlineStr"/>
      <c r="M209" s="7" t="n">
        <v>111</v>
      </c>
    </row>
    <row r="210" ht="34" customHeight="1">
      <c r="A210" s="7" t="n">
        <v>209</v>
      </c>
      <c r="B210" s="7" t="inlineStr">
        <is>
          <t>2026-07-30T13:26:24Z</t>
        </is>
      </c>
      <c r="C210" s="7" t="inlineStr">
        <is>
          <t>vlm_guided</t>
        </is>
      </c>
      <c r="D210" s="7" t="inlineStr">
        <is>
          <t>vlm_guided_scoring</t>
        </is>
      </c>
      <c r="E210" s="7" t="n">
        <v>24</v>
      </c>
      <c r="F210" s="7" t="inlineStr">
        <is>
          <t>gemini-3.5-flash</t>
        </is>
      </c>
      <c r="G210" s="7" t="n">
        <v>1187</v>
      </c>
      <c r="H210" s="7" t="n">
        <v>96</v>
      </c>
      <c r="I210" s="7" t="n">
        <v>1983</v>
      </c>
      <c r="J210" s="7" t="inlineStr">
        <is>
          <t>sdk_usage_metadata</t>
        </is>
      </c>
      <c r="K210" s="7" t="inlineStr">
        <is>
          <t>success</t>
        </is>
      </c>
      <c r="L210" s="7" t="inlineStr"/>
      <c r="M210" s="7" t="n">
        <v>31</v>
      </c>
    </row>
    <row r="211" ht="34" customHeight="1">
      <c r="A211" s="7" t="n">
        <v>210</v>
      </c>
      <c r="B211" s="7" t="inlineStr">
        <is>
          <t>2026-07-30T13:26:29Z</t>
        </is>
      </c>
      <c r="C211" s="7" t="inlineStr">
        <is>
          <t>vlm_guided</t>
        </is>
      </c>
      <c r="D211" s="7" t="inlineStr">
        <is>
          <t>vlm_guided_scoring</t>
        </is>
      </c>
      <c r="E211" s="7" t="n">
        <v>24</v>
      </c>
      <c r="F211" s="7" t="inlineStr">
        <is>
          <t>gemini-3.5-flash</t>
        </is>
      </c>
      <c r="G211" s="7" t="n">
        <v>1187</v>
      </c>
      <c r="H211" s="7" t="n">
        <v>97</v>
      </c>
      <c r="I211" s="7" t="n">
        <v>2051</v>
      </c>
      <c r="J211" s="7" t="inlineStr">
        <is>
          <t>sdk_usage_metadata</t>
        </is>
      </c>
      <c r="K211" s="7" t="inlineStr">
        <is>
          <t>success</t>
        </is>
      </c>
      <c r="L211" s="7" t="inlineStr"/>
      <c r="M211" s="7" t="n">
        <v>32</v>
      </c>
    </row>
    <row r="212" ht="34" customHeight="1">
      <c r="A212" s="7" t="n">
        <v>211</v>
      </c>
      <c r="B212" s="7" t="inlineStr">
        <is>
          <t>2026-07-30T13:26:57Z</t>
        </is>
      </c>
      <c r="C212" s="7" t="inlineStr">
        <is>
          <t>vlm_free</t>
        </is>
      </c>
      <c r="D212" s="7" t="inlineStr">
        <is>
          <t>vlm_free_descriptive_causal</t>
        </is>
      </c>
      <c r="E212" s="7" t="n">
        <v>25</v>
      </c>
      <c r="F212" s="7" t="inlineStr">
        <is>
          <t>gemini-3.5-flash</t>
        </is>
      </c>
      <c r="G212" s="7" t="n">
        <v>738</v>
      </c>
      <c r="H212" s="7" t="n">
        <v>673</v>
      </c>
      <c r="I212" s="7" t="n">
        <v>3258</v>
      </c>
      <c r="J212" s="7" t="inlineStr">
        <is>
          <t>sdk_usage_metadata</t>
        </is>
      </c>
      <c r="K212" s="7" t="inlineStr">
        <is>
          <t>success</t>
        </is>
      </c>
      <c r="L212" s="7" t="inlineStr"/>
      <c r="M212" s="7" t="n">
        <v>68</v>
      </c>
    </row>
    <row r="213" ht="34" customHeight="1">
      <c r="A213" s="7" t="n">
        <v>212</v>
      </c>
      <c r="B213" s="7" t="inlineStr">
        <is>
          <t>2026-07-30T13:27:02Z</t>
        </is>
      </c>
      <c r="C213" s="7" t="inlineStr">
        <is>
          <t>vlm_free</t>
        </is>
      </c>
      <c r="D213" s="7" t="inlineStr">
        <is>
          <t>vlm_free_scoring</t>
        </is>
      </c>
      <c r="E213" s="7" t="n">
        <v>25</v>
      </c>
      <c r="F213" s="7" t="inlineStr">
        <is>
          <t>gemini-3.5-flash</t>
        </is>
      </c>
      <c r="G213" s="7" t="n">
        <v>1000</v>
      </c>
      <c r="H213" s="7" t="n">
        <v>138</v>
      </c>
      <c r="I213" s="7" t="n">
        <v>2003</v>
      </c>
      <c r="J213" s="7" t="inlineStr">
        <is>
          <t>sdk_usage_metadata</t>
        </is>
      </c>
      <c r="K213" s="7" t="inlineStr">
        <is>
          <t>success</t>
        </is>
      </c>
      <c r="L213" s="7" t="inlineStr"/>
      <c r="M213" s="7" t="n">
        <v>69</v>
      </c>
    </row>
    <row r="214" ht="34" customHeight="1">
      <c r="A214" s="7" t="n">
        <v>213</v>
      </c>
      <c r="B214" s="7" t="inlineStr">
        <is>
          <t>2026-07-30T13:27:09Z</t>
        </is>
      </c>
      <c r="C214" s="7" t="inlineStr">
        <is>
          <t>common</t>
        </is>
      </c>
      <c r="D214" s="7" t="inlineStr">
        <is>
          <t>guided_descriptive_prompt</t>
        </is>
      </c>
      <c r="E214" s="7" t="n">
        <v>25</v>
      </c>
      <c r="F214" s="7" t="inlineStr">
        <is>
          <t>gemini-3.5-flash</t>
        </is>
      </c>
      <c r="G214" s="7" t="n">
        <v>578</v>
      </c>
      <c r="H214" s="7" t="n">
        <v>268</v>
      </c>
      <c r="I214" s="7" t="n">
        <v>2165</v>
      </c>
      <c r="J214" s="7" t="inlineStr">
        <is>
          <t>sdk_usage_metadata</t>
        </is>
      </c>
      <c r="K214" s="7" t="inlineStr">
        <is>
          <t>success</t>
        </is>
      </c>
      <c r="L214" s="7" t="inlineStr"/>
      <c r="M214" s="7" t="n">
        <v>112</v>
      </c>
    </row>
    <row r="215" ht="34" customHeight="1">
      <c r="A215" s="7" t="n">
        <v>214</v>
      </c>
      <c r="B215" s="7" t="inlineStr">
        <is>
          <t>2026-07-30T13:27:17Z</t>
        </is>
      </c>
      <c r="C215" s="7" t="inlineStr">
        <is>
          <t>common</t>
        </is>
      </c>
      <c r="D215" s="7" t="inlineStr">
        <is>
          <t>guided_question_set</t>
        </is>
      </c>
      <c r="E215" s="7" t="n">
        <v>25</v>
      </c>
      <c r="F215" s="7" t="inlineStr">
        <is>
          <t>gemini-3.5-flash</t>
        </is>
      </c>
      <c r="G215" s="7" t="n">
        <v>1748</v>
      </c>
      <c r="H215" s="7" t="n">
        <v>359</v>
      </c>
      <c r="I215" s="7" t="n">
        <v>3297</v>
      </c>
      <c r="J215" s="7" t="inlineStr">
        <is>
          <t>sdk_usage_metadata</t>
        </is>
      </c>
      <c r="K215" s="7" t="inlineStr">
        <is>
          <t>success</t>
        </is>
      </c>
      <c r="L215" s="7" t="inlineStr"/>
      <c r="M215" s="7" t="n">
        <v>113</v>
      </c>
    </row>
    <row r="216" ht="34" customHeight="1">
      <c r="A216" s="7" t="n">
        <v>215</v>
      </c>
      <c r="B216" s="7" t="inlineStr">
        <is>
          <t>2026-07-30T13:27:23Z</t>
        </is>
      </c>
      <c r="C216" s="7" t="inlineStr">
        <is>
          <t>common</t>
        </is>
      </c>
      <c r="D216" s="7" t="inlineStr">
        <is>
          <t>guided_causal_engine</t>
        </is>
      </c>
      <c r="E216" s="7" t="n">
        <v>25</v>
      </c>
      <c r="F216" s="7" t="inlineStr">
        <is>
          <t>gemini-3.5-flash</t>
        </is>
      </c>
      <c r="G216" s="7" t="n">
        <v>912</v>
      </c>
      <c r="H216" s="7" t="n">
        <v>216</v>
      </c>
      <c r="I216" s="7" t="n">
        <v>2128</v>
      </c>
      <c r="J216" s="7" t="inlineStr">
        <is>
          <t>sdk_usage_metadata</t>
        </is>
      </c>
      <c r="K216" s="7" t="inlineStr">
        <is>
          <t>success</t>
        </is>
      </c>
      <c r="L216" s="7" t="inlineStr"/>
      <c r="M216" s="7" t="n">
        <v>114</v>
      </c>
    </row>
    <row r="217" ht="34" customHeight="1">
      <c r="A217" s="7" t="n">
        <v>216</v>
      </c>
      <c r="B217" s="7" t="inlineStr">
        <is>
          <t>2026-07-30T13:27:31Z</t>
        </is>
      </c>
      <c r="C217" s="7" t="inlineStr">
        <is>
          <t>common</t>
        </is>
      </c>
      <c r="D217" s="7" t="inlineStr">
        <is>
          <t>guided_causal_engine</t>
        </is>
      </c>
      <c r="E217" s="7" t="n">
        <v>25</v>
      </c>
      <c r="F217" s="7" t="inlineStr">
        <is>
          <t>gemini-3.5-flash</t>
        </is>
      </c>
      <c r="G217" s="7" t="n">
        <v>912</v>
      </c>
      <c r="H217" s="7" t="n">
        <v>220</v>
      </c>
      <c r="I217" s="7" t="n">
        <v>2186</v>
      </c>
      <c r="J217" s="7" t="inlineStr">
        <is>
          <t>sdk_usage_metadata</t>
        </is>
      </c>
      <c r="K217" s="7" t="inlineStr">
        <is>
          <t>success</t>
        </is>
      </c>
      <c r="L217" s="7" t="inlineStr"/>
      <c r="M217" s="7" t="n">
        <v>115</v>
      </c>
    </row>
    <row r="218" ht="34" customHeight="1">
      <c r="A218" s="7" t="n">
        <v>217</v>
      </c>
      <c r="B218" s="7" t="inlineStr">
        <is>
          <t>2026-07-30T13:27:35Z</t>
        </is>
      </c>
      <c r="C218" s="7" t="inlineStr">
        <is>
          <t>vlm_guided</t>
        </is>
      </c>
      <c r="D218" s="7" t="inlineStr">
        <is>
          <t>vlm_guided_scoring</t>
        </is>
      </c>
      <c r="E218" s="7" t="n">
        <v>25</v>
      </c>
      <c r="F218" s="7" t="inlineStr">
        <is>
          <t>gemini-3.5-flash</t>
        </is>
      </c>
      <c r="G218" s="7" t="n">
        <v>1118</v>
      </c>
      <c r="H218" s="7" t="n">
        <v>85</v>
      </c>
      <c r="I218" s="7" t="n">
        <v>1994</v>
      </c>
      <c r="J218" s="7" t="inlineStr">
        <is>
          <t>sdk_usage_metadata</t>
        </is>
      </c>
      <c r="K218" s="7" t="inlineStr">
        <is>
          <t>success</t>
        </is>
      </c>
      <c r="L218" s="7" t="inlineStr"/>
      <c r="M218" s="7" t="n">
        <v>33</v>
      </c>
    </row>
    <row r="219" ht="34" customHeight="1">
      <c r="A219" s="7" t="n">
        <v>218</v>
      </c>
      <c r="B219" s="7" t="inlineStr">
        <is>
          <t>2026-07-30T13:28:00Z</t>
        </is>
      </c>
      <c r="C219" s="7" t="inlineStr">
        <is>
          <t>vlm_free</t>
        </is>
      </c>
      <c r="D219" s="7" t="inlineStr">
        <is>
          <t>vlm_free_descriptive_causal</t>
        </is>
      </c>
      <c r="E219" s="7" t="n">
        <v>26</v>
      </c>
      <c r="F219" s="7" t="inlineStr">
        <is>
          <t>gemini-3.5-flash</t>
        </is>
      </c>
      <c r="G219" s="7" t="n">
        <v>738</v>
      </c>
      <c r="H219" s="7" t="n">
        <v>771</v>
      </c>
      <c r="I219" s="7" t="n">
        <v>2495</v>
      </c>
      <c r="J219" s="7" t="inlineStr">
        <is>
          <t>sdk_usage_metadata</t>
        </is>
      </c>
      <c r="K219" s="7" t="inlineStr">
        <is>
          <t>success</t>
        </is>
      </c>
      <c r="L219" s="7" t="inlineStr"/>
      <c r="M219" s="7" t="n">
        <v>70</v>
      </c>
    </row>
    <row r="220" ht="34" customHeight="1">
      <c r="A220" s="7" t="n">
        <v>219</v>
      </c>
      <c r="B220" s="7" t="inlineStr">
        <is>
          <t>2026-07-30T13:28:05Z</t>
        </is>
      </c>
      <c r="C220" s="7" t="inlineStr">
        <is>
          <t>vlm_free</t>
        </is>
      </c>
      <c r="D220" s="7" t="inlineStr">
        <is>
          <t>vlm_free_scoring</t>
        </is>
      </c>
      <c r="E220" s="7" t="n">
        <v>26</v>
      </c>
      <c r="F220" s="7" t="inlineStr">
        <is>
          <t>gemini-3.5-flash</t>
        </is>
      </c>
      <c r="G220" s="7" t="n">
        <v>1067</v>
      </c>
      <c r="H220" s="7" t="n">
        <v>175</v>
      </c>
      <c r="I220" s="7" t="n">
        <v>1948</v>
      </c>
      <c r="J220" s="7" t="inlineStr">
        <is>
          <t>sdk_usage_metadata</t>
        </is>
      </c>
      <c r="K220" s="7" t="inlineStr">
        <is>
          <t>success</t>
        </is>
      </c>
      <c r="L220" s="7" t="inlineStr"/>
      <c r="M220" s="7" t="n">
        <v>71</v>
      </c>
    </row>
    <row r="221" ht="34" customHeight="1">
      <c r="A221" s="7" t="n">
        <v>220</v>
      </c>
      <c r="B221" s="7" t="inlineStr">
        <is>
          <t>2026-07-30T13:28:12Z</t>
        </is>
      </c>
      <c r="C221" s="7" t="inlineStr">
        <is>
          <t>common</t>
        </is>
      </c>
      <c r="D221" s="7" t="inlineStr">
        <is>
          <t>guided_descriptive_prompt</t>
        </is>
      </c>
      <c r="E221" s="7" t="n">
        <v>26</v>
      </c>
      <c r="F221" s="7" t="inlineStr">
        <is>
          <t>gemini-3.5-flash</t>
        </is>
      </c>
      <c r="G221" s="7" t="n">
        <v>578</v>
      </c>
      <c r="H221" s="7" t="n">
        <v>295</v>
      </c>
      <c r="I221" s="7" t="n">
        <v>2071</v>
      </c>
      <c r="J221" s="7" t="inlineStr">
        <is>
          <t>sdk_usage_metadata</t>
        </is>
      </c>
      <c r="K221" s="7" t="inlineStr">
        <is>
          <t>success</t>
        </is>
      </c>
      <c r="L221" s="7" t="inlineStr"/>
      <c r="M221" s="7" t="n">
        <v>116</v>
      </c>
    </row>
    <row r="222" ht="34" customHeight="1">
      <c r="A222" s="7" t="n">
        <v>221</v>
      </c>
      <c r="B222" s="7" t="inlineStr">
        <is>
          <t>2026-07-30T13:28:21Z</t>
        </is>
      </c>
      <c r="C222" s="7" t="inlineStr">
        <is>
          <t>common</t>
        </is>
      </c>
      <c r="D222" s="7" t="inlineStr">
        <is>
          <t>guided_question_set</t>
        </is>
      </c>
      <c r="E222" s="7" t="n">
        <v>26</v>
      </c>
      <c r="F222" s="7" t="inlineStr">
        <is>
          <t>gemini-3.5-flash</t>
        </is>
      </c>
      <c r="G222" s="7" t="n">
        <v>1775</v>
      </c>
      <c r="H222" s="7" t="n">
        <v>286</v>
      </c>
      <c r="I222" s="7" t="n">
        <v>3489</v>
      </c>
      <c r="J222" s="7" t="inlineStr">
        <is>
          <t>sdk_usage_metadata</t>
        </is>
      </c>
      <c r="K222" s="7" t="inlineStr">
        <is>
          <t>success</t>
        </is>
      </c>
      <c r="L222" s="7" t="inlineStr"/>
      <c r="M222" s="7" t="n">
        <v>117</v>
      </c>
    </row>
    <row r="223" ht="34" customHeight="1">
      <c r="A223" s="7" t="n">
        <v>222</v>
      </c>
      <c r="B223" s="7" t="inlineStr">
        <is>
          <t>2026-07-30T13:28:27Z</t>
        </is>
      </c>
      <c r="C223" s="7" t="inlineStr">
        <is>
          <t>common</t>
        </is>
      </c>
      <c r="D223" s="7" t="inlineStr">
        <is>
          <t>guided_causal_engine</t>
        </is>
      </c>
      <c r="E223" s="7" t="n">
        <v>26</v>
      </c>
      <c r="F223" s="7" t="inlineStr">
        <is>
          <t>gemini-3.5-flash</t>
        </is>
      </c>
      <c r="G223" s="7" t="n">
        <v>866</v>
      </c>
      <c r="H223" s="7" t="n">
        <v>230</v>
      </c>
      <c r="I223" s="7" t="n">
        <v>2001</v>
      </c>
      <c r="J223" s="7" t="inlineStr">
        <is>
          <t>sdk_usage_metadata</t>
        </is>
      </c>
      <c r="K223" s="7" t="inlineStr">
        <is>
          <t>success</t>
        </is>
      </c>
      <c r="L223" s="7" t="inlineStr"/>
      <c r="M223" s="7" t="n">
        <v>118</v>
      </c>
    </row>
    <row r="224" ht="34" customHeight="1">
      <c r="A224" s="7" t="n">
        <v>223</v>
      </c>
      <c r="B224" s="7" t="inlineStr">
        <is>
          <t>2026-07-30T13:28:31Z</t>
        </is>
      </c>
      <c r="C224" s="7" t="inlineStr">
        <is>
          <t>vlm_guided</t>
        </is>
      </c>
      <c r="D224" s="7" t="inlineStr">
        <is>
          <t>vlm_guided_scoring</t>
        </is>
      </c>
      <c r="E224" s="7" t="n">
        <v>26</v>
      </c>
      <c r="F224" s="7" t="inlineStr">
        <is>
          <t>gemini-3.5-flash</t>
        </is>
      </c>
      <c r="G224" s="7" t="n">
        <v>1083</v>
      </c>
      <c r="H224" s="7" t="n">
        <v>95</v>
      </c>
      <c r="I224" s="7" t="n">
        <v>1965</v>
      </c>
      <c r="J224" s="7" t="inlineStr">
        <is>
          <t>sdk_usage_metadata</t>
        </is>
      </c>
      <c r="K224" s="7" t="inlineStr">
        <is>
          <t>success</t>
        </is>
      </c>
      <c r="L224" s="7" t="inlineStr"/>
      <c r="M224" s="7" t="n">
        <v>34</v>
      </c>
    </row>
    <row r="225" ht="34" customHeight="1">
      <c r="A225" s="7" t="n">
        <v>224</v>
      </c>
      <c r="B225" s="7" t="inlineStr">
        <is>
          <t>2026-07-30T13:28:57Z</t>
        </is>
      </c>
      <c r="C225" s="7" t="inlineStr">
        <is>
          <t>vlm_free</t>
        </is>
      </c>
      <c r="D225" s="7" t="inlineStr">
        <is>
          <t>vlm_free_descriptive_causal</t>
        </is>
      </c>
      <c r="E225" s="7" t="n">
        <v>27</v>
      </c>
      <c r="F225" s="7" t="inlineStr">
        <is>
          <t>gemini-3.5-flash</t>
        </is>
      </c>
      <c r="G225" s="7" t="n">
        <v>738</v>
      </c>
      <c r="H225" s="7" t="n">
        <v>857</v>
      </c>
      <c r="I225" s="7" t="n">
        <v>2849</v>
      </c>
      <c r="J225" s="7" t="inlineStr">
        <is>
          <t>sdk_usage_metadata</t>
        </is>
      </c>
      <c r="K225" s="7" t="inlineStr">
        <is>
          <t>success</t>
        </is>
      </c>
      <c r="L225" s="7" t="inlineStr"/>
      <c r="M225" s="7" t="n">
        <v>72</v>
      </c>
    </row>
    <row r="226" ht="34" customHeight="1">
      <c r="A226" s="7" t="n">
        <v>225</v>
      </c>
      <c r="B226" s="7" t="inlineStr">
        <is>
          <t>2026-07-30T13:29:03Z</t>
        </is>
      </c>
      <c r="C226" s="7" t="inlineStr">
        <is>
          <t>vlm_free</t>
        </is>
      </c>
      <c r="D226" s="7" t="inlineStr">
        <is>
          <t>vlm_free_scoring</t>
        </is>
      </c>
      <c r="E226" s="7" t="n">
        <v>27</v>
      </c>
      <c r="F226" s="7" t="inlineStr">
        <is>
          <t>gemini-3.5-flash</t>
        </is>
      </c>
      <c r="G226" s="7" t="n">
        <v>1153</v>
      </c>
      <c r="H226" s="7" t="n">
        <v>159</v>
      </c>
      <c r="I226" s="7" t="n">
        <v>2211</v>
      </c>
      <c r="J226" s="7" t="inlineStr">
        <is>
          <t>sdk_usage_metadata</t>
        </is>
      </c>
      <c r="K226" s="7" t="inlineStr">
        <is>
          <t>success</t>
        </is>
      </c>
      <c r="L226" s="7" t="inlineStr"/>
      <c r="M226" s="7" t="n">
        <v>73</v>
      </c>
    </row>
    <row r="227" ht="34" customHeight="1">
      <c r="A227" s="7" t="n">
        <v>226</v>
      </c>
      <c r="B227" s="7" t="inlineStr">
        <is>
          <t>2026-07-30T13:29:09Z</t>
        </is>
      </c>
      <c r="C227" s="7" t="inlineStr">
        <is>
          <t>common</t>
        </is>
      </c>
      <c r="D227" s="7" t="inlineStr">
        <is>
          <t>guided_descriptive_prompt</t>
        </is>
      </c>
      <c r="E227" s="7" t="n">
        <v>27</v>
      </c>
      <c r="F227" s="7" t="inlineStr">
        <is>
          <t>gemini-3.5-flash</t>
        </is>
      </c>
      <c r="G227" s="7" t="n">
        <v>578</v>
      </c>
      <c r="H227" s="7" t="n">
        <v>358</v>
      </c>
      <c r="I227" s="7" t="n">
        <v>1888</v>
      </c>
      <c r="J227" s="7" t="inlineStr">
        <is>
          <t>sdk_usage_metadata</t>
        </is>
      </c>
      <c r="K227" s="7" t="inlineStr">
        <is>
          <t>success</t>
        </is>
      </c>
      <c r="L227" s="7" t="inlineStr"/>
      <c r="M227" s="7" t="n">
        <v>119</v>
      </c>
    </row>
    <row r="228" ht="34" customHeight="1">
      <c r="A228" s="7" t="n">
        <v>227</v>
      </c>
      <c r="B228" s="7" t="inlineStr">
        <is>
          <t>2026-07-30T13:29:19Z</t>
        </is>
      </c>
      <c r="C228" s="7" t="inlineStr">
        <is>
          <t>common</t>
        </is>
      </c>
      <c r="D228" s="7" t="inlineStr">
        <is>
          <t>guided_question_set</t>
        </is>
      </c>
      <c r="E228" s="7" t="n">
        <v>27</v>
      </c>
      <c r="F228" s="7" t="inlineStr">
        <is>
          <t>gemini-3.5-flash</t>
        </is>
      </c>
      <c r="G228" s="7" t="n">
        <v>1838</v>
      </c>
      <c r="H228" s="7" t="n">
        <v>364</v>
      </c>
      <c r="I228" s="7" t="n">
        <v>3771</v>
      </c>
      <c r="J228" s="7" t="inlineStr">
        <is>
          <t>sdk_usage_metadata</t>
        </is>
      </c>
      <c r="K228" s="7" t="inlineStr">
        <is>
          <t>success</t>
        </is>
      </c>
      <c r="L228" s="7" t="inlineStr"/>
      <c r="M228" s="7" t="n">
        <v>120</v>
      </c>
    </row>
    <row r="229" ht="34" customHeight="1">
      <c r="A229" s="7" t="n">
        <v>228</v>
      </c>
      <c r="B229" s="7" t="inlineStr">
        <is>
          <t>2026-07-30T13:29:25Z</t>
        </is>
      </c>
      <c r="C229" s="7" t="inlineStr">
        <is>
          <t>common</t>
        </is>
      </c>
      <c r="D229" s="7" t="inlineStr">
        <is>
          <t>guided_causal_engine</t>
        </is>
      </c>
      <c r="E229" s="7" t="n">
        <v>27</v>
      </c>
      <c r="F229" s="7" t="inlineStr">
        <is>
          <t>gemini-3.5-flash</t>
        </is>
      </c>
      <c r="G229" s="7" t="n">
        <v>1007</v>
      </c>
      <c r="H229" s="7" t="n">
        <v>256</v>
      </c>
      <c r="I229" s="7" t="n">
        <v>2237</v>
      </c>
      <c r="J229" s="7" t="inlineStr">
        <is>
          <t>sdk_usage_metadata</t>
        </is>
      </c>
      <c r="K229" s="7" t="inlineStr">
        <is>
          <t>success</t>
        </is>
      </c>
      <c r="L229" s="7" t="inlineStr"/>
      <c r="M229" s="7" t="n">
        <v>121</v>
      </c>
    </row>
    <row r="230" ht="34" customHeight="1">
      <c r="A230" s="7" t="n">
        <v>229</v>
      </c>
      <c r="B230" s="7" t="inlineStr">
        <is>
          <t>2026-07-30T13:29:29Z</t>
        </is>
      </c>
      <c r="C230" s="7" t="inlineStr">
        <is>
          <t>vlm_guided</t>
        </is>
      </c>
      <c r="D230" s="7" t="inlineStr">
        <is>
          <t>vlm_guided_scoring</t>
        </is>
      </c>
      <c r="E230" s="7" t="n">
        <v>27</v>
      </c>
      <c r="F230" s="7" t="inlineStr">
        <is>
          <t>gemini-3.5-flash</t>
        </is>
      </c>
      <c r="G230" s="7" t="n">
        <v>1250</v>
      </c>
      <c r="H230" s="7" t="n">
        <v>102</v>
      </c>
      <c r="I230" s="7" t="n">
        <v>2032</v>
      </c>
      <c r="J230" s="7" t="inlineStr">
        <is>
          <t>sdk_usage_metadata</t>
        </is>
      </c>
      <c r="K230" s="7" t="inlineStr">
        <is>
          <t>success</t>
        </is>
      </c>
      <c r="L230" s="7" t="inlineStr"/>
      <c r="M230" s="7" t="n">
        <v>35</v>
      </c>
    </row>
    <row r="231" ht="34" customHeight="1">
      <c r="A231" s="7" t="n">
        <v>230</v>
      </c>
      <c r="B231" s="7" t="inlineStr">
        <is>
          <t>2026-07-30T13:29:36Z</t>
        </is>
      </c>
      <c r="C231" s="7" t="inlineStr">
        <is>
          <t>vlm_guided</t>
        </is>
      </c>
      <c r="D231" s="7" t="inlineStr">
        <is>
          <t>vlm_guided_scoring</t>
        </is>
      </c>
      <c r="E231" s="7" t="n">
        <v>27</v>
      </c>
      <c r="F231" s="7" t="inlineStr">
        <is>
          <t>gemini-3.5-flash</t>
        </is>
      </c>
      <c r="G231" s="7" t="n">
        <v>1250</v>
      </c>
      <c r="H231" s="7" t="n">
        <v>97</v>
      </c>
      <c r="I231" s="7" t="n">
        <v>2319</v>
      </c>
      <c r="J231" s="7" t="inlineStr">
        <is>
          <t>sdk_usage_metadata</t>
        </is>
      </c>
      <c r="K231" s="7" t="inlineStr">
        <is>
          <t>success</t>
        </is>
      </c>
      <c r="L231" s="7" t="inlineStr"/>
      <c r="M231" s="7" t="n">
        <v>36</v>
      </c>
    </row>
    <row r="232" ht="34" customHeight="1">
      <c r="A232" s="7" t="n">
        <v>231</v>
      </c>
      <c r="B232" s="7" t="inlineStr">
        <is>
          <t>2026-07-30T13:30:01Z</t>
        </is>
      </c>
      <c r="C232" s="7" t="inlineStr">
        <is>
          <t>vlm_free</t>
        </is>
      </c>
      <c r="D232" s="7" t="inlineStr">
        <is>
          <t>vlm_free_descriptive_causal</t>
        </is>
      </c>
      <c r="E232" s="7" t="n">
        <v>28</v>
      </c>
      <c r="F232" s="7" t="inlineStr">
        <is>
          <t>gemini-3.5-flash</t>
        </is>
      </c>
      <c r="G232" s="7" t="n">
        <v>738</v>
      </c>
      <c r="H232" s="7" t="n">
        <v>373</v>
      </c>
      <c r="I232" s="7" t="n">
        <v>2491</v>
      </c>
      <c r="J232" s="7" t="inlineStr">
        <is>
          <t>sdk_usage_metadata</t>
        </is>
      </c>
      <c r="K232" s="7" t="inlineStr">
        <is>
          <t>success</t>
        </is>
      </c>
      <c r="L232" s="7" t="inlineStr"/>
      <c r="M232" s="7" t="n">
        <v>74</v>
      </c>
    </row>
    <row r="233" ht="34" customHeight="1">
      <c r="A233" s="7" t="n">
        <v>232</v>
      </c>
      <c r="B233" s="7" t="inlineStr">
        <is>
          <t>2026-07-30T13:30:06Z</t>
        </is>
      </c>
      <c r="C233" s="7" t="inlineStr">
        <is>
          <t>vlm_free</t>
        </is>
      </c>
      <c r="D233" s="7" t="inlineStr">
        <is>
          <t>vlm_free_scoring</t>
        </is>
      </c>
      <c r="E233" s="7" t="n">
        <v>28</v>
      </c>
      <c r="F233" s="7" t="inlineStr">
        <is>
          <t>gemini-3.5-flash</t>
        </is>
      </c>
      <c r="G233" s="7" t="n">
        <v>668</v>
      </c>
      <c r="H233" s="7" t="n">
        <v>111</v>
      </c>
      <c r="I233" s="7" t="n">
        <v>1618</v>
      </c>
      <c r="J233" s="7" t="inlineStr">
        <is>
          <t>sdk_usage_metadata</t>
        </is>
      </c>
      <c r="K233" s="7" t="inlineStr">
        <is>
          <t>success</t>
        </is>
      </c>
      <c r="L233" s="7" t="inlineStr"/>
      <c r="M233" s="7" t="n">
        <v>75</v>
      </c>
    </row>
    <row r="234" ht="34" customHeight="1">
      <c r="A234" s="7" t="n">
        <v>233</v>
      </c>
      <c r="B234" s="7" t="inlineStr">
        <is>
          <t>2026-07-30T13:30:14Z</t>
        </is>
      </c>
      <c r="C234" s="7" t="inlineStr">
        <is>
          <t>common</t>
        </is>
      </c>
      <c r="D234" s="7" t="inlineStr">
        <is>
          <t>guided_descriptive_prompt</t>
        </is>
      </c>
      <c r="E234" s="7" t="n">
        <v>28</v>
      </c>
      <c r="F234" s="7" t="inlineStr">
        <is>
          <t>gemini-3.5-flash</t>
        </is>
      </c>
      <c r="G234" s="7" t="n">
        <v>578</v>
      </c>
      <c r="H234" s="7" t="n">
        <v>334</v>
      </c>
      <c r="I234" s="7" t="n">
        <v>2097</v>
      </c>
      <c r="J234" s="7" t="inlineStr">
        <is>
          <t>sdk_usage_metadata</t>
        </is>
      </c>
      <c r="K234" s="7" t="inlineStr">
        <is>
          <t>success</t>
        </is>
      </c>
      <c r="L234" s="7" t="inlineStr"/>
      <c r="M234" s="7" t="n">
        <v>122</v>
      </c>
    </row>
    <row r="235" ht="34" customHeight="1">
      <c r="A235" s="7" t="n">
        <v>234</v>
      </c>
      <c r="B235" s="7" t="inlineStr">
        <is>
          <t>2026-07-30T13:30:22Z</t>
        </is>
      </c>
      <c r="C235" s="7" t="inlineStr">
        <is>
          <t>common</t>
        </is>
      </c>
      <c r="D235" s="7" t="inlineStr">
        <is>
          <t>guided_descriptive_prompt</t>
        </is>
      </c>
      <c r="E235" s="7" t="n">
        <v>28</v>
      </c>
      <c r="F235" s="7" t="inlineStr">
        <is>
          <t>gemini-3.5-flash</t>
        </is>
      </c>
      <c r="G235" s="7" t="n">
        <v>578</v>
      </c>
      <c r="H235" s="7" t="n">
        <v>314</v>
      </c>
      <c r="I235" s="7" t="n">
        <v>2038</v>
      </c>
      <c r="J235" s="7" t="inlineStr">
        <is>
          <t>sdk_usage_metadata</t>
        </is>
      </c>
      <c r="K235" s="7" t="inlineStr">
        <is>
          <t>success</t>
        </is>
      </c>
      <c r="L235" s="7" t="inlineStr"/>
      <c r="M235" s="7" t="n">
        <v>123</v>
      </c>
    </row>
    <row r="236" ht="34" customHeight="1">
      <c r="A236" s="7" t="n">
        <v>235</v>
      </c>
      <c r="B236" s="7" t="inlineStr">
        <is>
          <t>2026-07-30T13:30:30Z</t>
        </is>
      </c>
      <c r="C236" s="7" t="inlineStr">
        <is>
          <t>common</t>
        </is>
      </c>
      <c r="D236" s="7" t="inlineStr">
        <is>
          <t>guided_descriptive_prompt</t>
        </is>
      </c>
      <c r="E236" s="7" t="n">
        <v>28</v>
      </c>
      <c r="F236" s="7" t="inlineStr">
        <is>
          <t>gemini-3.5-flash</t>
        </is>
      </c>
      <c r="G236" s="7" t="n">
        <v>578</v>
      </c>
      <c r="H236" s="7" t="n">
        <v>265</v>
      </c>
      <c r="I236" s="7" t="n">
        <v>2047</v>
      </c>
      <c r="J236" s="7" t="inlineStr">
        <is>
          <t>sdk_usage_metadata</t>
        </is>
      </c>
      <c r="K236" s="7" t="inlineStr">
        <is>
          <t>success</t>
        </is>
      </c>
      <c r="L236" s="7" t="inlineStr"/>
      <c r="M236" s="7" t="n">
        <v>124</v>
      </c>
    </row>
    <row r="237" ht="34" customHeight="1">
      <c r="A237" s="7" t="n">
        <v>236</v>
      </c>
      <c r="B237" s="7" t="inlineStr">
        <is>
          <t>2026-07-30T13:30:37Z</t>
        </is>
      </c>
      <c r="C237" s="7" t="inlineStr">
        <is>
          <t>common</t>
        </is>
      </c>
      <c r="D237" s="7" t="inlineStr">
        <is>
          <t>guided_question_set</t>
        </is>
      </c>
      <c r="E237" s="7" t="n">
        <v>28</v>
      </c>
      <c r="F237" s="7" t="inlineStr">
        <is>
          <t>gemini-3.5-flash</t>
        </is>
      </c>
      <c r="G237" s="7" t="n">
        <v>1745</v>
      </c>
      <c r="H237" s="7" t="n">
        <v>377</v>
      </c>
      <c r="I237" s="7" t="n">
        <v>3195</v>
      </c>
      <c r="J237" s="7" t="inlineStr">
        <is>
          <t>sdk_usage_metadata</t>
        </is>
      </c>
      <c r="K237" s="7" t="inlineStr">
        <is>
          <t>success</t>
        </is>
      </c>
      <c r="L237" s="7" t="inlineStr"/>
      <c r="M237" s="7" t="n">
        <v>125</v>
      </c>
    </row>
    <row r="238" ht="34" customHeight="1">
      <c r="A238" s="7" t="n">
        <v>237</v>
      </c>
      <c r="B238" s="7" t="inlineStr">
        <is>
          <t>2026-07-30T13:30:44Z</t>
        </is>
      </c>
      <c r="C238" s="7" t="inlineStr">
        <is>
          <t>common</t>
        </is>
      </c>
      <c r="D238" s="7" t="inlineStr">
        <is>
          <t>guided_causal_engine</t>
        </is>
      </c>
      <c r="E238" s="7" t="n">
        <v>28</v>
      </c>
      <c r="F238" s="7" t="inlineStr">
        <is>
          <t>gemini-3.5-flash</t>
        </is>
      </c>
      <c r="G238" s="7" t="n">
        <v>926</v>
      </c>
      <c r="H238" s="7" t="n">
        <v>267</v>
      </c>
      <c r="I238" s="7" t="n">
        <v>2276</v>
      </c>
      <c r="J238" s="7" t="inlineStr">
        <is>
          <t>sdk_usage_metadata</t>
        </is>
      </c>
      <c r="K238" s="7" t="inlineStr">
        <is>
          <t>success</t>
        </is>
      </c>
      <c r="L238" s="7" t="inlineStr"/>
      <c r="M238" s="7" t="n">
        <v>126</v>
      </c>
    </row>
    <row r="239" ht="34" customHeight="1">
      <c r="A239" s="7" t="n">
        <v>238</v>
      </c>
      <c r="B239" s="7" t="inlineStr">
        <is>
          <t>2026-07-30T13:30:49Z</t>
        </is>
      </c>
      <c r="C239" s="7" t="inlineStr">
        <is>
          <t>vlm_guided</t>
        </is>
      </c>
      <c r="D239" s="7" t="inlineStr">
        <is>
          <t>vlm_guided_scoring</t>
        </is>
      </c>
      <c r="E239" s="7" t="n">
        <v>28</v>
      </c>
      <c r="F239" s="7" t="inlineStr">
        <is>
          <t>gemini-3.5-flash</t>
        </is>
      </c>
      <c r="G239" s="7" t="n">
        <v>1179</v>
      </c>
      <c r="H239" s="7" t="n">
        <v>88</v>
      </c>
      <c r="I239" s="7" t="n">
        <v>2131</v>
      </c>
      <c r="J239" s="7" t="inlineStr">
        <is>
          <t>sdk_usage_metadata</t>
        </is>
      </c>
      <c r="K239" s="7" t="inlineStr">
        <is>
          <t>success</t>
        </is>
      </c>
      <c r="L239" s="7" t="inlineStr"/>
      <c r="M239" s="7" t="n">
        <v>37</v>
      </c>
    </row>
    <row r="240" ht="34" customHeight="1">
      <c r="A240" s="7" t="n">
        <v>239</v>
      </c>
      <c r="B240" s="7" t="inlineStr">
        <is>
          <t>2026-07-30T13:31:23Z</t>
        </is>
      </c>
      <c r="C240" s="7" t="inlineStr">
        <is>
          <t>vlm_free</t>
        </is>
      </c>
      <c r="D240" s="7" t="inlineStr">
        <is>
          <t>vlm_free_descriptive_causal</t>
        </is>
      </c>
      <c r="E240" s="7" t="n">
        <v>29</v>
      </c>
      <c r="F240" s="7" t="inlineStr">
        <is>
          <t>gemini-3.5-flash</t>
        </is>
      </c>
      <c r="G240" s="7" t="n">
        <v>738</v>
      </c>
      <c r="H240" s="7" t="n">
        <v>434</v>
      </c>
      <c r="I240" s="7" t="n">
        <v>2449</v>
      </c>
      <c r="J240" s="7" t="inlineStr">
        <is>
          <t>sdk_usage_metadata</t>
        </is>
      </c>
      <c r="K240" s="7" t="inlineStr">
        <is>
          <t>success</t>
        </is>
      </c>
      <c r="L240" s="7" t="inlineStr"/>
      <c r="M240" s="7" t="n">
        <v>76</v>
      </c>
    </row>
    <row r="241" ht="34" customHeight="1">
      <c r="A241" s="7" t="n">
        <v>240</v>
      </c>
      <c r="B241" s="7" t="inlineStr">
        <is>
          <t>2026-07-30T13:31:28Z</t>
        </is>
      </c>
      <c r="C241" s="7" t="inlineStr">
        <is>
          <t>vlm_free</t>
        </is>
      </c>
      <c r="D241" s="7" t="inlineStr">
        <is>
          <t>vlm_free_scoring</t>
        </is>
      </c>
      <c r="E241" s="7" t="n">
        <v>29</v>
      </c>
      <c r="F241" s="7" t="inlineStr">
        <is>
          <t>gemini-3.5-flash</t>
        </is>
      </c>
      <c r="G241" s="7" t="n">
        <v>730</v>
      </c>
      <c r="H241" s="7" t="n">
        <v>104</v>
      </c>
      <c r="I241" s="7" t="n">
        <v>1620</v>
      </c>
      <c r="J241" s="7" t="inlineStr">
        <is>
          <t>sdk_usage_metadata</t>
        </is>
      </c>
      <c r="K241" s="7" t="inlineStr">
        <is>
          <t>success</t>
        </is>
      </c>
      <c r="L241" s="7" t="inlineStr"/>
      <c r="M241" s="7" t="n">
        <v>77</v>
      </c>
    </row>
    <row r="242" ht="34" customHeight="1">
      <c r="A242" s="7" t="n">
        <v>241</v>
      </c>
      <c r="B242" s="7" t="inlineStr">
        <is>
          <t>2026-07-30T13:31:33Z</t>
        </is>
      </c>
      <c r="C242" s="7" t="inlineStr">
        <is>
          <t>vlm_free</t>
        </is>
      </c>
      <c r="D242" s="7" t="inlineStr">
        <is>
          <t>vlm_free_scoring</t>
        </is>
      </c>
      <c r="E242" s="7" t="n">
        <v>29</v>
      </c>
      <c r="F242" s="7" t="inlineStr">
        <is>
          <t>gemini-3.5-flash</t>
        </is>
      </c>
      <c r="G242" s="7" t="n">
        <v>730</v>
      </c>
      <c r="H242" s="7" t="n">
        <v>135</v>
      </c>
      <c r="I242" s="7" t="n">
        <v>1484</v>
      </c>
      <c r="J242" s="7" t="inlineStr">
        <is>
          <t>sdk_usage_metadata</t>
        </is>
      </c>
      <c r="K242" s="7" t="inlineStr">
        <is>
          <t>success</t>
        </is>
      </c>
      <c r="L242" s="7" t="inlineStr"/>
      <c r="M242" s="7" t="n">
        <v>78</v>
      </c>
    </row>
    <row r="243" ht="34" customHeight="1">
      <c r="A243" s="7" t="n">
        <v>242</v>
      </c>
      <c r="B243" s="7" t="inlineStr">
        <is>
          <t>2026-07-30T13:31:39Z</t>
        </is>
      </c>
      <c r="C243" s="7" t="inlineStr">
        <is>
          <t>vlm_free</t>
        </is>
      </c>
      <c r="D243" s="7" t="inlineStr">
        <is>
          <t>vlm_free_scoring</t>
        </is>
      </c>
      <c r="E243" s="7" t="n">
        <v>29</v>
      </c>
      <c r="F243" s="7" t="inlineStr">
        <is>
          <t>gemini-3.5-flash</t>
        </is>
      </c>
      <c r="G243" s="7" t="n">
        <v>730</v>
      </c>
      <c r="H243" s="7" t="n">
        <v>148</v>
      </c>
      <c r="I243" s="7" t="n">
        <v>1400</v>
      </c>
      <c r="J243" s="7" t="inlineStr">
        <is>
          <t>sdk_usage_metadata</t>
        </is>
      </c>
      <c r="K243" s="7" t="inlineStr">
        <is>
          <t>success</t>
        </is>
      </c>
      <c r="L243" s="7" t="inlineStr"/>
      <c r="M243" s="7" t="n">
        <v>79</v>
      </c>
    </row>
    <row r="244" ht="34" customHeight="1">
      <c r="A244" s="7" t="n">
        <v>243</v>
      </c>
      <c r="B244" s="7" t="inlineStr">
        <is>
          <t>2026-07-30T13:31:45Z</t>
        </is>
      </c>
      <c r="C244" s="7" t="inlineStr">
        <is>
          <t>common</t>
        </is>
      </c>
      <c r="D244" s="7" t="inlineStr">
        <is>
          <t>guided_descriptive_prompt</t>
        </is>
      </c>
      <c r="E244" s="7" t="n">
        <v>29</v>
      </c>
      <c r="F244" s="7" t="inlineStr">
        <is>
          <t>gemini-3.5-flash</t>
        </is>
      </c>
      <c r="G244" s="7" t="n">
        <v>578</v>
      </c>
      <c r="H244" s="7" t="n">
        <v>301</v>
      </c>
      <c r="I244" s="7" t="n">
        <v>1648</v>
      </c>
      <c r="J244" s="7" t="inlineStr">
        <is>
          <t>sdk_usage_metadata</t>
        </is>
      </c>
      <c r="K244" s="7" t="inlineStr">
        <is>
          <t>success</t>
        </is>
      </c>
      <c r="L244" s="7" t="inlineStr"/>
      <c r="M244" s="7" t="n">
        <v>127</v>
      </c>
    </row>
    <row r="245" ht="34" customHeight="1">
      <c r="A245" s="7" t="n">
        <v>244</v>
      </c>
      <c r="B245" s="7" t="inlineStr">
        <is>
          <t>2026-07-30T13:31:50Z</t>
        </is>
      </c>
      <c r="C245" s="7" t="inlineStr">
        <is>
          <t>common</t>
        </is>
      </c>
      <c r="D245" s="7" t="inlineStr">
        <is>
          <t>guided_question_set</t>
        </is>
      </c>
      <c r="E245" s="7" t="n">
        <v>29</v>
      </c>
      <c r="F245" s="7" t="inlineStr">
        <is>
          <t>gemini-3.5-flash</t>
        </is>
      </c>
      <c r="G245" s="7" t="n">
        <v>1781</v>
      </c>
      <c r="H245" s="7" t="n">
        <v>300</v>
      </c>
      <c r="I245" s="7" t="n">
        <v>2798</v>
      </c>
      <c r="J245" s="7" t="inlineStr">
        <is>
          <t>sdk_usage_metadata</t>
        </is>
      </c>
      <c r="K245" s="7" t="inlineStr">
        <is>
          <t>success</t>
        </is>
      </c>
      <c r="L245" s="7" t="inlineStr"/>
      <c r="M245" s="7" t="n">
        <v>128</v>
      </c>
    </row>
    <row r="246" ht="34" customHeight="1">
      <c r="A246" s="7" t="n">
        <v>245</v>
      </c>
      <c r="B246" s="7" t="inlineStr">
        <is>
          <t>2026-07-30T13:31:56Z</t>
        </is>
      </c>
      <c r="C246" s="7" t="inlineStr">
        <is>
          <t>common</t>
        </is>
      </c>
      <c r="D246" s="7" t="inlineStr">
        <is>
          <t>guided_question_set</t>
        </is>
      </c>
      <c r="E246" s="7" t="n">
        <v>29</v>
      </c>
      <c r="F246" s="7" t="inlineStr">
        <is>
          <t>gemini-3.5-flash</t>
        </is>
      </c>
      <c r="G246" s="7" t="n">
        <v>1781</v>
      </c>
      <c r="H246" s="7" t="n">
        <v>322</v>
      </c>
      <c r="I246" s="7" t="n">
        <v>2615</v>
      </c>
      <c r="J246" s="7" t="inlineStr">
        <is>
          <t>sdk_usage_metadata</t>
        </is>
      </c>
      <c r="K246" s="7" t="inlineStr">
        <is>
          <t>success</t>
        </is>
      </c>
      <c r="L246" s="7" t="inlineStr"/>
      <c r="M246" s="7" t="n">
        <v>129</v>
      </c>
    </row>
    <row r="247" ht="34" customHeight="1">
      <c r="A247" s="7" t="n">
        <v>246</v>
      </c>
      <c r="B247" s="7" t="inlineStr">
        <is>
          <t>2026-07-30T13:32:03Z</t>
        </is>
      </c>
      <c r="C247" s="7" t="inlineStr">
        <is>
          <t>common</t>
        </is>
      </c>
      <c r="D247" s="7" t="inlineStr">
        <is>
          <t>guided_causal_engine</t>
        </is>
      </c>
      <c r="E247" s="7" t="n">
        <v>29</v>
      </c>
      <c r="F247" s="7" t="inlineStr">
        <is>
          <t>gemini-3.5-flash</t>
        </is>
      </c>
      <c r="G247" s="7" t="n">
        <v>908</v>
      </c>
      <c r="H247" s="7" t="n">
        <v>263</v>
      </c>
      <c r="I247" s="7" t="n">
        <v>2146</v>
      </c>
      <c r="J247" s="7" t="inlineStr">
        <is>
          <t>sdk_usage_metadata</t>
        </is>
      </c>
      <c r="K247" s="7" t="inlineStr">
        <is>
          <t>success</t>
        </is>
      </c>
      <c r="L247" s="7" t="inlineStr"/>
      <c r="M247" s="7" t="n">
        <v>130</v>
      </c>
    </row>
    <row r="248" ht="34" customHeight="1">
      <c r="A248" s="7" t="n">
        <v>247</v>
      </c>
      <c r="B248" s="7" t="inlineStr">
        <is>
          <t>2026-07-30T13:32:07Z</t>
        </is>
      </c>
      <c r="C248" s="7" t="inlineStr">
        <is>
          <t>vlm_guided</t>
        </is>
      </c>
      <c r="D248" s="7" t="inlineStr">
        <is>
          <t>vlm_guided_scoring</t>
        </is>
      </c>
      <c r="E248" s="7" t="n">
        <v>29</v>
      </c>
      <c r="F248" s="7" t="inlineStr">
        <is>
          <t>gemini-3.5-flash</t>
        </is>
      </c>
      <c r="G248" s="7" t="n">
        <v>1158</v>
      </c>
      <c r="H248" s="7" t="n">
        <v>87</v>
      </c>
      <c r="I248" s="7" t="n">
        <v>2015</v>
      </c>
      <c r="J248" s="7" t="inlineStr">
        <is>
          <t>sdk_usage_metadata</t>
        </is>
      </c>
      <c r="K248" s="7" t="inlineStr">
        <is>
          <t>success</t>
        </is>
      </c>
      <c r="L248" s="7" t="inlineStr"/>
      <c r="M248" s="7" t="n">
        <v>38</v>
      </c>
    </row>
    <row r="249" ht="34" customHeight="1">
      <c r="A249" s="7" t="n">
        <v>248</v>
      </c>
      <c r="B249" s="7" t="inlineStr">
        <is>
          <t>2026-07-30T13:32:28Z</t>
        </is>
      </c>
      <c r="C249" s="7" t="inlineStr">
        <is>
          <t>vlm_free</t>
        </is>
      </c>
      <c r="D249" s="7" t="inlineStr">
        <is>
          <t>vlm_free_descriptive_causal</t>
        </is>
      </c>
      <c r="E249" s="7" t="n">
        <v>30</v>
      </c>
      <c r="F249" s="7" t="inlineStr">
        <is>
          <t>gemini-3.5-flash</t>
        </is>
      </c>
      <c r="G249" s="7" t="n">
        <v>676</v>
      </c>
      <c r="H249" s="7" t="n">
        <v>733</v>
      </c>
      <c r="I249" s="7" t="n">
        <v>2278</v>
      </c>
      <c r="J249" s="7" t="inlineStr">
        <is>
          <t>sdk_usage_metadata</t>
        </is>
      </c>
      <c r="K249" s="7" t="inlineStr">
        <is>
          <t>success</t>
        </is>
      </c>
      <c r="L249" s="7" t="inlineStr"/>
      <c r="M249" s="7" t="n">
        <v>80</v>
      </c>
    </row>
    <row r="250" ht="34" customHeight="1">
      <c r="A250" s="7" t="n">
        <v>249</v>
      </c>
      <c r="B250" s="7" t="inlineStr">
        <is>
          <t>2026-07-30T13:32:31Z</t>
        </is>
      </c>
      <c r="C250" s="7" t="inlineStr">
        <is>
          <t>vlm_free</t>
        </is>
      </c>
      <c r="D250" s="7" t="inlineStr">
        <is>
          <t>vlm_free_scoring</t>
        </is>
      </c>
      <c r="E250" s="7" t="n">
        <v>30</v>
      </c>
      <c r="F250" s="7" t="inlineStr">
        <is>
          <t>gemini-3.5-flash</t>
        </is>
      </c>
      <c r="G250" s="7" t="n">
        <v>1030</v>
      </c>
      <c r="H250" s="7" t="n">
        <v>130</v>
      </c>
      <c r="I250" s="7" t="n">
        <v>1614</v>
      </c>
      <c r="J250" s="7" t="inlineStr">
        <is>
          <t>sdk_usage_metadata</t>
        </is>
      </c>
      <c r="K250" s="7" t="inlineStr">
        <is>
          <t>success</t>
        </is>
      </c>
      <c r="L250" s="7" t="inlineStr"/>
      <c r="M250" s="7" t="n">
        <v>81</v>
      </c>
    </row>
    <row r="251" ht="34" customHeight="1">
      <c r="A251" s="7" t="n">
        <v>250</v>
      </c>
      <c r="B251" s="7" t="inlineStr">
        <is>
          <t>2026-07-30T13:32:36Z</t>
        </is>
      </c>
      <c r="C251" s="7" t="inlineStr">
        <is>
          <t>common</t>
        </is>
      </c>
      <c r="D251" s="7" t="inlineStr">
        <is>
          <t>guided_descriptive_prompt</t>
        </is>
      </c>
      <c r="E251" s="7" t="n">
        <v>30</v>
      </c>
      <c r="F251" s="7" t="inlineStr">
        <is>
          <t>gemini-3.5-flash</t>
        </is>
      </c>
      <c r="G251" s="7" t="n">
        <v>516</v>
      </c>
      <c r="H251" s="7" t="n">
        <v>213</v>
      </c>
      <c r="I251" s="7" t="n">
        <v>1284</v>
      </c>
      <c r="J251" s="7" t="inlineStr">
        <is>
          <t>sdk_usage_metadata</t>
        </is>
      </c>
      <c r="K251" s="7" t="inlineStr">
        <is>
          <t>success</t>
        </is>
      </c>
      <c r="L251" s="7" t="inlineStr"/>
      <c r="M251" s="7" t="n">
        <v>131</v>
      </c>
    </row>
    <row r="252" ht="34" customHeight="1">
      <c r="A252" s="7" t="n">
        <v>251</v>
      </c>
      <c r="B252" s="7" t="inlineStr">
        <is>
          <t>2026-07-30T13:32:42Z</t>
        </is>
      </c>
      <c r="C252" s="7" t="inlineStr">
        <is>
          <t>common</t>
        </is>
      </c>
      <c r="D252" s="7" t="inlineStr">
        <is>
          <t>guided_question_set</t>
        </is>
      </c>
      <c r="E252" s="7" t="n">
        <v>30</v>
      </c>
      <c r="F252" s="7" t="inlineStr">
        <is>
          <t>gemini-3.5-flash</t>
        </is>
      </c>
      <c r="G252" s="7" t="n">
        <v>1695</v>
      </c>
      <c r="H252" s="7" t="n">
        <v>247</v>
      </c>
      <c r="I252" s="7" t="n">
        <v>3147</v>
      </c>
      <c r="J252" s="7" t="inlineStr">
        <is>
          <t>sdk_usage_metadata</t>
        </is>
      </c>
      <c r="K252" s="7" t="inlineStr">
        <is>
          <t>success</t>
        </is>
      </c>
      <c r="L252" s="7" t="inlineStr"/>
      <c r="M252" s="7" t="n">
        <v>132</v>
      </c>
    </row>
    <row r="253" ht="34" customHeight="1">
      <c r="A253" s="7" t="n">
        <v>252</v>
      </c>
      <c r="B253" s="7" t="inlineStr">
        <is>
          <t>2026-07-30T13:32:50Z</t>
        </is>
      </c>
      <c r="C253" s="7" t="inlineStr">
        <is>
          <t>common</t>
        </is>
      </c>
      <c r="D253" s="7" t="inlineStr">
        <is>
          <t>guided_question_set</t>
        </is>
      </c>
      <c r="E253" s="7" t="n">
        <v>30</v>
      </c>
      <c r="F253" s="7" t="inlineStr">
        <is>
          <t>gemini-3.5-flash</t>
        </is>
      </c>
      <c r="G253" s="7" t="n">
        <v>1695</v>
      </c>
      <c r="H253" s="7" t="n">
        <v>226</v>
      </c>
      <c r="I253" s="7" t="n">
        <v>3115</v>
      </c>
      <c r="J253" s="7" t="inlineStr">
        <is>
          <t>sdk_usage_metadata</t>
        </is>
      </c>
      <c r="K253" s="7" t="inlineStr">
        <is>
          <t>success</t>
        </is>
      </c>
      <c r="L253" s="7" t="inlineStr"/>
      <c r="M253" s="7" t="n">
        <v>133</v>
      </c>
    </row>
    <row r="254" ht="34" customHeight="1">
      <c r="A254" s="7" t="n">
        <v>253</v>
      </c>
      <c r="B254" s="7" t="inlineStr">
        <is>
          <t>2026-07-30T13:32:53Z</t>
        </is>
      </c>
      <c r="C254" s="7" t="inlineStr">
        <is>
          <t>common</t>
        </is>
      </c>
      <c r="D254" s="7" t="inlineStr">
        <is>
          <t>guided_causal_engine</t>
        </is>
      </c>
      <c r="E254" s="7" t="n">
        <v>30</v>
      </c>
      <c r="F254" s="7" t="inlineStr">
        <is>
          <t>gemini-3.5-flash</t>
        </is>
      </c>
      <c r="G254" s="7" t="n">
        <v>726</v>
      </c>
      <c r="H254" s="7" t="n">
        <v>48</v>
      </c>
      <c r="I254" s="7" t="n">
        <v>1376</v>
      </c>
      <c r="J254" s="7" t="inlineStr">
        <is>
          <t>sdk_usage_metadata</t>
        </is>
      </c>
      <c r="K254" s="7" t="inlineStr">
        <is>
          <t>success</t>
        </is>
      </c>
      <c r="L254" s="7" t="inlineStr"/>
      <c r="M254" s="7" t="n">
        <v>134</v>
      </c>
    </row>
    <row r="255" ht="34" customHeight="1">
      <c r="A255" s="7" t="n">
        <v>254</v>
      </c>
      <c r="B255" s="7" t="inlineStr">
        <is>
          <t>2026-07-30T13:32:58Z</t>
        </is>
      </c>
      <c r="C255" s="7" t="inlineStr">
        <is>
          <t>common</t>
        </is>
      </c>
      <c r="D255" s="7" t="inlineStr">
        <is>
          <t>guided_causal_engine</t>
        </is>
      </c>
      <c r="E255" s="7" t="n">
        <v>30</v>
      </c>
      <c r="F255" s="7" t="inlineStr">
        <is>
          <t>gemini-3.5-flash</t>
        </is>
      </c>
      <c r="G255" s="7" t="n">
        <v>726</v>
      </c>
      <c r="H255" s="7" t="n">
        <v>131</v>
      </c>
      <c r="I255" s="7" t="n">
        <v>1471</v>
      </c>
      <c r="J255" s="7" t="inlineStr">
        <is>
          <t>sdk_usage_metadata</t>
        </is>
      </c>
      <c r="K255" s="7" t="inlineStr">
        <is>
          <t>success</t>
        </is>
      </c>
      <c r="L255" s="7" t="inlineStr"/>
      <c r="M255" s="7" t="n">
        <v>135</v>
      </c>
    </row>
    <row r="256" ht="34" customHeight="1">
      <c r="A256" s="7" t="n">
        <v>255</v>
      </c>
      <c r="B256" s="7" t="inlineStr">
        <is>
          <t>2026-07-30T13:33:02Z</t>
        </is>
      </c>
      <c r="C256" s="7" t="inlineStr">
        <is>
          <t>vlm_guided</t>
        </is>
      </c>
      <c r="D256" s="7" t="inlineStr">
        <is>
          <t>vlm_guided_scoring</t>
        </is>
      </c>
      <c r="E256" s="7" t="n">
        <v>30</v>
      </c>
      <c r="F256" s="7" t="inlineStr">
        <is>
          <t>gemini-3.5-flash</t>
        </is>
      </c>
      <c r="G256" s="7" t="n">
        <v>844</v>
      </c>
      <c r="H256" s="7" t="n">
        <v>73</v>
      </c>
      <c r="I256" s="7" t="n">
        <v>1564</v>
      </c>
      <c r="J256" s="7" t="inlineStr">
        <is>
          <t>sdk_usage_metadata</t>
        </is>
      </c>
      <c r="K256" s="7" t="inlineStr">
        <is>
          <t>success</t>
        </is>
      </c>
      <c r="L256" s="7" t="inlineStr"/>
      <c r="M256" s="7" t="n">
        <v>39</v>
      </c>
    </row>
    <row r="257" ht="34" customHeight="1">
      <c r="A257" s="7" t="n">
        <v>256</v>
      </c>
      <c r="B257" s="7" t="inlineStr">
        <is>
          <t>2026-07-30T13:33:20Z</t>
        </is>
      </c>
      <c r="C257" s="7" t="inlineStr">
        <is>
          <t>vlm_free</t>
        </is>
      </c>
      <c r="D257" s="7" t="inlineStr">
        <is>
          <t>vlm_free_descriptive_causal</t>
        </is>
      </c>
      <c r="E257" s="7" t="n">
        <v>31</v>
      </c>
      <c r="F257" s="7" t="inlineStr">
        <is>
          <t>gemini-3.5-flash</t>
        </is>
      </c>
      <c r="G257" s="7" t="n">
        <v>544</v>
      </c>
      <c r="H257" s="7" t="n">
        <v>615</v>
      </c>
      <c r="I257" s="7" t="n">
        <v>2630</v>
      </c>
      <c r="J257" s="7" t="inlineStr">
        <is>
          <t>sdk_usage_metadata</t>
        </is>
      </c>
      <c r="K257" s="7" t="inlineStr">
        <is>
          <t>success</t>
        </is>
      </c>
      <c r="L257" s="7" t="inlineStr"/>
      <c r="M257" s="7" t="n">
        <v>82</v>
      </c>
    </row>
    <row r="258" ht="34" customHeight="1">
      <c r="A258" s="7" t="n">
        <v>257</v>
      </c>
      <c r="B258" s="7" t="inlineStr">
        <is>
          <t>2026-07-30T13:33:25Z</t>
        </is>
      </c>
      <c r="C258" s="7" t="inlineStr">
        <is>
          <t>vlm_free</t>
        </is>
      </c>
      <c r="D258" s="7" t="inlineStr">
        <is>
          <t>vlm_free_scoring</t>
        </is>
      </c>
      <c r="E258" s="7" t="n">
        <v>31</v>
      </c>
      <c r="F258" s="7" t="inlineStr">
        <is>
          <t>gemini-3.5-flash</t>
        </is>
      </c>
      <c r="G258" s="7" t="n">
        <v>913</v>
      </c>
      <c r="H258" s="7" t="n">
        <v>146</v>
      </c>
      <c r="I258" s="7" t="n">
        <v>1901</v>
      </c>
      <c r="J258" s="7" t="inlineStr">
        <is>
          <t>sdk_usage_metadata</t>
        </is>
      </c>
      <c r="K258" s="7" t="inlineStr">
        <is>
          <t>success</t>
        </is>
      </c>
      <c r="L258" s="7" t="inlineStr"/>
      <c r="M258" s="7" t="n">
        <v>83</v>
      </c>
    </row>
    <row r="259" ht="34" customHeight="1">
      <c r="A259" s="7" t="n">
        <v>258</v>
      </c>
      <c r="B259" s="7" t="inlineStr">
        <is>
          <t>2026-07-30T13:33:32Z</t>
        </is>
      </c>
      <c r="C259" s="7" t="inlineStr">
        <is>
          <t>vlm_free</t>
        </is>
      </c>
      <c r="D259" s="7" t="inlineStr">
        <is>
          <t>vlm_free_scoring</t>
        </is>
      </c>
      <c r="E259" s="7" t="n">
        <v>31</v>
      </c>
      <c r="F259" s="7" t="inlineStr">
        <is>
          <t>gemini-3.5-flash</t>
        </is>
      </c>
      <c r="G259" s="7" t="n">
        <v>913</v>
      </c>
      <c r="H259" s="7" t="n">
        <v>114</v>
      </c>
      <c r="I259" s="7" t="n">
        <v>1946</v>
      </c>
      <c r="J259" s="7" t="inlineStr">
        <is>
          <t>sdk_usage_metadata</t>
        </is>
      </c>
      <c r="K259" s="7" t="inlineStr">
        <is>
          <t>success</t>
        </is>
      </c>
      <c r="L259" s="7" t="inlineStr"/>
      <c r="M259" s="7" t="n">
        <v>84</v>
      </c>
    </row>
    <row r="260" ht="34" customHeight="1">
      <c r="A260" s="7" t="n">
        <v>259</v>
      </c>
      <c r="B260" s="7" t="inlineStr">
        <is>
          <t>2026-07-30T13:33:37Z</t>
        </is>
      </c>
      <c r="C260" s="7" t="inlineStr">
        <is>
          <t>vlm_free</t>
        </is>
      </c>
      <c r="D260" s="7" t="inlineStr">
        <is>
          <t>vlm_free_scoring</t>
        </is>
      </c>
      <c r="E260" s="7" t="n">
        <v>31</v>
      </c>
      <c r="F260" s="7" t="inlineStr">
        <is>
          <t>gemini-3.5-flash</t>
        </is>
      </c>
      <c r="G260" s="7" t="n">
        <v>913</v>
      </c>
      <c r="H260" s="7" t="n">
        <v>110</v>
      </c>
      <c r="I260" s="7" t="n">
        <v>1554</v>
      </c>
      <c r="J260" s="7" t="inlineStr">
        <is>
          <t>sdk_usage_metadata</t>
        </is>
      </c>
      <c r="K260" s="7" t="inlineStr">
        <is>
          <t>success</t>
        </is>
      </c>
      <c r="L260" s="7" t="inlineStr"/>
      <c r="M260" s="7" t="n">
        <v>85</v>
      </c>
    </row>
    <row r="261" ht="34" customHeight="1">
      <c r="A261" s="7" t="n">
        <v>260</v>
      </c>
      <c r="B261" s="7" t="inlineStr">
        <is>
          <t>2026-07-30T13:33:43Z</t>
        </is>
      </c>
      <c r="C261" s="7" t="inlineStr">
        <is>
          <t>common</t>
        </is>
      </c>
      <c r="D261" s="7" t="inlineStr">
        <is>
          <t>guided_descriptive_prompt</t>
        </is>
      </c>
      <c r="E261" s="7" t="n">
        <v>31</v>
      </c>
      <c r="F261" s="7" t="inlineStr">
        <is>
          <t>gemini-3.5-flash</t>
        </is>
      </c>
      <c r="G261" s="7" t="n">
        <v>384</v>
      </c>
      <c r="H261" s="7" t="n">
        <v>207</v>
      </c>
      <c r="I261" s="7" t="n">
        <v>1653</v>
      </c>
      <c r="J261" s="7" t="inlineStr">
        <is>
          <t>sdk_usage_metadata</t>
        </is>
      </c>
      <c r="K261" s="7" t="inlineStr">
        <is>
          <t>success</t>
        </is>
      </c>
      <c r="L261" s="7" t="inlineStr"/>
      <c r="M261" s="7" t="n">
        <v>136</v>
      </c>
    </row>
    <row r="262" ht="34" customHeight="1">
      <c r="A262" s="7" t="n">
        <v>261</v>
      </c>
      <c r="B262" s="7" t="inlineStr">
        <is>
          <t>2026-07-30T13:33:47Z</t>
        </is>
      </c>
      <c r="C262" s="7" t="inlineStr">
        <is>
          <t>common</t>
        </is>
      </c>
      <c r="D262" s="7" t="inlineStr">
        <is>
          <t>guided_question_set</t>
        </is>
      </c>
      <c r="E262" s="7" t="n">
        <v>31</v>
      </c>
      <c r="F262" s="7" t="inlineStr">
        <is>
          <t>gemini-3.5-flash</t>
        </is>
      </c>
      <c r="G262" s="7" t="n">
        <v>1689</v>
      </c>
      <c r="H262" s="7" t="n">
        <v>238</v>
      </c>
      <c r="I262" s="7" t="n">
        <v>2393</v>
      </c>
      <c r="J262" s="7" t="inlineStr">
        <is>
          <t>sdk_usage_metadata</t>
        </is>
      </c>
      <c r="K262" s="7" t="inlineStr">
        <is>
          <t>success</t>
        </is>
      </c>
      <c r="L262" s="7" t="inlineStr"/>
      <c r="M262" s="7" t="n">
        <v>137</v>
      </c>
    </row>
    <row r="263" ht="34" customHeight="1">
      <c r="A263" s="7" t="n">
        <v>262</v>
      </c>
      <c r="B263" s="7" t="inlineStr">
        <is>
          <t>2026-07-30T13:33:53Z</t>
        </is>
      </c>
      <c r="C263" s="7" t="inlineStr">
        <is>
          <t>common</t>
        </is>
      </c>
      <c r="D263" s="7" t="inlineStr">
        <is>
          <t>guided_question_set</t>
        </is>
      </c>
      <c r="E263" s="7" t="n">
        <v>31</v>
      </c>
      <c r="F263" s="7" t="inlineStr">
        <is>
          <t>gemini-3.5-flash</t>
        </is>
      </c>
      <c r="G263" s="7" t="n">
        <v>1689</v>
      </c>
      <c r="H263" s="7" t="n">
        <v>222</v>
      </c>
      <c r="I263" s="7" t="n">
        <v>2734</v>
      </c>
      <c r="J263" s="7" t="inlineStr">
        <is>
          <t>sdk_usage_metadata</t>
        </is>
      </c>
      <c r="K263" s="7" t="inlineStr">
        <is>
          <t>success</t>
        </is>
      </c>
      <c r="L263" s="7" t="inlineStr"/>
      <c r="M263" s="7" t="n">
        <v>138</v>
      </c>
    </row>
    <row r="264" ht="34" customHeight="1">
      <c r="A264" s="7" t="n">
        <v>263</v>
      </c>
      <c r="B264" s="7" t="inlineStr">
        <is>
          <t>2026-07-30T13:33:58Z</t>
        </is>
      </c>
      <c r="C264" s="7" t="inlineStr">
        <is>
          <t>common</t>
        </is>
      </c>
      <c r="D264" s="7" t="inlineStr">
        <is>
          <t>guided_causal_engine</t>
        </is>
      </c>
      <c r="E264" s="7" t="n">
        <v>31</v>
      </c>
      <c r="F264" s="7" t="inlineStr">
        <is>
          <t>gemini-3.5-flash</t>
        </is>
      </c>
      <c r="G264" s="7" t="n">
        <v>716</v>
      </c>
      <c r="H264" s="7" t="n">
        <v>48</v>
      </c>
      <c r="I264" s="7" t="n">
        <v>1563</v>
      </c>
      <c r="J264" s="7" t="inlineStr">
        <is>
          <t>sdk_usage_metadata</t>
        </is>
      </c>
      <c r="K264" s="7" t="inlineStr">
        <is>
          <t>success</t>
        </is>
      </c>
      <c r="L264" s="7" t="inlineStr"/>
      <c r="M264" s="7" t="n">
        <v>139</v>
      </c>
    </row>
    <row r="265" ht="34" customHeight="1">
      <c r="A265" s="7" t="n">
        <v>264</v>
      </c>
      <c r="B265" s="7" t="inlineStr">
        <is>
          <t>2026-07-30T13:34:04Z</t>
        </is>
      </c>
      <c r="C265" s="7" t="inlineStr">
        <is>
          <t>common</t>
        </is>
      </c>
      <c r="D265" s="7" t="inlineStr">
        <is>
          <t>guided_causal_engine</t>
        </is>
      </c>
      <c r="E265" s="7" t="n">
        <v>31</v>
      </c>
      <c r="F265" s="7" t="inlineStr">
        <is>
          <t>gemini-3.5-flash</t>
        </is>
      </c>
      <c r="G265" s="7" t="n">
        <v>716</v>
      </c>
      <c r="H265" s="7" t="n">
        <v>48</v>
      </c>
      <c r="I265" s="7" t="n">
        <v>1626</v>
      </c>
      <c r="J265" s="7" t="inlineStr">
        <is>
          <t>sdk_usage_metadata</t>
        </is>
      </c>
      <c r="K265" s="7" t="inlineStr">
        <is>
          <t>success</t>
        </is>
      </c>
      <c r="L265" s="7" t="inlineStr"/>
      <c r="M265" s="7" t="n">
        <v>140</v>
      </c>
    </row>
    <row r="266" ht="34" customHeight="1">
      <c r="A266" s="7" t="n">
        <v>265</v>
      </c>
      <c r="B266" s="7" t="inlineStr">
        <is>
          <t>2026-07-30T13:34:10Z</t>
        </is>
      </c>
      <c r="C266" s="7" t="inlineStr">
        <is>
          <t>common</t>
        </is>
      </c>
      <c r="D266" s="7" t="inlineStr">
        <is>
          <t>guided_causal_engine</t>
        </is>
      </c>
      <c r="E266" s="7" t="n">
        <v>31</v>
      </c>
      <c r="F266" s="7" t="inlineStr">
        <is>
          <t>gemini-3.5-flash</t>
        </is>
      </c>
      <c r="G266" s="7" t="n">
        <v>716</v>
      </c>
      <c r="H266" s="7" t="n">
        <v>132</v>
      </c>
      <c r="I266" s="7" t="n">
        <v>1648</v>
      </c>
      <c r="J266" s="7" t="inlineStr">
        <is>
          <t>sdk_usage_metadata</t>
        </is>
      </c>
      <c r="K266" s="7" t="inlineStr">
        <is>
          <t>success</t>
        </is>
      </c>
      <c r="L266" s="7" t="inlineStr"/>
      <c r="M266" s="7" t="n">
        <v>141</v>
      </c>
    </row>
    <row r="267" ht="34" customHeight="1">
      <c r="A267" s="7" t="n">
        <v>266</v>
      </c>
      <c r="B267" s="7" t="inlineStr">
        <is>
          <t>2026-07-30T13:34:14Z</t>
        </is>
      </c>
      <c r="C267" s="7" t="inlineStr">
        <is>
          <t>vlm_guided</t>
        </is>
      </c>
      <c r="D267" s="7" t="inlineStr">
        <is>
          <t>vlm_guided_scoring</t>
        </is>
      </c>
      <c r="E267" s="7" t="n">
        <v>31</v>
      </c>
      <c r="F267" s="7" t="inlineStr">
        <is>
          <t>gemini-3.5-flash</t>
        </is>
      </c>
      <c r="G267" s="7" t="n">
        <v>835</v>
      </c>
      <c r="H267" s="7" t="n">
        <v>79</v>
      </c>
      <c r="I267" s="7" t="n">
        <v>1555</v>
      </c>
      <c r="J267" s="7" t="inlineStr">
        <is>
          <t>sdk_usage_metadata</t>
        </is>
      </c>
      <c r="K267" s="7" t="inlineStr">
        <is>
          <t>success</t>
        </is>
      </c>
      <c r="L267" s="7" t="inlineStr"/>
      <c r="M267" s="7" t="n">
        <v>40</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R33"/>
  <sheetViews>
    <sheetView showGridLines="1" zoomScale="80" workbookViewId="0">
      <pane ySplit="1" topLeftCell="A2" activePane="bottomLeft" state="frozen"/>
      <selection pane="bottomLeft" activeCell="A1" sqref="A1"/>
    </sheetView>
  </sheetViews>
  <sheetFormatPr baseColWidth="8" defaultRowHeight="15"/>
  <cols>
    <col width="6" customWidth="1" min="1" max="1"/>
    <col width="7" customWidth="1" min="2" max="2"/>
    <col width="7" customWidth="1" min="3" max="3"/>
    <col width="8" customWidth="1" min="4" max="4"/>
    <col width="8" customWidth="1" min="5" max="5"/>
    <col width="8" customWidth="1" min="6" max="6"/>
    <col width="8" customWidth="1" min="7" max="7"/>
    <col width="8" customWidth="1" min="8" max="8"/>
    <col width="8" customWidth="1" min="9" max="9"/>
    <col width="8" customWidth="1" min="10" max="10"/>
    <col width="8" customWidth="1" min="11" max="11"/>
    <col width="8" customWidth="1" min="12" max="12"/>
    <col width="8" customWidth="1" min="13" max="13"/>
    <col width="8" customWidth="1" min="14" max="14"/>
    <col width="8" customWidth="1" min="15" max="15"/>
    <col width="8" customWidth="1" min="16" max="16"/>
    <col width="8" customWidth="1" min="17" max="17"/>
    <col width="8" customWidth="1" min="18" max="18"/>
  </cols>
  <sheetData>
    <row r="1" ht="16" customHeight="1">
      <c r="A1" s="6" t="inlineStr">
        <is>
          <t>window_id</t>
        </is>
      </c>
      <c r="B1" s="6" t="inlineStr">
        <is>
          <t>start_time_s</t>
        </is>
      </c>
      <c r="C1" s="6" t="inlineStr">
        <is>
          <t>end_time_s</t>
        </is>
      </c>
      <c r="D1" s="6" t="inlineStr">
        <is>
          <t>S1_contribution</t>
        </is>
      </c>
      <c r="E1" s="6" t="inlineStr">
        <is>
          <t>S2_contribution</t>
        </is>
      </c>
      <c r="F1" s="6" t="inlineStr">
        <is>
          <t>S3_contribution</t>
        </is>
      </c>
      <c r="G1" s="6" t="inlineStr">
        <is>
          <t>S4_contribution</t>
        </is>
      </c>
      <c r="H1" s="6" t="inlineStr">
        <is>
          <t>S5_contribution</t>
        </is>
      </c>
      <c r="I1" s="6" t="inlineStr">
        <is>
          <t>S6_contribution</t>
        </is>
      </c>
      <c r="J1" s="6" t="inlineStr">
        <is>
          <t>S7_contribution</t>
        </is>
      </c>
      <c r="K1" s="6" t="inlineStr">
        <is>
          <t>S1_contribution_pct</t>
        </is>
      </c>
      <c r="L1" s="6" t="inlineStr">
        <is>
          <t>S2_contribution_pct</t>
        </is>
      </c>
      <c r="M1" s="6" t="inlineStr">
        <is>
          <t>S3_contribution_pct</t>
        </is>
      </c>
      <c r="N1" s="6" t="inlineStr">
        <is>
          <t>S4_contribution_pct</t>
        </is>
      </c>
      <c r="O1" s="6" t="inlineStr">
        <is>
          <t>S5_contribution_pct</t>
        </is>
      </c>
      <c r="P1" s="6" t="inlineStr">
        <is>
          <t>S6_contribution_pct</t>
        </is>
      </c>
      <c r="Q1" s="6" t="inlineStr">
        <is>
          <t>S7_contribution_pct</t>
        </is>
      </c>
      <c r="R1" s="6" t="inlineStr">
        <is>
          <t>instantaneous_risk_score_ahp</t>
        </is>
      </c>
    </row>
    <row r="2" ht="34" customHeight="1">
      <c r="A2" s="7" t="n">
        <v>0</v>
      </c>
      <c r="B2" s="7" t="n">
        <v>0</v>
      </c>
      <c r="C2" s="7" t="n">
        <v>4</v>
      </c>
      <c r="D2" s="7" t="n">
        <v>0</v>
      </c>
      <c r="E2" s="7" t="n">
        <v>2.0546</v>
      </c>
      <c r="F2" s="7" t="n">
        <v>1.4763</v>
      </c>
      <c r="G2" s="7" t="n">
        <v>0.1261</v>
      </c>
      <c r="H2" s="7" t="n">
        <v>0</v>
      </c>
      <c r="I2" s="7" t="n">
        <v>31.6021</v>
      </c>
      <c r="J2" s="7" t="n">
        <v>0</v>
      </c>
      <c r="K2" s="7" t="n">
        <v>0</v>
      </c>
      <c r="L2" s="7" t="n">
        <v>5.83</v>
      </c>
      <c r="M2" s="7" t="n">
        <v>4.19</v>
      </c>
      <c r="N2" s="7" t="n">
        <v>0.36</v>
      </c>
      <c r="O2" s="7" t="n">
        <v>0</v>
      </c>
      <c r="P2" s="7" t="n">
        <v>89.63</v>
      </c>
      <c r="Q2" s="7" t="n">
        <v>0</v>
      </c>
      <c r="R2" s="7" t="n">
        <v>35.26</v>
      </c>
    </row>
    <row r="3" ht="34" customHeight="1">
      <c r="A3" s="7" t="n">
        <v>1</v>
      </c>
      <c r="B3" s="7" t="n">
        <v>2</v>
      </c>
      <c r="C3" s="7" t="n">
        <v>6</v>
      </c>
      <c r="D3" s="7" t="n">
        <v>0</v>
      </c>
      <c r="E3" s="7" t="n">
        <v>2.0546</v>
      </c>
      <c r="F3" s="7" t="n">
        <v>5.3912</v>
      </c>
      <c r="G3" s="7" t="n">
        <v>0.1261</v>
      </c>
      <c r="H3" s="7" t="n">
        <v>0</v>
      </c>
      <c r="I3" s="7" t="n">
        <v>34.3149</v>
      </c>
      <c r="J3" s="7" t="n">
        <v>0</v>
      </c>
      <c r="K3" s="7" t="n">
        <v>0</v>
      </c>
      <c r="L3" s="7" t="n">
        <v>4.9</v>
      </c>
      <c r="M3" s="7" t="n">
        <v>12.87</v>
      </c>
      <c r="N3" s="7" t="n">
        <v>0.3</v>
      </c>
      <c r="O3" s="7" t="n">
        <v>0</v>
      </c>
      <c r="P3" s="7" t="n">
        <v>81.92</v>
      </c>
      <c r="Q3" s="7" t="n">
        <v>0</v>
      </c>
      <c r="R3" s="7" t="n">
        <v>41.89</v>
      </c>
    </row>
    <row r="4" ht="34" customHeight="1">
      <c r="A4" s="7" t="n">
        <v>2</v>
      </c>
      <c r="B4" s="7" t="n">
        <v>4</v>
      </c>
      <c r="C4" s="7" t="n">
        <v>8</v>
      </c>
      <c r="D4" s="7" t="n">
        <v>0</v>
      </c>
      <c r="E4" s="7" t="n">
        <v>2.0546</v>
      </c>
      <c r="F4" s="7" t="n">
        <v>5.3912</v>
      </c>
      <c r="G4" s="7" t="n">
        <v>0.1261</v>
      </c>
      <c r="H4" s="7" t="n">
        <v>0</v>
      </c>
      <c r="I4" s="7" t="n">
        <v>34.3149</v>
      </c>
      <c r="J4" s="7" t="n">
        <v>0</v>
      </c>
      <c r="K4" s="7" t="n">
        <v>0</v>
      </c>
      <c r="L4" s="7" t="n">
        <v>4.9</v>
      </c>
      <c r="M4" s="7" t="n">
        <v>12.87</v>
      </c>
      <c r="N4" s="7" t="n">
        <v>0.3</v>
      </c>
      <c r="O4" s="7" t="n">
        <v>0</v>
      </c>
      <c r="P4" s="7" t="n">
        <v>81.92</v>
      </c>
      <c r="Q4" s="7" t="n">
        <v>0</v>
      </c>
      <c r="R4" s="7" t="n">
        <v>41.89</v>
      </c>
    </row>
    <row r="5" ht="34" customHeight="1">
      <c r="A5" s="7" t="n">
        <v>3</v>
      </c>
      <c r="B5" s="7" t="n">
        <v>6</v>
      </c>
      <c r="C5" s="7" t="n">
        <v>10</v>
      </c>
      <c r="D5" s="7" t="n">
        <v>0</v>
      </c>
      <c r="E5" s="7" t="n">
        <v>2.0546</v>
      </c>
      <c r="F5" s="7" t="n">
        <v>4.4886</v>
      </c>
      <c r="G5" s="7" t="n">
        <v>0.1261</v>
      </c>
      <c r="H5" s="7" t="n">
        <v>0</v>
      </c>
      <c r="I5" s="7" t="n">
        <v>31.6021</v>
      </c>
      <c r="J5" s="7" t="n">
        <v>0</v>
      </c>
      <c r="K5" s="7" t="n">
        <v>0</v>
      </c>
      <c r="L5" s="7" t="n">
        <v>5.37</v>
      </c>
      <c r="M5" s="7" t="n">
        <v>11.73</v>
      </c>
      <c r="N5" s="7" t="n">
        <v>0.33</v>
      </c>
      <c r="O5" s="7" t="n">
        <v>0</v>
      </c>
      <c r="P5" s="7" t="n">
        <v>82.58</v>
      </c>
      <c r="Q5" s="7" t="n">
        <v>0</v>
      </c>
      <c r="R5" s="7" t="n">
        <v>38.27</v>
      </c>
    </row>
    <row r="6" ht="34" customHeight="1">
      <c r="A6" s="7" t="n">
        <v>4</v>
      </c>
      <c r="B6" s="7" t="n">
        <v>8</v>
      </c>
      <c r="C6" s="7" t="n">
        <v>12</v>
      </c>
      <c r="D6" s="7" t="n">
        <v>0</v>
      </c>
      <c r="E6" s="7" t="n">
        <v>2.0546</v>
      </c>
      <c r="F6" s="7" t="n">
        <v>1.4763</v>
      </c>
      <c r="G6" s="7" t="n">
        <v>0.1261</v>
      </c>
      <c r="H6" s="7" t="n">
        <v>0</v>
      </c>
      <c r="I6" s="7" t="n">
        <v>12.2127</v>
      </c>
      <c r="J6" s="7" t="n">
        <v>0</v>
      </c>
      <c r="K6" s="7" t="n">
        <v>0</v>
      </c>
      <c r="L6" s="7" t="n">
        <v>12.95</v>
      </c>
      <c r="M6" s="7" t="n">
        <v>9.300000000000001</v>
      </c>
      <c r="N6" s="7" t="n">
        <v>0.79</v>
      </c>
      <c r="O6" s="7" t="n">
        <v>0</v>
      </c>
      <c r="P6" s="7" t="n">
        <v>76.95</v>
      </c>
      <c r="Q6" s="7" t="n">
        <v>0</v>
      </c>
      <c r="R6" s="7" t="n">
        <v>15.87</v>
      </c>
    </row>
    <row r="7" ht="34" customHeight="1">
      <c r="A7" s="7" t="n">
        <v>5</v>
      </c>
      <c r="B7" s="7" t="n">
        <v>10</v>
      </c>
      <c r="C7" s="7" t="n">
        <v>14</v>
      </c>
      <c r="D7" s="7" t="n">
        <v>0</v>
      </c>
      <c r="E7" s="7" t="n">
        <v>3.0251</v>
      </c>
      <c r="F7" s="7" t="n">
        <v>4.4886</v>
      </c>
      <c r="G7" s="7" t="n">
        <v>0.1261</v>
      </c>
      <c r="H7" s="7" t="n">
        <v>0.7999000000000001</v>
      </c>
      <c r="I7" s="7" t="n">
        <v>31.6021</v>
      </c>
      <c r="J7" s="7" t="n">
        <v>0.3598</v>
      </c>
      <c r="K7" s="7" t="n">
        <v>0</v>
      </c>
      <c r="L7" s="7" t="n">
        <v>7.49</v>
      </c>
      <c r="M7" s="7" t="n">
        <v>11.11</v>
      </c>
      <c r="N7" s="7" t="n">
        <v>0.31</v>
      </c>
      <c r="O7" s="7" t="n">
        <v>1.98</v>
      </c>
      <c r="P7" s="7" t="n">
        <v>78.22</v>
      </c>
      <c r="Q7" s="7" t="n">
        <v>0.89</v>
      </c>
      <c r="R7" s="7" t="n">
        <v>40.4</v>
      </c>
    </row>
    <row r="8" ht="34" customHeight="1">
      <c r="A8" s="7" t="n">
        <v>6</v>
      </c>
      <c r="B8" s="7" t="n">
        <v>12</v>
      </c>
      <c r="C8" s="7" t="n">
        <v>16</v>
      </c>
      <c r="D8" s="7" t="n">
        <v>0</v>
      </c>
      <c r="E8" s="7" t="n">
        <v>2.0546</v>
      </c>
      <c r="F8" s="7" t="n">
        <v>4.4886</v>
      </c>
      <c r="G8" s="7" t="n">
        <v>0.1261</v>
      </c>
      <c r="H8" s="7" t="n">
        <v>0.7999000000000001</v>
      </c>
      <c r="I8" s="7" t="n">
        <v>12.2127</v>
      </c>
      <c r="J8" s="7" t="n">
        <v>0</v>
      </c>
      <c r="K8" s="7" t="n">
        <v>0</v>
      </c>
      <c r="L8" s="7" t="n">
        <v>10.44</v>
      </c>
      <c r="M8" s="7" t="n">
        <v>22.81</v>
      </c>
      <c r="N8" s="7" t="n">
        <v>0.64</v>
      </c>
      <c r="O8" s="7" t="n">
        <v>4.06</v>
      </c>
      <c r="P8" s="7" t="n">
        <v>62.06</v>
      </c>
      <c r="Q8" s="7" t="n">
        <v>0</v>
      </c>
      <c r="R8" s="7" t="n">
        <v>19.68</v>
      </c>
    </row>
    <row r="9" ht="34" customHeight="1">
      <c r="A9" s="7" t="n">
        <v>7</v>
      </c>
      <c r="B9" s="7" t="n">
        <v>14</v>
      </c>
      <c r="C9" s="7" t="n">
        <v>18</v>
      </c>
      <c r="D9" s="7" t="n">
        <v>0</v>
      </c>
      <c r="E9" s="7" t="n">
        <v>2.0546</v>
      </c>
      <c r="F9" s="7" t="n">
        <v>0.1609</v>
      </c>
      <c r="G9" s="7" t="n">
        <v>0.1261</v>
      </c>
      <c r="H9" s="7" t="n">
        <v>0</v>
      </c>
      <c r="I9" s="7" t="n">
        <v>0.9169</v>
      </c>
      <c r="J9" s="7" t="n">
        <v>0</v>
      </c>
      <c r="K9" s="7" t="n">
        <v>0</v>
      </c>
      <c r="L9" s="7" t="n">
        <v>63.02</v>
      </c>
      <c r="M9" s="7" t="n">
        <v>4.94</v>
      </c>
      <c r="N9" s="7" t="n">
        <v>3.87</v>
      </c>
      <c r="O9" s="7" t="n">
        <v>0</v>
      </c>
      <c r="P9" s="7" t="n">
        <v>28.13</v>
      </c>
      <c r="Q9" s="7" t="n">
        <v>0</v>
      </c>
      <c r="R9" s="7" t="n">
        <v>3.26</v>
      </c>
    </row>
    <row r="10" ht="34" customHeight="1">
      <c r="A10" s="7" t="n">
        <v>8</v>
      </c>
      <c r="B10" s="7" t="n">
        <v>16</v>
      </c>
      <c r="C10" s="7" t="n">
        <v>20</v>
      </c>
      <c r="D10" s="7" t="n">
        <v>0</v>
      </c>
      <c r="E10" s="7" t="n">
        <v>2.0546</v>
      </c>
      <c r="F10" s="7" t="n">
        <v>1.4763</v>
      </c>
      <c r="G10" s="7" t="n">
        <v>0.1261</v>
      </c>
      <c r="H10" s="7" t="n">
        <v>0</v>
      </c>
      <c r="I10" s="7" t="n">
        <v>0.9169</v>
      </c>
      <c r="J10" s="7" t="n">
        <v>0</v>
      </c>
      <c r="K10" s="7" t="n">
        <v>0</v>
      </c>
      <c r="L10" s="7" t="n">
        <v>44.96</v>
      </c>
      <c r="M10" s="7" t="n">
        <v>32.3</v>
      </c>
      <c r="N10" s="7" t="n">
        <v>2.76</v>
      </c>
      <c r="O10" s="7" t="n">
        <v>0</v>
      </c>
      <c r="P10" s="7" t="n">
        <v>20.06</v>
      </c>
      <c r="Q10" s="7" t="n">
        <v>0</v>
      </c>
      <c r="R10" s="7" t="n">
        <v>4.57</v>
      </c>
    </row>
    <row r="11" ht="34" customHeight="1">
      <c r="A11" s="7" t="n">
        <v>9</v>
      </c>
      <c r="B11" s="7" t="n">
        <v>18</v>
      </c>
      <c r="C11" s="7" t="n">
        <v>22</v>
      </c>
      <c r="D11" s="7" t="n">
        <v>0</v>
      </c>
      <c r="E11" s="7" t="n">
        <v>2.0546</v>
      </c>
      <c r="F11" s="7" t="n">
        <v>0.1609</v>
      </c>
      <c r="G11" s="7" t="n">
        <v>0.1261</v>
      </c>
      <c r="H11" s="7" t="n">
        <v>0</v>
      </c>
      <c r="I11" s="7" t="n">
        <v>0.9169</v>
      </c>
      <c r="J11" s="7" t="n">
        <v>0</v>
      </c>
      <c r="K11" s="7" t="n">
        <v>0</v>
      </c>
      <c r="L11" s="7" t="n">
        <v>63.02</v>
      </c>
      <c r="M11" s="7" t="n">
        <v>4.94</v>
      </c>
      <c r="N11" s="7" t="n">
        <v>3.87</v>
      </c>
      <c r="O11" s="7" t="n">
        <v>0</v>
      </c>
      <c r="P11" s="7" t="n">
        <v>28.13</v>
      </c>
      <c r="Q11" s="7" t="n">
        <v>0</v>
      </c>
      <c r="R11" s="7" t="n">
        <v>3.26</v>
      </c>
    </row>
    <row r="12" ht="34" customHeight="1">
      <c r="A12" s="7" t="n">
        <v>10</v>
      </c>
      <c r="B12" s="7" t="n">
        <v>20</v>
      </c>
      <c r="C12" s="7" t="n">
        <v>24</v>
      </c>
      <c r="D12" s="7" t="n">
        <v>0</v>
      </c>
      <c r="E12" s="7" t="n">
        <v>2.0546</v>
      </c>
      <c r="F12" s="7" t="n">
        <v>0.1609</v>
      </c>
      <c r="G12" s="7" t="n">
        <v>0.1261</v>
      </c>
      <c r="H12" s="7" t="n">
        <v>0</v>
      </c>
      <c r="I12" s="7" t="n">
        <v>12.2127</v>
      </c>
      <c r="J12" s="7" t="n">
        <v>0</v>
      </c>
      <c r="K12" s="7" t="n">
        <v>0</v>
      </c>
      <c r="L12" s="7" t="n">
        <v>14.12</v>
      </c>
      <c r="M12" s="7" t="n">
        <v>1.11</v>
      </c>
      <c r="N12" s="7" t="n">
        <v>0.87</v>
      </c>
      <c r="O12" s="7" t="n">
        <v>0</v>
      </c>
      <c r="P12" s="7" t="n">
        <v>83.94</v>
      </c>
      <c r="Q12" s="7" t="n">
        <v>0</v>
      </c>
      <c r="R12" s="7" t="n">
        <v>14.55</v>
      </c>
    </row>
    <row r="13" ht="34" customHeight="1">
      <c r="A13" s="7" t="n">
        <v>11</v>
      </c>
      <c r="B13" s="7" t="n">
        <v>22</v>
      </c>
      <c r="C13" s="7" t="n">
        <v>26</v>
      </c>
      <c r="D13" s="7" t="n">
        <v>0</v>
      </c>
      <c r="E13" s="7" t="n">
        <v>2.0546</v>
      </c>
      <c r="F13" s="7" t="n">
        <v>0.1609</v>
      </c>
      <c r="G13" s="7" t="n">
        <v>0.1261</v>
      </c>
      <c r="H13" s="7" t="n">
        <v>0</v>
      </c>
      <c r="I13" s="7" t="n">
        <v>12.2127</v>
      </c>
      <c r="J13" s="7" t="n">
        <v>0</v>
      </c>
      <c r="K13" s="7" t="n">
        <v>0</v>
      </c>
      <c r="L13" s="7" t="n">
        <v>14.12</v>
      </c>
      <c r="M13" s="7" t="n">
        <v>1.11</v>
      </c>
      <c r="N13" s="7" t="n">
        <v>0.87</v>
      </c>
      <c r="O13" s="7" t="n">
        <v>0</v>
      </c>
      <c r="P13" s="7" t="n">
        <v>83.94</v>
      </c>
      <c r="Q13" s="7" t="n">
        <v>0</v>
      </c>
      <c r="R13" s="7" t="n">
        <v>14.55</v>
      </c>
    </row>
    <row r="14" ht="34" customHeight="1">
      <c r="A14" s="7" t="n">
        <v>12</v>
      </c>
      <c r="B14" s="7" t="n">
        <v>24</v>
      </c>
      <c r="C14" s="7" t="n">
        <v>28</v>
      </c>
      <c r="D14" s="7" t="n">
        <v>0</v>
      </c>
      <c r="E14" s="7" t="n">
        <v>2.0546</v>
      </c>
      <c r="F14" s="7" t="n">
        <v>0.1609</v>
      </c>
      <c r="G14" s="7" t="n">
        <v>0.1261</v>
      </c>
      <c r="H14" s="7" t="n">
        <v>0</v>
      </c>
      <c r="I14" s="7" t="n">
        <v>12.2127</v>
      </c>
      <c r="J14" s="7" t="n">
        <v>0</v>
      </c>
      <c r="K14" s="7" t="n">
        <v>0</v>
      </c>
      <c r="L14" s="7" t="n">
        <v>14.12</v>
      </c>
      <c r="M14" s="7" t="n">
        <v>1.11</v>
      </c>
      <c r="N14" s="7" t="n">
        <v>0.87</v>
      </c>
      <c r="O14" s="7" t="n">
        <v>0</v>
      </c>
      <c r="P14" s="7" t="n">
        <v>83.94</v>
      </c>
      <c r="Q14" s="7" t="n">
        <v>0</v>
      </c>
      <c r="R14" s="7" t="n">
        <v>14.55</v>
      </c>
    </row>
    <row r="15" ht="34" customHeight="1">
      <c r="A15" s="7" t="n">
        <v>13</v>
      </c>
      <c r="B15" s="7" t="n">
        <v>26</v>
      </c>
      <c r="C15" s="7" t="n">
        <v>30</v>
      </c>
      <c r="D15" s="7" t="n">
        <v>0</v>
      </c>
      <c r="E15" s="7" t="n">
        <v>2.0546</v>
      </c>
      <c r="F15" s="7" t="n">
        <v>0.1609</v>
      </c>
      <c r="G15" s="7" t="n">
        <v>0.1261</v>
      </c>
      <c r="H15" s="7" t="n">
        <v>0</v>
      </c>
      <c r="I15" s="7" t="n">
        <v>31.6021</v>
      </c>
      <c r="J15" s="7" t="n">
        <v>0</v>
      </c>
      <c r="K15" s="7" t="n">
        <v>0</v>
      </c>
      <c r="L15" s="7" t="n">
        <v>6.05</v>
      </c>
      <c r="M15" s="7" t="n">
        <v>0.47</v>
      </c>
      <c r="N15" s="7" t="n">
        <v>0.37</v>
      </c>
      <c r="O15" s="7" t="n">
        <v>0</v>
      </c>
      <c r="P15" s="7" t="n">
        <v>93.11</v>
      </c>
      <c r="Q15" s="7" t="n">
        <v>0</v>
      </c>
      <c r="R15" s="7" t="n">
        <v>33.94</v>
      </c>
    </row>
    <row r="16" ht="34" customHeight="1">
      <c r="A16" s="7" t="n">
        <v>14</v>
      </c>
      <c r="B16" s="7" t="n">
        <v>28</v>
      </c>
      <c r="C16" s="7" t="n">
        <v>32</v>
      </c>
      <c r="D16" s="7" t="n">
        <v>0</v>
      </c>
      <c r="E16" s="7" t="n">
        <v>2.0546</v>
      </c>
      <c r="F16" s="7" t="n">
        <v>1.4763</v>
      </c>
      <c r="G16" s="7" t="n">
        <v>0.1261</v>
      </c>
      <c r="H16" s="7" t="n">
        <v>0</v>
      </c>
      <c r="I16" s="7" t="n">
        <v>12.2127</v>
      </c>
      <c r="J16" s="7" t="n">
        <v>0</v>
      </c>
      <c r="K16" s="7" t="n">
        <v>0</v>
      </c>
      <c r="L16" s="7" t="n">
        <v>12.95</v>
      </c>
      <c r="M16" s="7" t="n">
        <v>9.300000000000001</v>
      </c>
      <c r="N16" s="7" t="n">
        <v>0.79</v>
      </c>
      <c r="O16" s="7" t="n">
        <v>0</v>
      </c>
      <c r="P16" s="7" t="n">
        <v>76.95</v>
      </c>
      <c r="Q16" s="7" t="n">
        <v>0</v>
      </c>
      <c r="R16" s="7" t="n">
        <v>15.87</v>
      </c>
    </row>
    <row r="17" ht="34" customHeight="1">
      <c r="A17" s="7" t="n">
        <v>15</v>
      </c>
      <c r="B17" s="7" t="n">
        <v>30</v>
      </c>
      <c r="C17" s="7" t="n">
        <v>34</v>
      </c>
      <c r="D17" s="7" t="n">
        <v>0</v>
      </c>
      <c r="E17" s="7" t="n">
        <v>3.0251</v>
      </c>
      <c r="F17" s="7" t="n">
        <v>1.4763</v>
      </c>
      <c r="G17" s="7" t="n">
        <v>0.1261</v>
      </c>
      <c r="H17" s="7" t="n">
        <v>0.7999000000000001</v>
      </c>
      <c r="I17" s="7" t="n">
        <v>12.2127</v>
      </c>
      <c r="J17" s="7" t="n">
        <v>0</v>
      </c>
      <c r="K17" s="7" t="n">
        <v>0</v>
      </c>
      <c r="L17" s="7" t="n">
        <v>17.15</v>
      </c>
      <c r="M17" s="7" t="n">
        <v>8.369999999999999</v>
      </c>
      <c r="N17" s="7" t="n">
        <v>0.71</v>
      </c>
      <c r="O17" s="7" t="n">
        <v>4.53</v>
      </c>
      <c r="P17" s="7" t="n">
        <v>69.23</v>
      </c>
      <c r="Q17" s="7" t="n">
        <v>0</v>
      </c>
      <c r="R17" s="7" t="n">
        <v>17.64</v>
      </c>
    </row>
    <row r="18" ht="34" customHeight="1">
      <c r="A18" s="7" t="n">
        <v>16</v>
      </c>
      <c r="B18" s="7" t="n">
        <v>32</v>
      </c>
      <c r="C18" s="7" t="n">
        <v>36</v>
      </c>
      <c r="D18" s="7" t="n">
        <v>0</v>
      </c>
      <c r="E18" s="7" t="n">
        <v>2.0546</v>
      </c>
      <c r="F18" s="7" t="n">
        <v>1.4763</v>
      </c>
      <c r="G18" s="7" t="n">
        <v>0.1261</v>
      </c>
      <c r="H18" s="7" t="n">
        <v>0</v>
      </c>
      <c r="I18" s="7" t="n">
        <v>31.6021</v>
      </c>
      <c r="J18" s="7" t="n">
        <v>0</v>
      </c>
      <c r="K18" s="7" t="n">
        <v>0</v>
      </c>
      <c r="L18" s="7" t="n">
        <v>5.83</v>
      </c>
      <c r="M18" s="7" t="n">
        <v>4.19</v>
      </c>
      <c r="N18" s="7" t="n">
        <v>0.36</v>
      </c>
      <c r="O18" s="7" t="n">
        <v>0</v>
      </c>
      <c r="P18" s="7" t="n">
        <v>89.63</v>
      </c>
      <c r="Q18" s="7" t="n">
        <v>0</v>
      </c>
      <c r="R18" s="7" t="n">
        <v>35.26</v>
      </c>
    </row>
    <row r="19" ht="34" customHeight="1">
      <c r="A19" s="7" t="n">
        <v>17</v>
      </c>
      <c r="B19" s="7" t="n">
        <v>34</v>
      </c>
      <c r="C19" s="7" t="n">
        <v>38</v>
      </c>
      <c r="D19" s="7" t="n">
        <v>0</v>
      </c>
      <c r="E19" s="7" t="n">
        <v>3.0251</v>
      </c>
      <c r="F19" s="7" t="n">
        <v>4.4886</v>
      </c>
      <c r="G19" s="7" t="n">
        <v>0.1261</v>
      </c>
      <c r="H19" s="7" t="n">
        <v>0</v>
      </c>
      <c r="I19" s="7" t="n">
        <v>34.3149</v>
      </c>
      <c r="J19" s="7" t="n">
        <v>0</v>
      </c>
      <c r="K19" s="7" t="n">
        <v>0</v>
      </c>
      <c r="L19" s="7" t="n">
        <v>7.21</v>
      </c>
      <c r="M19" s="7" t="n">
        <v>10.7</v>
      </c>
      <c r="N19" s="7" t="n">
        <v>0.3</v>
      </c>
      <c r="O19" s="7" t="n">
        <v>0</v>
      </c>
      <c r="P19" s="7" t="n">
        <v>81.8</v>
      </c>
      <c r="Q19" s="7" t="n">
        <v>0</v>
      </c>
      <c r="R19" s="7" t="n">
        <v>41.95</v>
      </c>
    </row>
    <row r="20" ht="34" customHeight="1">
      <c r="A20" s="7" t="n">
        <v>18</v>
      </c>
      <c r="B20" s="7" t="n">
        <v>36</v>
      </c>
      <c r="C20" s="7" t="n">
        <v>40</v>
      </c>
      <c r="D20" s="7" t="n">
        <v>0</v>
      </c>
      <c r="E20" s="7" t="n">
        <v>2.0546</v>
      </c>
      <c r="F20" s="7" t="n">
        <v>5.3912</v>
      </c>
      <c r="G20" s="7" t="n">
        <v>0.1261</v>
      </c>
      <c r="H20" s="7" t="n">
        <v>0</v>
      </c>
      <c r="I20" s="7" t="n">
        <v>34.3149</v>
      </c>
      <c r="J20" s="7" t="n">
        <v>0</v>
      </c>
      <c r="K20" s="7" t="n">
        <v>0</v>
      </c>
      <c r="L20" s="7" t="n">
        <v>4.9</v>
      </c>
      <c r="M20" s="7" t="n">
        <v>12.87</v>
      </c>
      <c r="N20" s="7" t="n">
        <v>0.3</v>
      </c>
      <c r="O20" s="7" t="n">
        <v>0</v>
      </c>
      <c r="P20" s="7" t="n">
        <v>81.92</v>
      </c>
      <c r="Q20" s="7" t="n">
        <v>0</v>
      </c>
      <c r="R20" s="7" t="n">
        <v>41.89</v>
      </c>
    </row>
    <row r="21" ht="34" customHeight="1">
      <c r="A21" s="7" t="n">
        <v>19</v>
      </c>
      <c r="B21" s="7" t="n">
        <v>38</v>
      </c>
      <c r="C21" s="7" t="n">
        <v>42</v>
      </c>
      <c r="D21" s="7" t="n">
        <v>0</v>
      </c>
      <c r="E21" s="7" t="n">
        <v>3.0251</v>
      </c>
      <c r="F21" s="7" t="n">
        <v>4.4886</v>
      </c>
      <c r="G21" s="7" t="n">
        <v>0.1261</v>
      </c>
      <c r="H21" s="7" t="n">
        <v>0.7999000000000001</v>
      </c>
      <c r="I21" s="7" t="n">
        <v>34.3149</v>
      </c>
      <c r="J21" s="7" t="n">
        <v>0.3598</v>
      </c>
      <c r="K21" s="7" t="n">
        <v>0</v>
      </c>
      <c r="L21" s="7" t="n">
        <v>7.02</v>
      </c>
      <c r="M21" s="7" t="n">
        <v>10.41</v>
      </c>
      <c r="N21" s="7" t="n">
        <v>0.29</v>
      </c>
      <c r="O21" s="7" t="n">
        <v>1.86</v>
      </c>
      <c r="P21" s="7" t="n">
        <v>79.59999999999999</v>
      </c>
      <c r="Q21" s="7" t="n">
        <v>0.83</v>
      </c>
      <c r="R21" s="7" t="n">
        <v>43.11</v>
      </c>
    </row>
    <row r="22" ht="34" customHeight="1">
      <c r="A22" s="7" t="n">
        <v>20</v>
      </c>
      <c r="B22" s="7" t="n">
        <v>40</v>
      </c>
      <c r="C22" s="7" t="n">
        <v>44</v>
      </c>
      <c r="D22" s="7" t="n">
        <v>0</v>
      </c>
      <c r="E22" s="7" t="n">
        <v>2.0546</v>
      </c>
      <c r="F22" s="7" t="n">
        <v>4.4886</v>
      </c>
      <c r="G22" s="7" t="n">
        <v>0.1261</v>
      </c>
      <c r="H22" s="7" t="n">
        <v>0</v>
      </c>
      <c r="I22" s="7" t="n">
        <v>31.6021</v>
      </c>
      <c r="J22" s="7" t="n">
        <v>0</v>
      </c>
      <c r="K22" s="7" t="n">
        <v>0</v>
      </c>
      <c r="L22" s="7" t="n">
        <v>5.37</v>
      </c>
      <c r="M22" s="7" t="n">
        <v>11.73</v>
      </c>
      <c r="N22" s="7" t="n">
        <v>0.33</v>
      </c>
      <c r="O22" s="7" t="n">
        <v>0</v>
      </c>
      <c r="P22" s="7" t="n">
        <v>82.58</v>
      </c>
      <c r="Q22" s="7" t="n">
        <v>0</v>
      </c>
      <c r="R22" s="7" t="n">
        <v>38.27</v>
      </c>
    </row>
    <row r="23" ht="34" customHeight="1">
      <c r="A23" s="7" t="n">
        <v>21</v>
      </c>
      <c r="B23" s="7" t="n">
        <v>42</v>
      </c>
      <c r="C23" s="7" t="n">
        <v>46</v>
      </c>
      <c r="D23" s="7" t="n">
        <v>0</v>
      </c>
      <c r="E23" s="7" t="n">
        <v>3.0251</v>
      </c>
      <c r="F23" s="7" t="n">
        <v>5.3912</v>
      </c>
      <c r="G23" s="7" t="n">
        <v>0.1261</v>
      </c>
      <c r="H23" s="7" t="n">
        <v>0.7999000000000001</v>
      </c>
      <c r="I23" s="7" t="n">
        <v>31.6021</v>
      </c>
      <c r="J23" s="7" t="n">
        <v>0.3598</v>
      </c>
      <c r="K23" s="7" t="n">
        <v>0</v>
      </c>
      <c r="L23" s="7" t="n">
        <v>7.32</v>
      </c>
      <c r="M23" s="7" t="n">
        <v>13.05</v>
      </c>
      <c r="N23" s="7" t="n">
        <v>0.31</v>
      </c>
      <c r="O23" s="7" t="n">
        <v>1.94</v>
      </c>
      <c r="P23" s="7" t="n">
        <v>76.52</v>
      </c>
      <c r="Q23" s="7" t="n">
        <v>0.87</v>
      </c>
      <c r="R23" s="7" t="n">
        <v>41.3</v>
      </c>
    </row>
    <row r="24" ht="34" customHeight="1">
      <c r="A24" s="7" t="n">
        <v>22</v>
      </c>
      <c r="B24" s="7" t="n">
        <v>44</v>
      </c>
      <c r="C24" s="7" t="n">
        <v>48</v>
      </c>
      <c r="D24" s="7" t="n">
        <v>0</v>
      </c>
      <c r="E24" s="7" t="n">
        <v>2.0546</v>
      </c>
      <c r="F24" s="7" t="n">
        <v>5.3912</v>
      </c>
      <c r="G24" s="7" t="n">
        <v>0.1261</v>
      </c>
      <c r="H24" s="7" t="n">
        <v>0</v>
      </c>
      <c r="I24" s="7" t="n">
        <v>0.9169</v>
      </c>
      <c r="J24" s="7" t="n">
        <v>0</v>
      </c>
      <c r="K24" s="7" t="n">
        <v>0</v>
      </c>
      <c r="L24" s="7" t="n">
        <v>24.2</v>
      </c>
      <c r="M24" s="7" t="n">
        <v>63.5</v>
      </c>
      <c r="N24" s="7" t="n">
        <v>1.49</v>
      </c>
      <c r="O24" s="7" t="n">
        <v>0</v>
      </c>
      <c r="P24" s="7" t="n">
        <v>10.8</v>
      </c>
      <c r="Q24" s="7" t="n">
        <v>0</v>
      </c>
      <c r="R24" s="7" t="n">
        <v>8.49</v>
      </c>
    </row>
    <row r="25" ht="34" customHeight="1">
      <c r="A25" s="7" t="n">
        <v>23</v>
      </c>
      <c r="B25" s="7" t="n">
        <v>46</v>
      </c>
      <c r="C25" s="7" t="n">
        <v>50</v>
      </c>
      <c r="D25" s="7" t="n">
        <v>0</v>
      </c>
      <c r="E25" s="7" t="n">
        <v>2.0546</v>
      </c>
      <c r="F25" s="7" t="n">
        <v>4.4886</v>
      </c>
      <c r="G25" s="7" t="n">
        <v>0.1261</v>
      </c>
      <c r="H25" s="7" t="n">
        <v>0</v>
      </c>
      <c r="I25" s="7" t="n">
        <v>12.2127</v>
      </c>
      <c r="J25" s="7" t="n">
        <v>0</v>
      </c>
      <c r="K25" s="7" t="n">
        <v>0</v>
      </c>
      <c r="L25" s="7" t="n">
        <v>10.88</v>
      </c>
      <c r="M25" s="7" t="n">
        <v>23.77</v>
      </c>
      <c r="N25" s="7" t="n">
        <v>0.67</v>
      </c>
      <c r="O25" s="7" t="n">
        <v>0</v>
      </c>
      <c r="P25" s="7" t="n">
        <v>64.69</v>
      </c>
      <c r="Q25" s="7" t="n">
        <v>0</v>
      </c>
      <c r="R25" s="7" t="n">
        <v>18.88</v>
      </c>
    </row>
    <row r="26" ht="34" customHeight="1">
      <c r="A26" s="7" t="n">
        <v>24</v>
      </c>
      <c r="B26" s="7" t="n">
        <v>48</v>
      </c>
      <c r="C26" s="7" t="n">
        <v>52</v>
      </c>
      <c r="D26" s="7" t="n">
        <v>0</v>
      </c>
      <c r="E26" s="7" t="n">
        <v>2.0546</v>
      </c>
      <c r="F26" s="7" t="n">
        <v>1.4763</v>
      </c>
      <c r="G26" s="7" t="n">
        <v>0.1261</v>
      </c>
      <c r="H26" s="7" t="n">
        <v>0</v>
      </c>
      <c r="I26" s="7" t="n">
        <v>12.2127</v>
      </c>
      <c r="J26" s="7" t="n">
        <v>0</v>
      </c>
      <c r="K26" s="7" t="n">
        <v>0</v>
      </c>
      <c r="L26" s="7" t="n">
        <v>12.95</v>
      </c>
      <c r="M26" s="7" t="n">
        <v>9.300000000000001</v>
      </c>
      <c r="N26" s="7" t="n">
        <v>0.79</v>
      </c>
      <c r="O26" s="7" t="n">
        <v>0</v>
      </c>
      <c r="P26" s="7" t="n">
        <v>76.95</v>
      </c>
      <c r="Q26" s="7" t="n">
        <v>0</v>
      </c>
      <c r="R26" s="7" t="n">
        <v>15.87</v>
      </c>
    </row>
    <row r="27" ht="34" customHeight="1">
      <c r="A27" s="7" t="n">
        <v>25</v>
      </c>
      <c r="B27" s="7" t="n">
        <v>50</v>
      </c>
      <c r="C27" s="7" t="n">
        <v>54</v>
      </c>
      <c r="D27" s="7" t="n">
        <v>0</v>
      </c>
      <c r="E27" s="7" t="n">
        <v>2.0546</v>
      </c>
      <c r="F27" s="7" t="n">
        <v>1.4763</v>
      </c>
      <c r="G27" s="7" t="n">
        <v>0.1261</v>
      </c>
      <c r="H27" s="7" t="n">
        <v>0</v>
      </c>
      <c r="I27" s="7" t="n">
        <v>0.9169</v>
      </c>
      <c r="J27" s="7" t="n">
        <v>0</v>
      </c>
      <c r="K27" s="7" t="n">
        <v>0</v>
      </c>
      <c r="L27" s="7" t="n">
        <v>44.96</v>
      </c>
      <c r="M27" s="7" t="n">
        <v>32.3</v>
      </c>
      <c r="N27" s="7" t="n">
        <v>2.76</v>
      </c>
      <c r="O27" s="7" t="n">
        <v>0</v>
      </c>
      <c r="P27" s="7" t="n">
        <v>20.06</v>
      </c>
      <c r="Q27" s="7" t="n">
        <v>0</v>
      </c>
      <c r="R27" s="7" t="n">
        <v>4.57</v>
      </c>
    </row>
    <row r="28" ht="34" customHeight="1">
      <c r="A28" s="7" t="n">
        <v>26</v>
      </c>
      <c r="B28" s="7" t="n">
        <v>52</v>
      </c>
      <c r="C28" s="7" t="n">
        <v>56</v>
      </c>
      <c r="D28" s="7" t="n">
        <v>0</v>
      </c>
      <c r="E28" s="7" t="n">
        <v>2.0546</v>
      </c>
      <c r="F28" s="7" t="n">
        <v>4.4886</v>
      </c>
      <c r="G28" s="7" t="n">
        <v>0.1261</v>
      </c>
      <c r="H28" s="7" t="n">
        <v>0.7999000000000001</v>
      </c>
      <c r="I28" s="7" t="n">
        <v>12.2127</v>
      </c>
      <c r="J28" s="7" t="n">
        <v>0.3598</v>
      </c>
      <c r="K28" s="7" t="n">
        <v>0</v>
      </c>
      <c r="L28" s="7" t="n">
        <v>10.25</v>
      </c>
      <c r="M28" s="7" t="n">
        <v>22.4</v>
      </c>
      <c r="N28" s="7" t="n">
        <v>0.63</v>
      </c>
      <c r="O28" s="7" t="n">
        <v>3.99</v>
      </c>
      <c r="P28" s="7" t="n">
        <v>60.94</v>
      </c>
      <c r="Q28" s="7" t="n">
        <v>1.8</v>
      </c>
      <c r="R28" s="7" t="n">
        <v>20.04</v>
      </c>
    </row>
    <row r="29" ht="34" customHeight="1">
      <c r="A29" s="7" t="n">
        <v>27</v>
      </c>
      <c r="B29" s="7" t="n">
        <v>54</v>
      </c>
      <c r="C29" s="7" t="n">
        <v>58</v>
      </c>
      <c r="D29" s="7" t="n">
        <v>2.7725</v>
      </c>
      <c r="E29" s="7" t="n">
        <v>2.0546</v>
      </c>
      <c r="F29" s="7" t="n">
        <v>4.4886</v>
      </c>
      <c r="G29" s="7" t="n">
        <v>0.1261</v>
      </c>
      <c r="H29" s="7" t="n">
        <v>0.7999000000000001</v>
      </c>
      <c r="I29" s="7" t="n">
        <v>0.9169</v>
      </c>
      <c r="J29" s="7" t="n">
        <v>0.3598</v>
      </c>
      <c r="K29" s="7" t="n">
        <v>24.07</v>
      </c>
      <c r="L29" s="7" t="n">
        <v>17.84</v>
      </c>
      <c r="M29" s="7" t="n">
        <v>38.96</v>
      </c>
      <c r="N29" s="7" t="n">
        <v>1.09</v>
      </c>
      <c r="O29" s="7" t="n">
        <v>6.94</v>
      </c>
      <c r="P29" s="7" t="n">
        <v>7.96</v>
      </c>
      <c r="Q29" s="7" t="n">
        <v>3.12</v>
      </c>
      <c r="R29" s="7" t="n">
        <v>11.52</v>
      </c>
    </row>
    <row r="30" ht="34" customHeight="1">
      <c r="A30" s="7" t="n">
        <v>28</v>
      </c>
      <c r="B30" s="7" t="n">
        <v>56</v>
      </c>
      <c r="C30" s="7" t="n">
        <v>60</v>
      </c>
      <c r="D30" s="7" t="n">
        <v>0</v>
      </c>
      <c r="E30" s="7" t="n">
        <v>2.0546</v>
      </c>
      <c r="F30" s="7" t="n">
        <v>1.4763</v>
      </c>
      <c r="G30" s="7" t="n">
        <v>0.1261</v>
      </c>
      <c r="H30" s="7" t="n">
        <v>0</v>
      </c>
      <c r="I30" s="7" t="n">
        <v>0.9169</v>
      </c>
      <c r="J30" s="7" t="n">
        <v>0</v>
      </c>
      <c r="K30" s="7" t="n">
        <v>0</v>
      </c>
      <c r="L30" s="7" t="n">
        <v>44.96</v>
      </c>
      <c r="M30" s="7" t="n">
        <v>32.3</v>
      </c>
      <c r="N30" s="7" t="n">
        <v>2.76</v>
      </c>
      <c r="O30" s="7" t="n">
        <v>0</v>
      </c>
      <c r="P30" s="7" t="n">
        <v>20.06</v>
      </c>
      <c r="Q30" s="7" t="n">
        <v>0</v>
      </c>
      <c r="R30" s="7" t="n">
        <v>4.57</v>
      </c>
    </row>
    <row r="31" ht="34" customHeight="1">
      <c r="A31" s="7" t="n">
        <v>29</v>
      </c>
      <c r="B31" s="7" t="n">
        <v>58</v>
      </c>
      <c r="C31" s="7" t="n">
        <v>62</v>
      </c>
      <c r="D31" s="7" t="n">
        <v>0</v>
      </c>
      <c r="E31" s="7" t="n">
        <v>2.0546</v>
      </c>
      <c r="F31" s="7" t="n">
        <v>1.4763</v>
      </c>
      <c r="G31" s="7" t="n">
        <v>0.1261</v>
      </c>
      <c r="H31" s="7" t="n">
        <v>0.7999000000000001</v>
      </c>
      <c r="I31" s="7" t="n">
        <v>0.9169</v>
      </c>
      <c r="J31" s="7" t="n">
        <v>0.3598</v>
      </c>
      <c r="K31" s="7" t="n">
        <v>0</v>
      </c>
      <c r="L31" s="7" t="n">
        <v>35.86</v>
      </c>
      <c r="M31" s="7" t="n">
        <v>25.76</v>
      </c>
      <c r="N31" s="7" t="n">
        <v>2.2</v>
      </c>
      <c r="O31" s="7" t="n">
        <v>13.96</v>
      </c>
      <c r="P31" s="7" t="n">
        <v>16</v>
      </c>
      <c r="Q31" s="7" t="n">
        <v>6.28</v>
      </c>
      <c r="R31" s="7" t="n">
        <v>5.73</v>
      </c>
    </row>
    <row r="32" ht="34" customHeight="1">
      <c r="A32" s="7" t="n">
        <v>30</v>
      </c>
      <c r="B32" s="7" t="n">
        <v>60</v>
      </c>
      <c r="C32" s="7" t="n">
        <v>62.533</v>
      </c>
      <c r="D32" s="7" t="n">
        <v>0</v>
      </c>
      <c r="E32" s="7" t="n">
        <v>0</v>
      </c>
      <c r="F32" s="7" t="n">
        <v>0.1609</v>
      </c>
      <c r="G32" s="7" t="n">
        <v>0.1261</v>
      </c>
      <c r="H32" s="7" t="n">
        <v>0</v>
      </c>
      <c r="I32" s="7" t="n">
        <v>0.9169</v>
      </c>
      <c r="J32" s="7" t="n">
        <v>0</v>
      </c>
      <c r="K32" s="7" t="n">
        <v>0</v>
      </c>
      <c r="L32" s="7" t="n">
        <v>0</v>
      </c>
      <c r="M32" s="7" t="n">
        <v>13.41</v>
      </c>
      <c r="N32" s="7" t="n">
        <v>10.51</v>
      </c>
      <c r="O32" s="7" t="n">
        <v>0</v>
      </c>
      <c r="P32" s="7" t="n">
        <v>76.41</v>
      </c>
      <c r="Q32" s="7" t="n">
        <v>0</v>
      </c>
      <c r="R32" s="7" t="n">
        <v>1.2</v>
      </c>
    </row>
    <row r="33" ht="34" customHeight="1">
      <c r="A33" s="7" t="n">
        <v>31</v>
      </c>
      <c r="B33" s="7" t="n">
        <v>62</v>
      </c>
      <c r="C33" s="7" t="n">
        <v>62.533</v>
      </c>
      <c r="D33" s="7" t="n">
        <v>0</v>
      </c>
      <c r="E33" s="7" t="n">
        <v>0</v>
      </c>
      <c r="F33" s="7" t="n">
        <v>0.1609</v>
      </c>
      <c r="G33" s="7" t="n">
        <v>0.1261</v>
      </c>
      <c r="H33" s="7" t="n">
        <v>0</v>
      </c>
      <c r="I33" s="7" t="n">
        <v>0.9169</v>
      </c>
      <c r="J33" s="7" t="n">
        <v>0</v>
      </c>
      <c r="K33" s="7" t="n">
        <v>0</v>
      </c>
      <c r="L33" s="7" t="n">
        <v>0</v>
      </c>
      <c r="M33" s="7" t="n">
        <v>13.41</v>
      </c>
      <c r="N33" s="7" t="n">
        <v>10.51</v>
      </c>
      <c r="O33" s="7" t="n">
        <v>0</v>
      </c>
      <c r="P33" s="7" t="n">
        <v>76.41</v>
      </c>
      <c r="Q33" s="7" t="n">
        <v>0</v>
      </c>
      <c r="R33" s="7" t="n">
        <v>1.2</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J225"/>
  <sheetViews>
    <sheetView showGridLines="1" zoomScale="80" workbookViewId="0">
      <pane ySplit="1" topLeftCell="A2" activePane="bottomLeft" state="frozen"/>
      <selection pane="bottomLeft" activeCell="A1" sqref="A1"/>
    </sheetView>
  </sheetViews>
  <sheetFormatPr baseColWidth="8" defaultRowHeight="15"/>
  <cols>
    <col width="6" customWidth="1" min="1" max="1"/>
    <col width="7" customWidth="1" min="2" max="2"/>
    <col width="7" customWidth="1" min="3" max="3"/>
    <col width="10" customWidth="1" min="4" max="4"/>
    <col width="12" customWidth="1" min="5" max="5"/>
    <col width="6" customWidth="1" min="6" max="6"/>
    <col width="12" customWidth="1" min="7" max="7"/>
    <col width="7" customWidth="1" min="8" max="8"/>
    <col width="12" customWidth="1" min="9" max="9"/>
    <col width="12" customWidth="1" min="10" max="10"/>
  </cols>
  <sheetData>
    <row r="1" ht="16" customHeight="1">
      <c r="A1" s="6" t="inlineStr">
        <is>
          <t>window_id</t>
        </is>
      </c>
      <c r="B1" s="6" t="inlineStr">
        <is>
          <t>start_time_s</t>
        </is>
      </c>
      <c r="C1" s="6" t="inlineStr">
        <is>
          <t>end_time_s</t>
        </is>
      </c>
      <c r="D1" s="6" t="inlineStr">
        <is>
          <t>risk_code</t>
        </is>
      </c>
      <c r="E1" s="6" t="inlineStr">
        <is>
          <t>risk_label</t>
        </is>
      </c>
      <c r="F1" s="6" t="inlineStr">
        <is>
          <t>raw</t>
        </is>
      </c>
      <c r="G1" s="6" t="inlineStr">
        <is>
          <t>transformed</t>
        </is>
      </c>
      <c r="H1" s="6" t="inlineStr">
        <is>
          <t>weight</t>
        </is>
      </c>
      <c r="I1" s="6" t="inlineStr">
        <is>
          <t>contribution</t>
        </is>
      </c>
      <c r="J1" s="6" t="inlineStr">
        <is>
          <t>contribution_pct</t>
        </is>
      </c>
    </row>
    <row r="2" ht="34" customHeight="1">
      <c r="A2" s="7" t="n">
        <v>0</v>
      </c>
      <c r="B2" s="7" t="n">
        <v>0</v>
      </c>
      <c r="C2" s="7" t="n">
        <v>4</v>
      </c>
      <c r="D2" s="7" t="inlineStr">
        <is>
          <t>S1</t>
        </is>
      </c>
      <c r="E2" s="7" t="inlineStr">
        <is>
          <t>Interferenza tra persone e mezzi di movimentazione negli spazi comuni</t>
        </is>
      </c>
      <c r="F2" s="7" t="n">
        <v>0</v>
      </c>
      <c r="G2" s="7" t="n">
        <v>0</v>
      </c>
      <c r="H2" s="7" t="n">
        <v>0.1109</v>
      </c>
      <c r="I2" s="7" t="n">
        <v>0</v>
      </c>
      <c r="J2" s="7" t="n">
        <v>0</v>
      </c>
    </row>
    <row r="3" ht="34" customHeight="1">
      <c r="A3" s="7" t="n">
        <v>0</v>
      </c>
      <c r="B3" s="7" t="n">
        <v>0</v>
      </c>
      <c r="C3" s="7" t="n">
        <v>4</v>
      </c>
      <c r="D3" s="7" t="inlineStr">
        <is>
          <t>S2</t>
        </is>
      </c>
      <c r="E3" s="7" t="inlineStr">
        <is>
          <t>Riduzione della visibilità durante lo svolgimento di un'attività</t>
        </is>
      </c>
      <c r="F3" s="7" t="n">
        <v>0.25</v>
      </c>
      <c r="G3" s="7" t="n">
        <v>0.5553</v>
      </c>
      <c r="H3" s="7" t="n">
        <v>0.037</v>
      </c>
      <c r="I3" s="7" t="n">
        <v>2.0546</v>
      </c>
      <c r="J3" s="7" t="n">
        <v>5.83</v>
      </c>
    </row>
    <row r="4" ht="34" customHeight="1">
      <c r="A4" s="7" t="n">
        <v>0</v>
      </c>
      <c r="B4" s="7" t="n">
        <v>0</v>
      </c>
      <c r="C4" s="7" t="n">
        <v>4</v>
      </c>
      <c r="D4" s="7" t="inlineStr">
        <is>
          <t>S3</t>
        </is>
      </c>
      <c r="E4" s="7" t="inlineStr">
        <is>
          <t>Comportamenti non conformi durante lo svolgimento di un'attività</t>
        </is>
      </c>
      <c r="F4" s="7" t="n">
        <v>0.25</v>
      </c>
      <c r="G4" s="7" t="n">
        <v>0.2689</v>
      </c>
      <c r="H4" s="7" t="n">
        <v>0.0549</v>
      </c>
      <c r="I4" s="7" t="n">
        <v>1.4763</v>
      </c>
      <c r="J4" s="7" t="n">
        <v>4.19</v>
      </c>
    </row>
    <row r="5" ht="34" customHeight="1">
      <c r="A5" s="7" t="n">
        <v>0</v>
      </c>
      <c r="B5" s="7" t="n">
        <v>0</v>
      </c>
      <c r="C5" s="7" t="n">
        <v>4</v>
      </c>
      <c r="D5" s="7" t="inlineStr">
        <is>
          <t>S4</t>
        </is>
      </c>
      <c r="E5" s="7" t="inlineStr">
        <is>
          <t>Interferenza tra mezzo e infrastrutture interne all'impianto</t>
        </is>
      </c>
      <c r="F5" s="7" t="n">
        <v>0</v>
      </c>
      <c r="G5" s="7" t="n">
        <v>0.008200000000000001</v>
      </c>
      <c r="H5" s="7" t="n">
        <v>0.1538</v>
      </c>
      <c r="I5" s="7" t="n">
        <v>0.1261</v>
      </c>
      <c r="J5" s="7" t="n">
        <v>0.36</v>
      </c>
    </row>
    <row r="6" ht="34" customHeight="1">
      <c r="A6" s="7" t="n">
        <v>0</v>
      </c>
      <c r="B6" s="7" t="n">
        <v>0</v>
      </c>
      <c r="C6" s="7" t="n">
        <v>4</v>
      </c>
      <c r="D6" s="7" t="inlineStr">
        <is>
          <t>S5</t>
        </is>
      </c>
      <c r="E6" s="7" t="inlineStr">
        <is>
          <t>Instabilità di elementi strutturali o di stoccaggio soggetti a urto o sovraccarico</t>
        </is>
      </c>
      <c r="F6" s="7" t="n">
        <v>0</v>
      </c>
      <c r="G6" s="7" t="n">
        <v>0</v>
      </c>
      <c r="H6" s="7" t="n">
        <v>0.2228</v>
      </c>
      <c r="I6" s="7" t="n">
        <v>0</v>
      </c>
      <c r="J6" s="7" t="n">
        <v>0</v>
      </c>
    </row>
    <row r="7" ht="34" customHeight="1">
      <c r="A7" s="7" t="n">
        <v>0</v>
      </c>
      <c r="B7" s="7" t="n">
        <v>0</v>
      </c>
      <c r="C7" s="7" t="n">
        <v>4</v>
      </c>
      <c r="D7" s="7" t="inlineStr">
        <is>
          <t>S6</t>
        </is>
      </c>
      <c r="E7" s="7" t="inlineStr">
        <is>
          <t>Accesso a organi meccanici in movimento durante operazioni manuali</t>
        </is>
      </c>
      <c r="F7" s="7" t="n">
        <v>0.5</v>
      </c>
      <c r="G7" s="7" t="n">
        <v>0.9167999999999999</v>
      </c>
      <c r="H7" s="7" t="n">
        <v>0.3447</v>
      </c>
      <c r="I7" s="7" t="n">
        <v>31.6021</v>
      </c>
      <c r="J7" s="7" t="n">
        <v>89.63</v>
      </c>
    </row>
    <row r="8" ht="34" customHeight="1">
      <c r="A8" s="7" t="n">
        <v>0</v>
      </c>
      <c r="B8" s="7" t="n">
        <v>0</v>
      </c>
      <c r="C8" s="7" t="n">
        <v>4</v>
      </c>
      <c r="D8" s="7" t="inlineStr">
        <is>
          <t>S7</t>
        </is>
      </c>
      <c r="E8" s="7" t="inlineStr">
        <is>
          <t>Movimentazione manuale di carichi pesanti o instabili senza ausili meccanici adeguati</t>
        </is>
      </c>
      <c r="F8" s="7" t="n">
        <v>0</v>
      </c>
      <c r="G8" s="7" t="n">
        <v>0</v>
      </c>
      <c r="H8" s="7" t="n">
        <v>0.0759</v>
      </c>
      <c r="I8" s="7" t="n">
        <v>0</v>
      </c>
      <c r="J8" s="7" t="n">
        <v>0</v>
      </c>
    </row>
    <row r="9" ht="34" customHeight="1">
      <c r="A9" s="7" t="n">
        <v>1</v>
      </c>
      <c r="B9" s="7" t="n">
        <v>2</v>
      </c>
      <c r="C9" s="7" t="n">
        <v>6</v>
      </c>
      <c r="D9" s="7" t="inlineStr">
        <is>
          <t>S1</t>
        </is>
      </c>
      <c r="E9" s="7" t="inlineStr">
        <is>
          <t>Interferenza tra persone e mezzi di movimentazione negli spazi comuni</t>
        </is>
      </c>
      <c r="F9" s="7" t="n">
        <v>0</v>
      </c>
      <c r="G9" s="7" t="n">
        <v>0</v>
      </c>
      <c r="H9" s="7" t="n">
        <v>0.1109</v>
      </c>
      <c r="I9" s="7" t="n">
        <v>0</v>
      </c>
      <c r="J9" s="7" t="n">
        <v>0</v>
      </c>
    </row>
    <row r="10" ht="34" customHeight="1">
      <c r="A10" s="7" t="n">
        <v>1</v>
      </c>
      <c r="B10" s="7" t="n">
        <v>2</v>
      </c>
      <c r="C10" s="7" t="n">
        <v>6</v>
      </c>
      <c r="D10" s="7" t="inlineStr">
        <is>
          <t>S2</t>
        </is>
      </c>
      <c r="E10" s="7" t="inlineStr">
        <is>
          <t>Riduzione della visibilità durante lo svolgimento di un'attività</t>
        </is>
      </c>
      <c r="F10" s="7" t="n">
        <v>0.25</v>
      </c>
      <c r="G10" s="7" t="n">
        <v>0.5553</v>
      </c>
      <c r="H10" s="7" t="n">
        <v>0.037</v>
      </c>
      <c r="I10" s="7" t="n">
        <v>2.0546</v>
      </c>
      <c r="J10" s="7" t="n">
        <v>4.9</v>
      </c>
    </row>
    <row r="11" ht="34" customHeight="1">
      <c r="A11" s="7" t="n">
        <v>1</v>
      </c>
      <c r="B11" s="7" t="n">
        <v>2</v>
      </c>
      <c r="C11" s="7" t="n">
        <v>6</v>
      </c>
      <c r="D11" s="7" t="inlineStr">
        <is>
          <t>S3</t>
        </is>
      </c>
      <c r="E11" s="7" t="inlineStr">
        <is>
          <t>Comportamenti non conformi durante lo svolgimento di un'attività</t>
        </is>
      </c>
      <c r="F11" s="7" t="n">
        <v>0.75</v>
      </c>
      <c r="G11" s="7" t="n">
        <v>0.982</v>
      </c>
      <c r="H11" s="7" t="n">
        <v>0.0549</v>
      </c>
      <c r="I11" s="7" t="n">
        <v>5.3912</v>
      </c>
      <c r="J11" s="7" t="n">
        <v>12.87</v>
      </c>
    </row>
    <row r="12" ht="34" customHeight="1">
      <c r="A12" s="7" t="n">
        <v>1</v>
      </c>
      <c r="B12" s="7" t="n">
        <v>2</v>
      </c>
      <c r="C12" s="7" t="n">
        <v>6</v>
      </c>
      <c r="D12" s="7" t="inlineStr">
        <is>
          <t>S4</t>
        </is>
      </c>
      <c r="E12" s="7" t="inlineStr">
        <is>
          <t>Interferenza tra mezzo e infrastrutture interne all'impianto</t>
        </is>
      </c>
      <c r="F12" s="7" t="n">
        <v>0</v>
      </c>
      <c r="G12" s="7" t="n">
        <v>0.008200000000000001</v>
      </c>
      <c r="H12" s="7" t="n">
        <v>0.1538</v>
      </c>
      <c r="I12" s="7" t="n">
        <v>0.1261</v>
      </c>
      <c r="J12" s="7" t="n">
        <v>0.3</v>
      </c>
    </row>
    <row r="13" ht="34" customHeight="1">
      <c r="A13" s="7" t="n">
        <v>1</v>
      </c>
      <c r="B13" s="7" t="n">
        <v>2</v>
      </c>
      <c r="C13" s="7" t="n">
        <v>6</v>
      </c>
      <c r="D13" s="7" t="inlineStr">
        <is>
          <t>S5</t>
        </is>
      </c>
      <c r="E13" s="7" t="inlineStr">
        <is>
          <t>Instabilità di elementi strutturali o di stoccaggio soggetti a urto o sovraccarico</t>
        </is>
      </c>
      <c r="F13" s="7" t="n">
        <v>0</v>
      </c>
      <c r="G13" s="7" t="n">
        <v>0</v>
      </c>
      <c r="H13" s="7" t="n">
        <v>0.2228</v>
      </c>
      <c r="I13" s="7" t="n">
        <v>0</v>
      </c>
      <c r="J13" s="7" t="n">
        <v>0</v>
      </c>
    </row>
    <row r="14" ht="34" customHeight="1">
      <c r="A14" s="7" t="n">
        <v>1</v>
      </c>
      <c r="B14" s="7" t="n">
        <v>2</v>
      </c>
      <c r="C14" s="7" t="n">
        <v>6</v>
      </c>
      <c r="D14" s="7" t="inlineStr">
        <is>
          <t>S6</t>
        </is>
      </c>
      <c r="E14" s="7" t="inlineStr">
        <is>
          <t>Accesso a organi meccanici in movimento durante operazioni manuali</t>
        </is>
      </c>
      <c r="F14" s="7" t="n">
        <v>0.75</v>
      </c>
      <c r="G14" s="7" t="n">
        <v>0.9955000000000001</v>
      </c>
      <c r="H14" s="7" t="n">
        <v>0.3447</v>
      </c>
      <c r="I14" s="7" t="n">
        <v>34.3149</v>
      </c>
      <c r="J14" s="7" t="n">
        <v>81.92</v>
      </c>
    </row>
    <row r="15" ht="34" customHeight="1">
      <c r="A15" s="7" t="n">
        <v>1</v>
      </c>
      <c r="B15" s="7" t="n">
        <v>2</v>
      </c>
      <c r="C15" s="7" t="n">
        <v>6</v>
      </c>
      <c r="D15" s="7" t="inlineStr">
        <is>
          <t>S7</t>
        </is>
      </c>
      <c r="E15" s="7" t="inlineStr">
        <is>
          <t>Movimentazione manuale di carichi pesanti o instabili senza ausili meccanici adeguati</t>
        </is>
      </c>
      <c r="F15" s="7" t="n">
        <v>0</v>
      </c>
      <c r="G15" s="7" t="n">
        <v>0</v>
      </c>
      <c r="H15" s="7" t="n">
        <v>0.0759</v>
      </c>
      <c r="I15" s="7" t="n">
        <v>0</v>
      </c>
      <c r="J15" s="7" t="n">
        <v>0</v>
      </c>
    </row>
    <row r="16" ht="34" customHeight="1">
      <c r="A16" s="7" t="n">
        <v>2</v>
      </c>
      <c r="B16" s="7" t="n">
        <v>4</v>
      </c>
      <c r="C16" s="7" t="n">
        <v>8</v>
      </c>
      <c r="D16" s="7" t="inlineStr">
        <is>
          <t>S1</t>
        </is>
      </c>
      <c r="E16" s="7" t="inlineStr">
        <is>
          <t>Interferenza tra persone e mezzi di movimentazione negli spazi comuni</t>
        </is>
      </c>
      <c r="F16" s="7" t="n">
        <v>0</v>
      </c>
      <c r="G16" s="7" t="n">
        <v>0</v>
      </c>
      <c r="H16" s="7" t="n">
        <v>0.1109</v>
      </c>
      <c r="I16" s="7" t="n">
        <v>0</v>
      </c>
      <c r="J16" s="7" t="n">
        <v>0</v>
      </c>
    </row>
    <row r="17" ht="34" customHeight="1">
      <c r="A17" s="7" t="n">
        <v>2</v>
      </c>
      <c r="B17" s="7" t="n">
        <v>4</v>
      </c>
      <c r="C17" s="7" t="n">
        <v>8</v>
      </c>
      <c r="D17" s="7" t="inlineStr">
        <is>
          <t>S2</t>
        </is>
      </c>
      <c r="E17" s="7" t="inlineStr">
        <is>
          <t>Riduzione della visibilità durante lo svolgimento di un'attività</t>
        </is>
      </c>
      <c r="F17" s="7" t="n">
        <v>0.25</v>
      </c>
      <c r="G17" s="7" t="n">
        <v>0.5553</v>
      </c>
      <c r="H17" s="7" t="n">
        <v>0.037</v>
      </c>
      <c r="I17" s="7" t="n">
        <v>2.0546</v>
      </c>
      <c r="J17" s="7" t="n">
        <v>4.9</v>
      </c>
    </row>
    <row r="18" ht="34" customHeight="1">
      <c r="A18" s="7" t="n">
        <v>2</v>
      </c>
      <c r="B18" s="7" t="n">
        <v>4</v>
      </c>
      <c r="C18" s="7" t="n">
        <v>8</v>
      </c>
      <c r="D18" s="7" t="inlineStr">
        <is>
          <t>S3</t>
        </is>
      </c>
      <c r="E18" s="7" t="inlineStr">
        <is>
          <t>Comportamenti non conformi durante lo svolgimento di un'attività</t>
        </is>
      </c>
      <c r="F18" s="7" t="n">
        <v>0.75</v>
      </c>
      <c r="G18" s="7" t="n">
        <v>0.982</v>
      </c>
      <c r="H18" s="7" t="n">
        <v>0.0549</v>
      </c>
      <c r="I18" s="7" t="n">
        <v>5.3912</v>
      </c>
      <c r="J18" s="7" t="n">
        <v>12.87</v>
      </c>
    </row>
    <row r="19" ht="34" customHeight="1">
      <c r="A19" s="7" t="n">
        <v>2</v>
      </c>
      <c r="B19" s="7" t="n">
        <v>4</v>
      </c>
      <c r="C19" s="7" t="n">
        <v>8</v>
      </c>
      <c r="D19" s="7" t="inlineStr">
        <is>
          <t>S4</t>
        </is>
      </c>
      <c r="E19" s="7" t="inlineStr">
        <is>
          <t>Interferenza tra mezzo e infrastrutture interne all'impianto</t>
        </is>
      </c>
      <c r="F19" s="7" t="n">
        <v>0</v>
      </c>
      <c r="G19" s="7" t="n">
        <v>0.008200000000000001</v>
      </c>
      <c r="H19" s="7" t="n">
        <v>0.1538</v>
      </c>
      <c r="I19" s="7" t="n">
        <v>0.1261</v>
      </c>
      <c r="J19" s="7" t="n">
        <v>0.3</v>
      </c>
    </row>
    <row r="20" ht="34" customHeight="1">
      <c r="A20" s="7" t="n">
        <v>2</v>
      </c>
      <c r="B20" s="7" t="n">
        <v>4</v>
      </c>
      <c r="C20" s="7" t="n">
        <v>8</v>
      </c>
      <c r="D20" s="7" t="inlineStr">
        <is>
          <t>S5</t>
        </is>
      </c>
      <c r="E20" s="7" t="inlineStr">
        <is>
          <t>Instabilità di elementi strutturali o di stoccaggio soggetti a urto o sovraccarico</t>
        </is>
      </c>
      <c r="F20" s="7" t="n">
        <v>0</v>
      </c>
      <c r="G20" s="7" t="n">
        <v>0</v>
      </c>
      <c r="H20" s="7" t="n">
        <v>0.2228</v>
      </c>
      <c r="I20" s="7" t="n">
        <v>0</v>
      </c>
      <c r="J20" s="7" t="n">
        <v>0</v>
      </c>
    </row>
    <row r="21" ht="34" customHeight="1">
      <c r="A21" s="7" t="n">
        <v>2</v>
      </c>
      <c r="B21" s="7" t="n">
        <v>4</v>
      </c>
      <c r="C21" s="7" t="n">
        <v>8</v>
      </c>
      <c r="D21" s="7" t="inlineStr">
        <is>
          <t>S6</t>
        </is>
      </c>
      <c r="E21" s="7" t="inlineStr">
        <is>
          <t>Accesso a organi meccanici in movimento durante operazioni manuali</t>
        </is>
      </c>
      <c r="F21" s="7" t="n">
        <v>0.75</v>
      </c>
      <c r="G21" s="7" t="n">
        <v>0.9955000000000001</v>
      </c>
      <c r="H21" s="7" t="n">
        <v>0.3447</v>
      </c>
      <c r="I21" s="7" t="n">
        <v>34.3149</v>
      </c>
      <c r="J21" s="7" t="n">
        <v>81.92</v>
      </c>
    </row>
    <row r="22" ht="34" customHeight="1">
      <c r="A22" s="7" t="n">
        <v>2</v>
      </c>
      <c r="B22" s="7" t="n">
        <v>4</v>
      </c>
      <c r="C22" s="7" t="n">
        <v>8</v>
      </c>
      <c r="D22" s="7" t="inlineStr">
        <is>
          <t>S7</t>
        </is>
      </c>
      <c r="E22" s="7" t="inlineStr">
        <is>
          <t>Movimentazione manuale di carichi pesanti o instabili senza ausili meccanici adeguati</t>
        </is>
      </c>
      <c r="F22" s="7" t="n">
        <v>0</v>
      </c>
      <c r="G22" s="7" t="n">
        <v>0</v>
      </c>
      <c r="H22" s="7" t="n">
        <v>0.0759</v>
      </c>
      <c r="I22" s="7" t="n">
        <v>0</v>
      </c>
      <c r="J22" s="7" t="n">
        <v>0</v>
      </c>
    </row>
    <row r="23" ht="34" customHeight="1">
      <c r="A23" s="7" t="n">
        <v>3</v>
      </c>
      <c r="B23" s="7" t="n">
        <v>6</v>
      </c>
      <c r="C23" s="7" t="n">
        <v>10</v>
      </c>
      <c r="D23" s="7" t="inlineStr">
        <is>
          <t>S1</t>
        </is>
      </c>
      <c r="E23" s="7" t="inlineStr">
        <is>
          <t>Interferenza tra persone e mezzi di movimentazione negli spazi comuni</t>
        </is>
      </c>
      <c r="F23" s="7" t="n">
        <v>0</v>
      </c>
      <c r="G23" s="7" t="n">
        <v>0</v>
      </c>
      <c r="H23" s="7" t="n">
        <v>0.1109</v>
      </c>
      <c r="I23" s="7" t="n">
        <v>0</v>
      </c>
      <c r="J23" s="7" t="n">
        <v>0</v>
      </c>
    </row>
    <row r="24" ht="34" customHeight="1">
      <c r="A24" s="7" t="n">
        <v>3</v>
      </c>
      <c r="B24" s="7" t="n">
        <v>6</v>
      </c>
      <c r="C24" s="7" t="n">
        <v>10</v>
      </c>
      <c r="D24" s="7" t="inlineStr">
        <is>
          <t>S2</t>
        </is>
      </c>
      <c r="E24" s="7" t="inlineStr">
        <is>
          <t>Riduzione della visibilità durante lo svolgimento di un'attività</t>
        </is>
      </c>
      <c r="F24" s="7" t="n">
        <v>0.25</v>
      </c>
      <c r="G24" s="7" t="n">
        <v>0.5553</v>
      </c>
      <c r="H24" s="7" t="n">
        <v>0.037</v>
      </c>
      <c r="I24" s="7" t="n">
        <v>2.0546</v>
      </c>
      <c r="J24" s="7" t="n">
        <v>5.37</v>
      </c>
    </row>
    <row r="25" ht="34" customHeight="1">
      <c r="A25" s="7" t="n">
        <v>3</v>
      </c>
      <c r="B25" s="7" t="n">
        <v>6</v>
      </c>
      <c r="C25" s="7" t="n">
        <v>10</v>
      </c>
      <c r="D25" s="7" t="inlineStr">
        <is>
          <t>S3</t>
        </is>
      </c>
      <c r="E25" s="7" t="inlineStr">
        <is>
          <t>Comportamenti non conformi durante lo svolgimento di un'attività</t>
        </is>
      </c>
      <c r="F25" s="7" t="n">
        <v>0.5</v>
      </c>
      <c r="G25" s="7" t="n">
        <v>0.8176</v>
      </c>
      <c r="H25" s="7" t="n">
        <v>0.0549</v>
      </c>
      <c r="I25" s="7" t="n">
        <v>4.4886</v>
      </c>
      <c r="J25" s="7" t="n">
        <v>11.73</v>
      </c>
    </row>
    <row r="26" ht="34" customHeight="1">
      <c r="A26" s="7" t="n">
        <v>3</v>
      </c>
      <c r="B26" s="7" t="n">
        <v>6</v>
      </c>
      <c r="C26" s="7" t="n">
        <v>10</v>
      </c>
      <c r="D26" s="7" t="inlineStr">
        <is>
          <t>S4</t>
        </is>
      </c>
      <c r="E26" s="7" t="inlineStr">
        <is>
          <t>Interferenza tra mezzo e infrastrutture interne all'impianto</t>
        </is>
      </c>
      <c r="F26" s="7" t="n">
        <v>0</v>
      </c>
      <c r="G26" s="7" t="n">
        <v>0.008200000000000001</v>
      </c>
      <c r="H26" s="7" t="n">
        <v>0.1538</v>
      </c>
      <c r="I26" s="7" t="n">
        <v>0.1261</v>
      </c>
      <c r="J26" s="7" t="n">
        <v>0.33</v>
      </c>
    </row>
    <row r="27" ht="34" customHeight="1">
      <c r="A27" s="7" t="n">
        <v>3</v>
      </c>
      <c r="B27" s="7" t="n">
        <v>6</v>
      </c>
      <c r="C27" s="7" t="n">
        <v>10</v>
      </c>
      <c r="D27" s="7" t="inlineStr">
        <is>
          <t>S5</t>
        </is>
      </c>
      <c r="E27" s="7" t="inlineStr">
        <is>
          <t>Instabilità di elementi strutturali o di stoccaggio soggetti a urto o sovraccarico</t>
        </is>
      </c>
      <c r="F27" s="7" t="n">
        <v>0</v>
      </c>
      <c r="G27" s="7" t="n">
        <v>0</v>
      </c>
      <c r="H27" s="7" t="n">
        <v>0.2228</v>
      </c>
      <c r="I27" s="7" t="n">
        <v>0</v>
      </c>
      <c r="J27" s="7" t="n">
        <v>0</v>
      </c>
    </row>
    <row r="28" ht="34" customHeight="1">
      <c r="A28" s="7" t="n">
        <v>3</v>
      </c>
      <c r="B28" s="7" t="n">
        <v>6</v>
      </c>
      <c r="C28" s="7" t="n">
        <v>10</v>
      </c>
      <c r="D28" s="7" t="inlineStr">
        <is>
          <t>S6</t>
        </is>
      </c>
      <c r="E28" s="7" t="inlineStr">
        <is>
          <t>Accesso a organi meccanici in movimento durante operazioni manuali</t>
        </is>
      </c>
      <c r="F28" s="7" t="n">
        <v>0.5</v>
      </c>
      <c r="G28" s="7" t="n">
        <v>0.9167999999999999</v>
      </c>
      <c r="H28" s="7" t="n">
        <v>0.3447</v>
      </c>
      <c r="I28" s="7" t="n">
        <v>31.6021</v>
      </c>
      <c r="J28" s="7" t="n">
        <v>82.58</v>
      </c>
    </row>
    <row r="29" ht="34" customHeight="1">
      <c r="A29" s="7" t="n">
        <v>3</v>
      </c>
      <c r="B29" s="7" t="n">
        <v>6</v>
      </c>
      <c r="C29" s="7" t="n">
        <v>10</v>
      </c>
      <c r="D29" s="7" t="inlineStr">
        <is>
          <t>S7</t>
        </is>
      </c>
      <c r="E29" s="7" t="inlineStr">
        <is>
          <t>Movimentazione manuale di carichi pesanti o instabili senza ausili meccanici adeguati</t>
        </is>
      </c>
      <c r="F29" s="7" t="n">
        <v>0</v>
      </c>
      <c r="G29" s="7" t="n">
        <v>0</v>
      </c>
      <c r="H29" s="7" t="n">
        <v>0.0759</v>
      </c>
      <c r="I29" s="7" t="n">
        <v>0</v>
      </c>
      <c r="J29" s="7" t="n">
        <v>0</v>
      </c>
    </row>
    <row r="30" ht="34" customHeight="1">
      <c r="A30" s="7" t="n">
        <v>4</v>
      </c>
      <c r="B30" s="7" t="n">
        <v>8</v>
      </c>
      <c r="C30" s="7" t="n">
        <v>12</v>
      </c>
      <c r="D30" s="7" t="inlineStr">
        <is>
          <t>S1</t>
        </is>
      </c>
      <c r="E30" s="7" t="inlineStr">
        <is>
          <t>Interferenza tra persone e mezzi di movimentazione negli spazi comuni</t>
        </is>
      </c>
      <c r="F30" s="7" t="n">
        <v>0</v>
      </c>
      <c r="G30" s="7" t="n">
        <v>0</v>
      </c>
      <c r="H30" s="7" t="n">
        <v>0.1109</v>
      </c>
      <c r="I30" s="7" t="n">
        <v>0</v>
      </c>
      <c r="J30" s="7" t="n">
        <v>0</v>
      </c>
    </row>
    <row r="31" ht="34" customHeight="1">
      <c r="A31" s="7" t="n">
        <v>4</v>
      </c>
      <c r="B31" s="7" t="n">
        <v>8</v>
      </c>
      <c r="C31" s="7" t="n">
        <v>12</v>
      </c>
      <c r="D31" s="7" t="inlineStr">
        <is>
          <t>S2</t>
        </is>
      </c>
      <c r="E31" s="7" t="inlineStr">
        <is>
          <t>Riduzione della visibilità durante lo svolgimento di un'attività</t>
        </is>
      </c>
      <c r="F31" s="7" t="n">
        <v>0.25</v>
      </c>
      <c r="G31" s="7" t="n">
        <v>0.5553</v>
      </c>
      <c r="H31" s="7" t="n">
        <v>0.037</v>
      </c>
      <c r="I31" s="7" t="n">
        <v>2.0546</v>
      </c>
      <c r="J31" s="7" t="n">
        <v>12.95</v>
      </c>
    </row>
    <row r="32" ht="34" customHeight="1">
      <c r="A32" s="7" t="n">
        <v>4</v>
      </c>
      <c r="B32" s="7" t="n">
        <v>8</v>
      </c>
      <c r="C32" s="7" t="n">
        <v>12</v>
      </c>
      <c r="D32" s="7" t="inlineStr">
        <is>
          <t>S3</t>
        </is>
      </c>
      <c r="E32" s="7" t="inlineStr">
        <is>
          <t>Comportamenti non conformi durante lo svolgimento di un'attività</t>
        </is>
      </c>
      <c r="F32" s="7" t="n">
        <v>0.25</v>
      </c>
      <c r="G32" s="7" t="n">
        <v>0.2689</v>
      </c>
      <c r="H32" s="7" t="n">
        <v>0.0549</v>
      </c>
      <c r="I32" s="7" t="n">
        <v>1.4763</v>
      </c>
      <c r="J32" s="7" t="n">
        <v>9.300000000000001</v>
      </c>
    </row>
    <row r="33" ht="34" customHeight="1">
      <c r="A33" s="7" t="n">
        <v>4</v>
      </c>
      <c r="B33" s="7" t="n">
        <v>8</v>
      </c>
      <c r="C33" s="7" t="n">
        <v>12</v>
      </c>
      <c r="D33" s="7" t="inlineStr">
        <is>
          <t>S4</t>
        </is>
      </c>
      <c r="E33" s="7" t="inlineStr">
        <is>
          <t>Interferenza tra mezzo e infrastrutture interne all'impianto</t>
        </is>
      </c>
      <c r="F33" s="7" t="n">
        <v>0</v>
      </c>
      <c r="G33" s="7" t="n">
        <v>0.008200000000000001</v>
      </c>
      <c r="H33" s="7" t="n">
        <v>0.1538</v>
      </c>
      <c r="I33" s="7" t="n">
        <v>0.1261</v>
      </c>
      <c r="J33" s="7" t="n">
        <v>0.79</v>
      </c>
    </row>
    <row r="34" ht="34" customHeight="1">
      <c r="A34" s="7" t="n">
        <v>4</v>
      </c>
      <c r="B34" s="7" t="n">
        <v>8</v>
      </c>
      <c r="C34" s="7" t="n">
        <v>12</v>
      </c>
      <c r="D34" s="7" t="inlineStr">
        <is>
          <t>S5</t>
        </is>
      </c>
      <c r="E34" s="7" t="inlineStr">
        <is>
          <t>Instabilità di elementi strutturali o di stoccaggio soggetti a urto o sovraccarico</t>
        </is>
      </c>
      <c r="F34" s="7" t="n">
        <v>0</v>
      </c>
      <c r="G34" s="7" t="n">
        <v>0</v>
      </c>
      <c r="H34" s="7" t="n">
        <v>0.2228</v>
      </c>
      <c r="I34" s="7" t="n">
        <v>0</v>
      </c>
      <c r="J34" s="7" t="n">
        <v>0</v>
      </c>
    </row>
    <row r="35" ht="34" customHeight="1">
      <c r="A35" s="7" t="n">
        <v>4</v>
      </c>
      <c r="B35" s="7" t="n">
        <v>8</v>
      </c>
      <c r="C35" s="7" t="n">
        <v>12</v>
      </c>
      <c r="D35" s="7" t="inlineStr">
        <is>
          <t>S6</t>
        </is>
      </c>
      <c r="E35" s="7" t="inlineStr">
        <is>
          <t>Accesso a organi meccanici in movimento durante operazioni manuali</t>
        </is>
      </c>
      <c r="F35" s="7" t="n">
        <v>0.25</v>
      </c>
      <c r="G35" s="7" t="n">
        <v>0.3543</v>
      </c>
      <c r="H35" s="7" t="n">
        <v>0.3447</v>
      </c>
      <c r="I35" s="7" t="n">
        <v>12.2127</v>
      </c>
      <c r="J35" s="7" t="n">
        <v>76.95</v>
      </c>
    </row>
    <row r="36" ht="34" customHeight="1">
      <c r="A36" s="7" t="n">
        <v>4</v>
      </c>
      <c r="B36" s="7" t="n">
        <v>8</v>
      </c>
      <c r="C36" s="7" t="n">
        <v>12</v>
      </c>
      <c r="D36" s="7" t="inlineStr">
        <is>
          <t>S7</t>
        </is>
      </c>
      <c r="E36" s="7" t="inlineStr">
        <is>
          <t>Movimentazione manuale di carichi pesanti o instabili senza ausili meccanici adeguati</t>
        </is>
      </c>
      <c r="F36" s="7" t="n">
        <v>0</v>
      </c>
      <c r="G36" s="7" t="n">
        <v>0</v>
      </c>
      <c r="H36" s="7" t="n">
        <v>0.0759</v>
      </c>
      <c r="I36" s="7" t="n">
        <v>0</v>
      </c>
      <c r="J36" s="7" t="n">
        <v>0</v>
      </c>
    </row>
    <row r="37" ht="34" customHeight="1">
      <c r="A37" s="7" t="n">
        <v>5</v>
      </c>
      <c r="B37" s="7" t="n">
        <v>10</v>
      </c>
      <c r="C37" s="7" t="n">
        <v>14</v>
      </c>
      <c r="D37" s="7" t="inlineStr">
        <is>
          <t>S1</t>
        </is>
      </c>
      <c r="E37" s="7" t="inlineStr">
        <is>
          <t>Interferenza tra persone e mezzi di movimentazione negli spazi comuni</t>
        </is>
      </c>
      <c r="F37" s="7" t="n">
        <v>0</v>
      </c>
      <c r="G37" s="7" t="n">
        <v>0</v>
      </c>
      <c r="H37" s="7" t="n">
        <v>0.1109</v>
      </c>
      <c r="I37" s="7" t="n">
        <v>0</v>
      </c>
      <c r="J37" s="7" t="n">
        <v>0</v>
      </c>
    </row>
    <row r="38" ht="34" customHeight="1">
      <c r="A38" s="7" t="n">
        <v>5</v>
      </c>
      <c r="B38" s="7" t="n">
        <v>10</v>
      </c>
      <c r="C38" s="7" t="n">
        <v>14</v>
      </c>
      <c r="D38" s="7" t="inlineStr">
        <is>
          <t>S2</t>
        </is>
      </c>
      <c r="E38" s="7" t="inlineStr">
        <is>
          <t>Riduzione della visibilità durante lo svolgimento di un'attività</t>
        </is>
      </c>
      <c r="F38" s="7" t="n">
        <v>0.5</v>
      </c>
      <c r="G38" s="7" t="n">
        <v>0.8176</v>
      </c>
      <c r="H38" s="7" t="n">
        <v>0.037</v>
      </c>
      <c r="I38" s="7" t="n">
        <v>3.0251</v>
      </c>
      <c r="J38" s="7" t="n">
        <v>7.49</v>
      </c>
    </row>
    <row r="39" ht="34" customHeight="1">
      <c r="A39" s="7" t="n">
        <v>5</v>
      </c>
      <c r="B39" s="7" t="n">
        <v>10</v>
      </c>
      <c r="C39" s="7" t="n">
        <v>14</v>
      </c>
      <c r="D39" s="7" t="inlineStr">
        <is>
          <t>S3</t>
        </is>
      </c>
      <c r="E39" s="7" t="inlineStr">
        <is>
          <t>Comportamenti non conformi durante lo svolgimento di un'attività</t>
        </is>
      </c>
      <c r="F39" s="7" t="n">
        <v>0.5</v>
      </c>
      <c r="G39" s="7" t="n">
        <v>0.8176</v>
      </c>
      <c r="H39" s="7" t="n">
        <v>0.0549</v>
      </c>
      <c r="I39" s="7" t="n">
        <v>4.4886</v>
      </c>
      <c r="J39" s="7" t="n">
        <v>11.11</v>
      </c>
    </row>
    <row r="40" ht="34" customHeight="1">
      <c r="A40" s="7" t="n">
        <v>5</v>
      </c>
      <c r="B40" s="7" t="n">
        <v>10</v>
      </c>
      <c r="C40" s="7" t="n">
        <v>14</v>
      </c>
      <c r="D40" s="7" t="inlineStr">
        <is>
          <t>S4</t>
        </is>
      </c>
      <c r="E40" s="7" t="inlineStr">
        <is>
          <t>Interferenza tra mezzo e infrastrutture interne all'impianto</t>
        </is>
      </c>
      <c r="F40" s="7" t="n">
        <v>0</v>
      </c>
      <c r="G40" s="7" t="n">
        <v>0.008200000000000001</v>
      </c>
      <c r="H40" s="7" t="n">
        <v>0.1538</v>
      </c>
      <c r="I40" s="7" t="n">
        <v>0.1261</v>
      </c>
      <c r="J40" s="7" t="n">
        <v>0.31</v>
      </c>
    </row>
    <row r="41" ht="34" customHeight="1">
      <c r="A41" s="7" t="n">
        <v>5</v>
      </c>
      <c r="B41" s="7" t="n">
        <v>10</v>
      </c>
      <c r="C41" s="7" t="n">
        <v>14</v>
      </c>
      <c r="D41" s="7" t="inlineStr">
        <is>
          <t>S5</t>
        </is>
      </c>
      <c r="E41" s="7" t="inlineStr">
        <is>
          <t>Instabilità di elementi strutturali o di stoccaggio soggetti a urto o sovraccarico</t>
        </is>
      </c>
      <c r="F41" s="7" t="n">
        <v>0.25</v>
      </c>
      <c r="G41" s="7" t="n">
        <v>0.0359</v>
      </c>
      <c r="H41" s="7" t="n">
        <v>0.2228</v>
      </c>
      <c r="I41" s="7" t="n">
        <v>0.7999000000000001</v>
      </c>
      <c r="J41" s="7" t="n">
        <v>1.98</v>
      </c>
    </row>
    <row r="42" ht="34" customHeight="1">
      <c r="A42" s="7" t="n">
        <v>5</v>
      </c>
      <c r="B42" s="7" t="n">
        <v>10</v>
      </c>
      <c r="C42" s="7" t="n">
        <v>14</v>
      </c>
      <c r="D42" s="7" t="inlineStr">
        <is>
          <t>S6</t>
        </is>
      </c>
      <c r="E42" s="7" t="inlineStr">
        <is>
          <t>Accesso a organi meccanici in movimento durante operazioni manuali</t>
        </is>
      </c>
      <c r="F42" s="7" t="n">
        <v>0.5</v>
      </c>
      <c r="G42" s="7" t="n">
        <v>0.9167999999999999</v>
      </c>
      <c r="H42" s="7" t="n">
        <v>0.3447</v>
      </c>
      <c r="I42" s="7" t="n">
        <v>31.6021</v>
      </c>
      <c r="J42" s="7" t="n">
        <v>78.22</v>
      </c>
    </row>
    <row r="43" ht="34" customHeight="1">
      <c r="A43" s="7" t="n">
        <v>5</v>
      </c>
      <c r="B43" s="7" t="n">
        <v>10</v>
      </c>
      <c r="C43" s="7" t="n">
        <v>14</v>
      </c>
      <c r="D43" s="7" t="inlineStr">
        <is>
          <t>S7</t>
        </is>
      </c>
      <c r="E43" s="7" t="inlineStr">
        <is>
          <t>Movimentazione manuale di carichi pesanti o instabili senza ausili meccanici adeguati</t>
        </is>
      </c>
      <c r="F43" s="7" t="n">
        <v>0.25</v>
      </c>
      <c r="G43" s="7" t="n">
        <v>0.0474</v>
      </c>
      <c r="H43" s="7" t="n">
        <v>0.0759</v>
      </c>
      <c r="I43" s="7" t="n">
        <v>0.3598</v>
      </c>
      <c r="J43" s="7" t="n">
        <v>0.89</v>
      </c>
    </row>
    <row r="44" ht="34" customHeight="1">
      <c r="A44" s="7" t="n">
        <v>6</v>
      </c>
      <c r="B44" s="7" t="n">
        <v>12</v>
      </c>
      <c r="C44" s="7" t="n">
        <v>16</v>
      </c>
      <c r="D44" s="7" t="inlineStr">
        <is>
          <t>S1</t>
        </is>
      </c>
      <c r="E44" s="7" t="inlineStr">
        <is>
          <t>Interferenza tra persone e mezzi di movimentazione negli spazi comuni</t>
        </is>
      </c>
      <c r="F44" s="7" t="n">
        <v>0</v>
      </c>
      <c r="G44" s="7" t="n">
        <v>0</v>
      </c>
      <c r="H44" s="7" t="n">
        <v>0.1109</v>
      </c>
      <c r="I44" s="7" t="n">
        <v>0</v>
      </c>
      <c r="J44" s="7" t="n">
        <v>0</v>
      </c>
    </row>
    <row r="45" ht="34" customHeight="1">
      <c r="A45" s="7" t="n">
        <v>6</v>
      </c>
      <c r="B45" s="7" t="n">
        <v>12</v>
      </c>
      <c r="C45" s="7" t="n">
        <v>16</v>
      </c>
      <c r="D45" s="7" t="inlineStr">
        <is>
          <t>S2</t>
        </is>
      </c>
      <c r="E45" s="7" t="inlineStr">
        <is>
          <t>Riduzione della visibilità durante lo svolgimento di un'attività</t>
        </is>
      </c>
      <c r="F45" s="7" t="n">
        <v>0.25</v>
      </c>
      <c r="G45" s="7" t="n">
        <v>0.5553</v>
      </c>
      <c r="H45" s="7" t="n">
        <v>0.037</v>
      </c>
      <c r="I45" s="7" t="n">
        <v>2.0546</v>
      </c>
      <c r="J45" s="7" t="n">
        <v>10.44</v>
      </c>
    </row>
    <row r="46" ht="34" customHeight="1">
      <c r="A46" s="7" t="n">
        <v>6</v>
      </c>
      <c r="B46" s="7" t="n">
        <v>12</v>
      </c>
      <c r="C46" s="7" t="n">
        <v>16</v>
      </c>
      <c r="D46" s="7" t="inlineStr">
        <is>
          <t>S3</t>
        </is>
      </c>
      <c r="E46" s="7" t="inlineStr">
        <is>
          <t>Comportamenti non conformi durante lo svolgimento di un'attività</t>
        </is>
      </c>
      <c r="F46" s="7" t="n">
        <v>0.5</v>
      </c>
      <c r="G46" s="7" t="n">
        <v>0.8176</v>
      </c>
      <c r="H46" s="7" t="n">
        <v>0.0549</v>
      </c>
      <c r="I46" s="7" t="n">
        <v>4.4886</v>
      </c>
      <c r="J46" s="7" t="n">
        <v>22.81</v>
      </c>
    </row>
    <row r="47" ht="34" customHeight="1">
      <c r="A47" s="7" t="n">
        <v>6</v>
      </c>
      <c r="B47" s="7" t="n">
        <v>12</v>
      </c>
      <c r="C47" s="7" t="n">
        <v>16</v>
      </c>
      <c r="D47" s="7" t="inlineStr">
        <is>
          <t>S4</t>
        </is>
      </c>
      <c r="E47" s="7" t="inlineStr">
        <is>
          <t>Interferenza tra mezzo e infrastrutture interne all'impianto</t>
        </is>
      </c>
      <c r="F47" s="7" t="n">
        <v>0</v>
      </c>
      <c r="G47" s="7" t="n">
        <v>0.008200000000000001</v>
      </c>
      <c r="H47" s="7" t="n">
        <v>0.1538</v>
      </c>
      <c r="I47" s="7" t="n">
        <v>0.1261</v>
      </c>
      <c r="J47" s="7" t="n">
        <v>0.64</v>
      </c>
    </row>
    <row r="48" ht="34" customHeight="1">
      <c r="A48" s="7" t="n">
        <v>6</v>
      </c>
      <c r="B48" s="7" t="n">
        <v>12</v>
      </c>
      <c r="C48" s="7" t="n">
        <v>16</v>
      </c>
      <c r="D48" s="7" t="inlineStr">
        <is>
          <t>S5</t>
        </is>
      </c>
      <c r="E48" s="7" t="inlineStr">
        <is>
          <t>Instabilità di elementi strutturali o di stoccaggio soggetti a urto o sovraccarico</t>
        </is>
      </c>
      <c r="F48" s="7" t="n">
        <v>0.25</v>
      </c>
      <c r="G48" s="7" t="n">
        <v>0.0359</v>
      </c>
      <c r="H48" s="7" t="n">
        <v>0.2228</v>
      </c>
      <c r="I48" s="7" t="n">
        <v>0.7999000000000001</v>
      </c>
      <c r="J48" s="7" t="n">
        <v>4.06</v>
      </c>
    </row>
    <row r="49" ht="34" customHeight="1">
      <c r="A49" s="7" t="n">
        <v>6</v>
      </c>
      <c r="B49" s="7" t="n">
        <v>12</v>
      </c>
      <c r="C49" s="7" t="n">
        <v>16</v>
      </c>
      <c r="D49" s="7" t="inlineStr">
        <is>
          <t>S6</t>
        </is>
      </c>
      <c r="E49" s="7" t="inlineStr">
        <is>
          <t>Accesso a organi meccanici in movimento durante operazioni manuali</t>
        </is>
      </c>
      <c r="F49" s="7" t="n">
        <v>0.25</v>
      </c>
      <c r="G49" s="7" t="n">
        <v>0.3543</v>
      </c>
      <c r="H49" s="7" t="n">
        <v>0.3447</v>
      </c>
      <c r="I49" s="7" t="n">
        <v>12.2127</v>
      </c>
      <c r="J49" s="7" t="n">
        <v>62.06</v>
      </c>
    </row>
    <row r="50" ht="34" customHeight="1">
      <c r="A50" s="7" t="n">
        <v>6</v>
      </c>
      <c r="B50" s="7" t="n">
        <v>12</v>
      </c>
      <c r="C50" s="7" t="n">
        <v>16</v>
      </c>
      <c r="D50" s="7" t="inlineStr">
        <is>
          <t>S7</t>
        </is>
      </c>
      <c r="E50" s="7" t="inlineStr">
        <is>
          <t>Movimentazione manuale di carichi pesanti o instabili senza ausili meccanici adeguati</t>
        </is>
      </c>
      <c r="F50" s="7" t="n">
        <v>0</v>
      </c>
      <c r="G50" s="7" t="n">
        <v>0</v>
      </c>
      <c r="H50" s="7" t="n">
        <v>0.0759</v>
      </c>
      <c r="I50" s="7" t="n">
        <v>0</v>
      </c>
      <c r="J50" s="7" t="n">
        <v>0</v>
      </c>
    </row>
    <row r="51" ht="34" customHeight="1">
      <c r="A51" s="7" t="n">
        <v>7</v>
      </c>
      <c r="B51" s="7" t="n">
        <v>14</v>
      </c>
      <c r="C51" s="7" t="n">
        <v>18</v>
      </c>
      <c r="D51" s="7" t="inlineStr">
        <is>
          <t>S1</t>
        </is>
      </c>
      <c r="E51" s="7" t="inlineStr">
        <is>
          <t>Interferenza tra persone e mezzi di movimentazione negli spazi comuni</t>
        </is>
      </c>
      <c r="F51" s="7" t="n">
        <v>0</v>
      </c>
      <c r="G51" s="7" t="n">
        <v>0</v>
      </c>
      <c r="H51" s="7" t="n">
        <v>0.1109</v>
      </c>
      <c r="I51" s="7" t="n">
        <v>0</v>
      </c>
      <c r="J51" s="7" t="n">
        <v>0</v>
      </c>
    </row>
    <row r="52" ht="34" customHeight="1">
      <c r="A52" s="7" t="n">
        <v>7</v>
      </c>
      <c r="B52" s="7" t="n">
        <v>14</v>
      </c>
      <c r="C52" s="7" t="n">
        <v>18</v>
      </c>
      <c r="D52" s="7" t="inlineStr">
        <is>
          <t>S2</t>
        </is>
      </c>
      <c r="E52" s="7" t="inlineStr">
        <is>
          <t>Riduzione della visibilità durante lo svolgimento di un'attività</t>
        </is>
      </c>
      <c r="F52" s="7" t="n">
        <v>0.25</v>
      </c>
      <c r="G52" s="7" t="n">
        <v>0.5553</v>
      </c>
      <c r="H52" s="7" t="n">
        <v>0.037</v>
      </c>
      <c r="I52" s="7" t="n">
        <v>2.0546</v>
      </c>
      <c r="J52" s="7" t="n">
        <v>63.02</v>
      </c>
    </row>
    <row r="53" ht="34" customHeight="1">
      <c r="A53" s="7" t="n">
        <v>7</v>
      </c>
      <c r="B53" s="7" t="n">
        <v>14</v>
      </c>
      <c r="C53" s="7" t="n">
        <v>18</v>
      </c>
      <c r="D53" s="7" t="inlineStr">
        <is>
          <t>S3</t>
        </is>
      </c>
      <c r="E53" s="7" t="inlineStr">
        <is>
          <t>Comportamenti non conformi durante lo svolgimento di un'attività</t>
        </is>
      </c>
      <c r="F53" s="7" t="n">
        <v>0</v>
      </c>
      <c r="G53" s="7" t="n">
        <v>0.0293</v>
      </c>
      <c r="H53" s="7" t="n">
        <v>0.0549</v>
      </c>
      <c r="I53" s="7" t="n">
        <v>0.1609</v>
      </c>
      <c r="J53" s="7" t="n">
        <v>4.94</v>
      </c>
    </row>
    <row r="54" ht="34" customHeight="1">
      <c r="A54" s="7" t="n">
        <v>7</v>
      </c>
      <c r="B54" s="7" t="n">
        <v>14</v>
      </c>
      <c r="C54" s="7" t="n">
        <v>18</v>
      </c>
      <c r="D54" s="7" t="inlineStr">
        <is>
          <t>S4</t>
        </is>
      </c>
      <c r="E54" s="7" t="inlineStr">
        <is>
          <t>Interferenza tra mezzo e infrastrutture interne all'impianto</t>
        </is>
      </c>
      <c r="F54" s="7" t="n">
        <v>0</v>
      </c>
      <c r="G54" s="7" t="n">
        <v>0.008200000000000001</v>
      </c>
      <c r="H54" s="7" t="n">
        <v>0.1538</v>
      </c>
      <c r="I54" s="7" t="n">
        <v>0.1261</v>
      </c>
      <c r="J54" s="7" t="n">
        <v>3.87</v>
      </c>
    </row>
    <row r="55" ht="34" customHeight="1">
      <c r="A55" s="7" t="n">
        <v>7</v>
      </c>
      <c r="B55" s="7" t="n">
        <v>14</v>
      </c>
      <c r="C55" s="7" t="n">
        <v>18</v>
      </c>
      <c r="D55" s="7" t="inlineStr">
        <is>
          <t>S5</t>
        </is>
      </c>
      <c r="E55" s="7" t="inlineStr">
        <is>
          <t>Instabilità di elementi strutturali o di stoccaggio soggetti a urto o sovraccarico</t>
        </is>
      </c>
      <c r="F55" s="7" t="n">
        <v>0</v>
      </c>
      <c r="G55" s="7" t="n">
        <v>0</v>
      </c>
      <c r="H55" s="7" t="n">
        <v>0.2228</v>
      </c>
      <c r="I55" s="7" t="n">
        <v>0</v>
      </c>
      <c r="J55" s="7" t="n">
        <v>0</v>
      </c>
    </row>
    <row r="56" ht="34" customHeight="1">
      <c r="A56" s="7" t="n">
        <v>7</v>
      </c>
      <c r="B56" s="7" t="n">
        <v>14</v>
      </c>
      <c r="C56" s="7" t="n">
        <v>18</v>
      </c>
      <c r="D56" s="7" t="inlineStr">
        <is>
          <t>S6</t>
        </is>
      </c>
      <c r="E56" s="7" t="inlineStr">
        <is>
          <t>Accesso a organi meccanici in movimento durante operazioni manuali</t>
        </is>
      </c>
      <c r="F56" s="7" t="n">
        <v>0</v>
      </c>
      <c r="G56" s="7" t="n">
        <v>0.0266</v>
      </c>
      <c r="H56" s="7" t="n">
        <v>0.3447</v>
      </c>
      <c r="I56" s="7" t="n">
        <v>0.9169</v>
      </c>
      <c r="J56" s="7" t="n">
        <v>28.13</v>
      </c>
    </row>
    <row r="57" ht="34" customHeight="1">
      <c r="A57" s="7" t="n">
        <v>7</v>
      </c>
      <c r="B57" s="7" t="n">
        <v>14</v>
      </c>
      <c r="C57" s="7" t="n">
        <v>18</v>
      </c>
      <c r="D57" s="7" t="inlineStr">
        <is>
          <t>S7</t>
        </is>
      </c>
      <c r="E57" s="7" t="inlineStr">
        <is>
          <t>Movimentazione manuale di carichi pesanti o instabili senza ausili meccanici adeguati</t>
        </is>
      </c>
      <c r="F57" s="7" t="n">
        <v>0</v>
      </c>
      <c r="G57" s="7" t="n">
        <v>0</v>
      </c>
      <c r="H57" s="7" t="n">
        <v>0.0759</v>
      </c>
      <c r="I57" s="7" t="n">
        <v>0</v>
      </c>
      <c r="J57" s="7" t="n">
        <v>0</v>
      </c>
    </row>
    <row r="58" ht="34" customHeight="1">
      <c r="A58" s="7" t="n">
        <v>8</v>
      </c>
      <c r="B58" s="7" t="n">
        <v>16</v>
      </c>
      <c r="C58" s="7" t="n">
        <v>20</v>
      </c>
      <c r="D58" s="7" t="inlineStr">
        <is>
          <t>S1</t>
        </is>
      </c>
      <c r="E58" s="7" t="inlineStr">
        <is>
          <t>Interferenza tra persone e mezzi di movimentazione negli spazi comuni</t>
        </is>
      </c>
      <c r="F58" s="7" t="n">
        <v>0</v>
      </c>
      <c r="G58" s="7" t="n">
        <v>0</v>
      </c>
      <c r="H58" s="7" t="n">
        <v>0.1109</v>
      </c>
      <c r="I58" s="7" t="n">
        <v>0</v>
      </c>
      <c r="J58" s="7" t="n">
        <v>0</v>
      </c>
    </row>
    <row r="59" ht="34" customHeight="1">
      <c r="A59" s="7" t="n">
        <v>8</v>
      </c>
      <c r="B59" s="7" t="n">
        <v>16</v>
      </c>
      <c r="C59" s="7" t="n">
        <v>20</v>
      </c>
      <c r="D59" s="7" t="inlineStr">
        <is>
          <t>S2</t>
        </is>
      </c>
      <c r="E59" s="7" t="inlineStr">
        <is>
          <t>Riduzione della visibilità durante lo svolgimento di un'attività</t>
        </is>
      </c>
      <c r="F59" s="7" t="n">
        <v>0.25</v>
      </c>
      <c r="G59" s="7" t="n">
        <v>0.5553</v>
      </c>
      <c r="H59" s="7" t="n">
        <v>0.037</v>
      </c>
      <c r="I59" s="7" t="n">
        <v>2.0546</v>
      </c>
      <c r="J59" s="7" t="n">
        <v>44.96</v>
      </c>
    </row>
    <row r="60" ht="34" customHeight="1">
      <c r="A60" s="7" t="n">
        <v>8</v>
      </c>
      <c r="B60" s="7" t="n">
        <v>16</v>
      </c>
      <c r="C60" s="7" t="n">
        <v>20</v>
      </c>
      <c r="D60" s="7" t="inlineStr">
        <is>
          <t>S3</t>
        </is>
      </c>
      <c r="E60" s="7" t="inlineStr">
        <is>
          <t>Comportamenti non conformi durante lo svolgimento di un'attività</t>
        </is>
      </c>
      <c r="F60" s="7" t="n">
        <v>0.25</v>
      </c>
      <c r="G60" s="7" t="n">
        <v>0.2689</v>
      </c>
      <c r="H60" s="7" t="n">
        <v>0.0549</v>
      </c>
      <c r="I60" s="7" t="n">
        <v>1.4763</v>
      </c>
      <c r="J60" s="7" t="n">
        <v>32.3</v>
      </c>
    </row>
    <row r="61" ht="34" customHeight="1">
      <c r="A61" s="7" t="n">
        <v>8</v>
      </c>
      <c r="B61" s="7" t="n">
        <v>16</v>
      </c>
      <c r="C61" s="7" t="n">
        <v>20</v>
      </c>
      <c r="D61" s="7" t="inlineStr">
        <is>
          <t>S4</t>
        </is>
      </c>
      <c r="E61" s="7" t="inlineStr">
        <is>
          <t>Interferenza tra mezzo e infrastrutture interne all'impianto</t>
        </is>
      </c>
      <c r="F61" s="7" t="n">
        <v>0</v>
      </c>
      <c r="G61" s="7" t="n">
        <v>0.008200000000000001</v>
      </c>
      <c r="H61" s="7" t="n">
        <v>0.1538</v>
      </c>
      <c r="I61" s="7" t="n">
        <v>0.1261</v>
      </c>
      <c r="J61" s="7" t="n">
        <v>2.76</v>
      </c>
    </row>
    <row r="62" ht="34" customHeight="1">
      <c r="A62" s="7" t="n">
        <v>8</v>
      </c>
      <c r="B62" s="7" t="n">
        <v>16</v>
      </c>
      <c r="C62" s="7" t="n">
        <v>20</v>
      </c>
      <c r="D62" s="7" t="inlineStr">
        <is>
          <t>S5</t>
        </is>
      </c>
      <c r="E62" s="7" t="inlineStr">
        <is>
          <t>Instabilità di elementi strutturali o di stoccaggio soggetti a urto o sovraccarico</t>
        </is>
      </c>
      <c r="F62" s="7" t="n">
        <v>0</v>
      </c>
      <c r="G62" s="7" t="n">
        <v>0</v>
      </c>
      <c r="H62" s="7" t="n">
        <v>0.2228</v>
      </c>
      <c r="I62" s="7" t="n">
        <v>0</v>
      </c>
      <c r="J62" s="7" t="n">
        <v>0</v>
      </c>
    </row>
    <row r="63" ht="34" customHeight="1">
      <c r="A63" s="7" t="n">
        <v>8</v>
      </c>
      <c r="B63" s="7" t="n">
        <v>16</v>
      </c>
      <c r="C63" s="7" t="n">
        <v>20</v>
      </c>
      <c r="D63" s="7" t="inlineStr">
        <is>
          <t>S6</t>
        </is>
      </c>
      <c r="E63" s="7" t="inlineStr">
        <is>
          <t>Accesso a organi meccanici in movimento durante operazioni manuali</t>
        </is>
      </c>
      <c r="F63" s="7" t="n">
        <v>0</v>
      </c>
      <c r="G63" s="7" t="n">
        <v>0.0266</v>
      </c>
      <c r="H63" s="7" t="n">
        <v>0.3447</v>
      </c>
      <c r="I63" s="7" t="n">
        <v>0.9169</v>
      </c>
      <c r="J63" s="7" t="n">
        <v>20.06</v>
      </c>
    </row>
    <row r="64" ht="34" customHeight="1">
      <c r="A64" s="7" t="n">
        <v>8</v>
      </c>
      <c r="B64" s="7" t="n">
        <v>16</v>
      </c>
      <c r="C64" s="7" t="n">
        <v>20</v>
      </c>
      <c r="D64" s="7" t="inlineStr">
        <is>
          <t>S7</t>
        </is>
      </c>
      <c r="E64" s="7" t="inlineStr">
        <is>
          <t>Movimentazione manuale di carichi pesanti o instabili senza ausili meccanici adeguati</t>
        </is>
      </c>
      <c r="F64" s="7" t="n">
        <v>0</v>
      </c>
      <c r="G64" s="7" t="n">
        <v>0</v>
      </c>
      <c r="H64" s="7" t="n">
        <v>0.0759</v>
      </c>
      <c r="I64" s="7" t="n">
        <v>0</v>
      </c>
      <c r="J64" s="7" t="n">
        <v>0</v>
      </c>
    </row>
    <row r="65" ht="34" customHeight="1">
      <c r="A65" s="7" t="n">
        <v>9</v>
      </c>
      <c r="B65" s="7" t="n">
        <v>18</v>
      </c>
      <c r="C65" s="7" t="n">
        <v>22</v>
      </c>
      <c r="D65" s="7" t="inlineStr">
        <is>
          <t>S1</t>
        </is>
      </c>
      <c r="E65" s="7" t="inlineStr">
        <is>
          <t>Interferenza tra persone e mezzi di movimentazione negli spazi comuni</t>
        </is>
      </c>
      <c r="F65" s="7" t="n">
        <v>0</v>
      </c>
      <c r="G65" s="7" t="n">
        <v>0</v>
      </c>
      <c r="H65" s="7" t="n">
        <v>0.1109</v>
      </c>
      <c r="I65" s="7" t="n">
        <v>0</v>
      </c>
      <c r="J65" s="7" t="n">
        <v>0</v>
      </c>
    </row>
    <row r="66" ht="34" customHeight="1">
      <c r="A66" s="7" t="n">
        <v>9</v>
      </c>
      <c r="B66" s="7" t="n">
        <v>18</v>
      </c>
      <c r="C66" s="7" t="n">
        <v>22</v>
      </c>
      <c r="D66" s="7" t="inlineStr">
        <is>
          <t>S2</t>
        </is>
      </c>
      <c r="E66" s="7" t="inlineStr">
        <is>
          <t>Riduzione della visibilità durante lo svolgimento di un'attività</t>
        </is>
      </c>
      <c r="F66" s="7" t="n">
        <v>0.25</v>
      </c>
      <c r="G66" s="7" t="n">
        <v>0.5553</v>
      </c>
      <c r="H66" s="7" t="n">
        <v>0.037</v>
      </c>
      <c r="I66" s="7" t="n">
        <v>2.0546</v>
      </c>
      <c r="J66" s="7" t="n">
        <v>63.02</v>
      </c>
    </row>
    <row r="67" ht="34" customHeight="1">
      <c r="A67" s="7" t="n">
        <v>9</v>
      </c>
      <c r="B67" s="7" t="n">
        <v>18</v>
      </c>
      <c r="C67" s="7" t="n">
        <v>22</v>
      </c>
      <c r="D67" s="7" t="inlineStr">
        <is>
          <t>S3</t>
        </is>
      </c>
      <c r="E67" s="7" t="inlineStr">
        <is>
          <t>Comportamenti non conformi durante lo svolgimento di un'attività</t>
        </is>
      </c>
      <c r="F67" s="7" t="n">
        <v>0</v>
      </c>
      <c r="G67" s="7" t="n">
        <v>0.0293</v>
      </c>
      <c r="H67" s="7" t="n">
        <v>0.0549</v>
      </c>
      <c r="I67" s="7" t="n">
        <v>0.1609</v>
      </c>
      <c r="J67" s="7" t="n">
        <v>4.94</v>
      </c>
    </row>
    <row r="68" ht="34" customHeight="1">
      <c r="A68" s="7" t="n">
        <v>9</v>
      </c>
      <c r="B68" s="7" t="n">
        <v>18</v>
      </c>
      <c r="C68" s="7" t="n">
        <v>22</v>
      </c>
      <c r="D68" s="7" t="inlineStr">
        <is>
          <t>S4</t>
        </is>
      </c>
      <c r="E68" s="7" t="inlineStr">
        <is>
          <t>Interferenza tra mezzo e infrastrutture interne all'impianto</t>
        </is>
      </c>
      <c r="F68" s="7" t="n">
        <v>0</v>
      </c>
      <c r="G68" s="7" t="n">
        <v>0.008200000000000001</v>
      </c>
      <c r="H68" s="7" t="n">
        <v>0.1538</v>
      </c>
      <c r="I68" s="7" t="n">
        <v>0.1261</v>
      </c>
      <c r="J68" s="7" t="n">
        <v>3.87</v>
      </c>
    </row>
    <row r="69" ht="34" customHeight="1">
      <c r="A69" s="7" t="n">
        <v>9</v>
      </c>
      <c r="B69" s="7" t="n">
        <v>18</v>
      </c>
      <c r="C69" s="7" t="n">
        <v>22</v>
      </c>
      <c r="D69" s="7" t="inlineStr">
        <is>
          <t>S5</t>
        </is>
      </c>
      <c r="E69" s="7" t="inlineStr">
        <is>
          <t>Instabilità di elementi strutturali o di stoccaggio soggetti a urto o sovraccarico</t>
        </is>
      </c>
      <c r="F69" s="7" t="n">
        <v>0</v>
      </c>
      <c r="G69" s="7" t="n">
        <v>0</v>
      </c>
      <c r="H69" s="7" t="n">
        <v>0.2228</v>
      </c>
      <c r="I69" s="7" t="n">
        <v>0</v>
      </c>
      <c r="J69" s="7" t="n">
        <v>0</v>
      </c>
    </row>
    <row r="70" ht="34" customHeight="1">
      <c r="A70" s="7" t="n">
        <v>9</v>
      </c>
      <c r="B70" s="7" t="n">
        <v>18</v>
      </c>
      <c r="C70" s="7" t="n">
        <v>22</v>
      </c>
      <c r="D70" s="7" t="inlineStr">
        <is>
          <t>S6</t>
        </is>
      </c>
      <c r="E70" s="7" t="inlineStr">
        <is>
          <t>Accesso a organi meccanici in movimento durante operazioni manuali</t>
        </is>
      </c>
      <c r="F70" s="7" t="n">
        <v>0</v>
      </c>
      <c r="G70" s="7" t="n">
        <v>0.0266</v>
      </c>
      <c r="H70" s="7" t="n">
        <v>0.3447</v>
      </c>
      <c r="I70" s="7" t="n">
        <v>0.9169</v>
      </c>
      <c r="J70" s="7" t="n">
        <v>28.13</v>
      </c>
    </row>
    <row r="71" ht="34" customHeight="1">
      <c r="A71" s="7" t="n">
        <v>9</v>
      </c>
      <c r="B71" s="7" t="n">
        <v>18</v>
      </c>
      <c r="C71" s="7" t="n">
        <v>22</v>
      </c>
      <c r="D71" s="7" t="inlineStr">
        <is>
          <t>S7</t>
        </is>
      </c>
      <c r="E71" s="7" t="inlineStr">
        <is>
          <t>Movimentazione manuale di carichi pesanti o instabili senza ausili meccanici adeguati</t>
        </is>
      </c>
      <c r="F71" s="7" t="n">
        <v>0</v>
      </c>
      <c r="G71" s="7" t="n">
        <v>0</v>
      </c>
      <c r="H71" s="7" t="n">
        <v>0.0759</v>
      </c>
      <c r="I71" s="7" t="n">
        <v>0</v>
      </c>
      <c r="J71" s="7" t="n">
        <v>0</v>
      </c>
    </row>
    <row r="72" ht="34" customHeight="1">
      <c r="A72" s="7" t="n">
        <v>10</v>
      </c>
      <c r="B72" s="7" t="n">
        <v>20</v>
      </c>
      <c r="C72" s="7" t="n">
        <v>24</v>
      </c>
      <c r="D72" s="7" t="inlineStr">
        <is>
          <t>S1</t>
        </is>
      </c>
      <c r="E72" s="7" t="inlineStr">
        <is>
          <t>Interferenza tra persone e mezzi di movimentazione negli spazi comuni</t>
        </is>
      </c>
      <c r="F72" s="7" t="n">
        <v>0</v>
      </c>
      <c r="G72" s="7" t="n">
        <v>0</v>
      </c>
      <c r="H72" s="7" t="n">
        <v>0.1109</v>
      </c>
      <c r="I72" s="7" t="n">
        <v>0</v>
      </c>
      <c r="J72" s="7" t="n">
        <v>0</v>
      </c>
    </row>
    <row r="73" ht="34" customHeight="1">
      <c r="A73" s="7" t="n">
        <v>10</v>
      </c>
      <c r="B73" s="7" t="n">
        <v>20</v>
      </c>
      <c r="C73" s="7" t="n">
        <v>24</v>
      </c>
      <c r="D73" s="7" t="inlineStr">
        <is>
          <t>S2</t>
        </is>
      </c>
      <c r="E73" s="7" t="inlineStr">
        <is>
          <t>Riduzione della visibilità durante lo svolgimento di un'attività</t>
        </is>
      </c>
      <c r="F73" s="7" t="n">
        <v>0.25</v>
      </c>
      <c r="G73" s="7" t="n">
        <v>0.5553</v>
      </c>
      <c r="H73" s="7" t="n">
        <v>0.037</v>
      </c>
      <c r="I73" s="7" t="n">
        <v>2.0546</v>
      </c>
      <c r="J73" s="7" t="n">
        <v>14.12</v>
      </c>
    </row>
    <row r="74" ht="34" customHeight="1">
      <c r="A74" s="7" t="n">
        <v>10</v>
      </c>
      <c r="B74" s="7" t="n">
        <v>20</v>
      </c>
      <c r="C74" s="7" t="n">
        <v>24</v>
      </c>
      <c r="D74" s="7" t="inlineStr">
        <is>
          <t>S3</t>
        </is>
      </c>
      <c r="E74" s="7" t="inlineStr">
        <is>
          <t>Comportamenti non conformi durante lo svolgimento di un'attività</t>
        </is>
      </c>
      <c r="F74" s="7" t="n">
        <v>0</v>
      </c>
      <c r="G74" s="7" t="n">
        <v>0.0293</v>
      </c>
      <c r="H74" s="7" t="n">
        <v>0.0549</v>
      </c>
      <c r="I74" s="7" t="n">
        <v>0.1609</v>
      </c>
      <c r="J74" s="7" t="n">
        <v>1.11</v>
      </c>
    </row>
    <row r="75" ht="34" customHeight="1">
      <c r="A75" s="7" t="n">
        <v>10</v>
      </c>
      <c r="B75" s="7" t="n">
        <v>20</v>
      </c>
      <c r="C75" s="7" t="n">
        <v>24</v>
      </c>
      <c r="D75" s="7" t="inlineStr">
        <is>
          <t>S4</t>
        </is>
      </c>
      <c r="E75" s="7" t="inlineStr">
        <is>
          <t>Interferenza tra mezzo e infrastrutture interne all'impianto</t>
        </is>
      </c>
      <c r="F75" s="7" t="n">
        <v>0</v>
      </c>
      <c r="G75" s="7" t="n">
        <v>0.008200000000000001</v>
      </c>
      <c r="H75" s="7" t="n">
        <v>0.1538</v>
      </c>
      <c r="I75" s="7" t="n">
        <v>0.1261</v>
      </c>
      <c r="J75" s="7" t="n">
        <v>0.87</v>
      </c>
    </row>
    <row r="76" ht="34" customHeight="1">
      <c r="A76" s="7" t="n">
        <v>10</v>
      </c>
      <c r="B76" s="7" t="n">
        <v>20</v>
      </c>
      <c r="C76" s="7" t="n">
        <v>24</v>
      </c>
      <c r="D76" s="7" t="inlineStr">
        <is>
          <t>S5</t>
        </is>
      </c>
      <c r="E76" s="7" t="inlineStr">
        <is>
          <t>Instabilità di elementi strutturali o di stoccaggio soggetti a urto o sovraccarico</t>
        </is>
      </c>
      <c r="F76" s="7" t="n">
        <v>0</v>
      </c>
      <c r="G76" s="7" t="n">
        <v>0</v>
      </c>
      <c r="H76" s="7" t="n">
        <v>0.2228</v>
      </c>
      <c r="I76" s="7" t="n">
        <v>0</v>
      </c>
      <c r="J76" s="7" t="n">
        <v>0</v>
      </c>
    </row>
    <row r="77" ht="34" customHeight="1">
      <c r="A77" s="7" t="n">
        <v>10</v>
      </c>
      <c r="B77" s="7" t="n">
        <v>20</v>
      </c>
      <c r="C77" s="7" t="n">
        <v>24</v>
      </c>
      <c r="D77" s="7" t="inlineStr">
        <is>
          <t>S6</t>
        </is>
      </c>
      <c r="E77" s="7" t="inlineStr">
        <is>
          <t>Accesso a organi meccanici in movimento durante operazioni manuali</t>
        </is>
      </c>
      <c r="F77" s="7" t="n">
        <v>0.25</v>
      </c>
      <c r="G77" s="7" t="n">
        <v>0.3543</v>
      </c>
      <c r="H77" s="7" t="n">
        <v>0.3447</v>
      </c>
      <c r="I77" s="7" t="n">
        <v>12.2127</v>
      </c>
      <c r="J77" s="7" t="n">
        <v>83.94</v>
      </c>
    </row>
    <row r="78" ht="34" customHeight="1">
      <c r="A78" s="7" t="n">
        <v>10</v>
      </c>
      <c r="B78" s="7" t="n">
        <v>20</v>
      </c>
      <c r="C78" s="7" t="n">
        <v>24</v>
      </c>
      <c r="D78" s="7" t="inlineStr">
        <is>
          <t>S7</t>
        </is>
      </c>
      <c r="E78" s="7" t="inlineStr">
        <is>
          <t>Movimentazione manuale di carichi pesanti o instabili senza ausili meccanici adeguati</t>
        </is>
      </c>
      <c r="F78" s="7" t="n">
        <v>0</v>
      </c>
      <c r="G78" s="7" t="n">
        <v>0</v>
      </c>
      <c r="H78" s="7" t="n">
        <v>0.0759</v>
      </c>
      <c r="I78" s="7" t="n">
        <v>0</v>
      </c>
      <c r="J78" s="7" t="n">
        <v>0</v>
      </c>
    </row>
    <row r="79" ht="34" customHeight="1">
      <c r="A79" s="7" t="n">
        <v>11</v>
      </c>
      <c r="B79" s="7" t="n">
        <v>22</v>
      </c>
      <c r="C79" s="7" t="n">
        <v>26</v>
      </c>
      <c r="D79" s="7" t="inlineStr">
        <is>
          <t>S1</t>
        </is>
      </c>
      <c r="E79" s="7" t="inlineStr">
        <is>
          <t>Interferenza tra persone e mezzi di movimentazione negli spazi comuni</t>
        </is>
      </c>
      <c r="F79" s="7" t="n">
        <v>0</v>
      </c>
      <c r="G79" s="7" t="n">
        <v>0</v>
      </c>
      <c r="H79" s="7" t="n">
        <v>0.1109</v>
      </c>
      <c r="I79" s="7" t="n">
        <v>0</v>
      </c>
      <c r="J79" s="7" t="n">
        <v>0</v>
      </c>
    </row>
    <row r="80" ht="34" customHeight="1">
      <c r="A80" s="7" t="n">
        <v>11</v>
      </c>
      <c r="B80" s="7" t="n">
        <v>22</v>
      </c>
      <c r="C80" s="7" t="n">
        <v>26</v>
      </c>
      <c r="D80" s="7" t="inlineStr">
        <is>
          <t>S2</t>
        </is>
      </c>
      <c r="E80" s="7" t="inlineStr">
        <is>
          <t>Riduzione della visibilità durante lo svolgimento di un'attività</t>
        </is>
      </c>
      <c r="F80" s="7" t="n">
        <v>0.25</v>
      </c>
      <c r="G80" s="7" t="n">
        <v>0.5553</v>
      </c>
      <c r="H80" s="7" t="n">
        <v>0.037</v>
      </c>
      <c r="I80" s="7" t="n">
        <v>2.0546</v>
      </c>
      <c r="J80" s="7" t="n">
        <v>14.12</v>
      </c>
    </row>
    <row r="81" ht="34" customHeight="1">
      <c r="A81" s="7" t="n">
        <v>11</v>
      </c>
      <c r="B81" s="7" t="n">
        <v>22</v>
      </c>
      <c r="C81" s="7" t="n">
        <v>26</v>
      </c>
      <c r="D81" s="7" t="inlineStr">
        <is>
          <t>S3</t>
        </is>
      </c>
      <c r="E81" s="7" t="inlineStr">
        <is>
          <t>Comportamenti non conformi durante lo svolgimento di un'attività</t>
        </is>
      </c>
      <c r="F81" s="7" t="n">
        <v>0</v>
      </c>
      <c r="G81" s="7" t="n">
        <v>0.0293</v>
      </c>
      <c r="H81" s="7" t="n">
        <v>0.0549</v>
      </c>
      <c r="I81" s="7" t="n">
        <v>0.1609</v>
      </c>
      <c r="J81" s="7" t="n">
        <v>1.11</v>
      </c>
    </row>
    <row r="82" ht="34" customHeight="1">
      <c r="A82" s="7" t="n">
        <v>11</v>
      </c>
      <c r="B82" s="7" t="n">
        <v>22</v>
      </c>
      <c r="C82" s="7" t="n">
        <v>26</v>
      </c>
      <c r="D82" s="7" t="inlineStr">
        <is>
          <t>S4</t>
        </is>
      </c>
      <c r="E82" s="7" t="inlineStr">
        <is>
          <t>Interferenza tra mezzo e infrastrutture interne all'impianto</t>
        </is>
      </c>
      <c r="F82" s="7" t="n">
        <v>0</v>
      </c>
      <c r="G82" s="7" t="n">
        <v>0.008200000000000001</v>
      </c>
      <c r="H82" s="7" t="n">
        <v>0.1538</v>
      </c>
      <c r="I82" s="7" t="n">
        <v>0.1261</v>
      </c>
      <c r="J82" s="7" t="n">
        <v>0.87</v>
      </c>
    </row>
    <row r="83" ht="34" customHeight="1">
      <c r="A83" s="7" t="n">
        <v>11</v>
      </c>
      <c r="B83" s="7" t="n">
        <v>22</v>
      </c>
      <c r="C83" s="7" t="n">
        <v>26</v>
      </c>
      <c r="D83" s="7" t="inlineStr">
        <is>
          <t>S5</t>
        </is>
      </c>
      <c r="E83" s="7" t="inlineStr">
        <is>
          <t>Instabilità di elementi strutturali o di stoccaggio soggetti a urto o sovraccarico</t>
        </is>
      </c>
      <c r="F83" s="7" t="n">
        <v>0</v>
      </c>
      <c r="G83" s="7" t="n">
        <v>0</v>
      </c>
      <c r="H83" s="7" t="n">
        <v>0.2228</v>
      </c>
      <c r="I83" s="7" t="n">
        <v>0</v>
      </c>
      <c r="J83" s="7" t="n">
        <v>0</v>
      </c>
    </row>
    <row r="84" ht="34" customHeight="1">
      <c r="A84" s="7" t="n">
        <v>11</v>
      </c>
      <c r="B84" s="7" t="n">
        <v>22</v>
      </c>
      <c r="C84" s="7" t="n">
        <v>26</v>
      </c>
      <c r="D84" s="7" t="inlineStr">
        <is>
          <t>S6</t>
        </is>
      </c>
      <c r="E84" s="7" t="inlineStr">
        <is>
          <t>Accesso a organi meccanici in movimento durante operazioni manuali</t>
        </is>
      </c>
      <c r="F84" s="7" t="n">
        <v>0.25</v>
      </c>
      <c r="G84" s="7" t="n">
        <v>0.3543</v>
      </c>
      <c r="H84" s="7" t="n">
        <v>0.3447</v>
      </c>
      <c r="I84" s="7" t="n">
        <v>12.2127</v>
      </c>
      <c r="J84" s="7" t="n">
        <v>83.94</v>
      </c>
    </row>
    <row r="85" ht="34" customHeight="1">
      <c r="A85" s="7" t="n">
        <v>11</v>
      </c>
      <c r="B85" s="7" t="n">
        <v>22</v>
      </c>
      <c r="C85" s="7" t="n">
        <v>26</v>
      </c>
      <c r="D85" s="7" t="inlineStr">
        <is>
          <t>S7</t>
        </is>
      </c>
      <c r="E85" s="7" t="inlineStr">
        <is>
          <t>Movimentazione manuale di carichi pesanti o instabili senza ausili meccanici adeguati</t>
        </is>
      </c>
      <c r="F85" s="7" t="n">
        <v>0</v>
      </c>
      <c r="G85" s="7" t="n">
        <v>0</v>
      </c>
      <c r="H85" s="7" t="n">
        <v>0.0759</v>
      </c>
      <c r="I85" s="7" t="n">
        <v>0</v>
      </c>
      <c r="J85" s="7" t="n">
        <v>0</v>
      </c>
    </row>
    <row r="86" ht="34" customHeight="1">
      <c r="A86" s="7" t="n">
        <v>12</v>
      </c>
      <c r="B86" s="7" t="n">
        <v>24</v>
      </c>
      <c r="C86" s="7" t="n">
        <v>28</v>
      </c>
      <c r="D86" s="7" t="inlineStr">
        <is>
          <t>S1</t>
        </is>
      </c>
      <c r="E86" s="7" t="inlineStr">
        <is>
          <t>Interferenza tra persone e mezzi di movimentazione negli spazi comuni</t>
        </is>
      </c>
      <c r="F86" s="7" t="n">
        <v>0</v>
      </c>
      <c r="G86" s="7" t="n">
        <v>0</v>
      </c>
      <c r="H86" s="7" t="n">
        <v>0.1109</v>
      </c>
      <c r="I86" s="7" t="n">
        <v>0</v>
      </c>
      <c r="J86" s="7" t="n">
        <v>0</v>
      </c>
    </row>
    <row r="87" ht="34" customHeight="1">
      <c r="A87" s="7" t="n">
        <v>12</v>
      </c>
      <c r="B87" s="7" t="n">
        <v>24</v>
      </c>
      <c r="C87" s="7" t="n">
        <v>28</v>
      </c>
      <c r="D87" s="7" t="inlineStr">
        <is>
          <t>S2</t>
        </is>
      </c>
      <c r="E87" s="7" t="inlineStr">
        <is>
          <t>Riduzione della visibilità durante lo svolgimento di un'attività</t>
        </is>
      </c>
      <c r="F87" s="7" t="n">
        <v>0.25</v>
      </c>
      <c r="G87" s="7" t="n">
        <v>0.5553</v>
      </c>
      <c r="H87" s="7" t="n">
        <v>0.037</v>
      </c>
      <c r="I87" s="7" t="n">
        <v>2.0546</v>
      </c>
      <c r="J87" s="7" t="n">
        <v>14.12</v>
      </c>
    </row>
    <row r="88" ht="34" customHeight="1">
      <c r="A88" s="7" t="n">
        <v>12</v>
      </c>
      <c r="B88" s="7" t="n">
        <v>24</v>
      </c>
      <c r="C88" s="7" t="n">
        <v>28</v>
      </c>
      <c r="D88" s="7" t="inlineStr">
        <is>
          <t>S3</t>
        </is>
      </c>
      <c r="E88" s="7" t="inlineStr">
        <is>
          <t>Comportamenti non conformi durante lo svolgimento di un'attività</t>
        </is>
      </c>
      <c r="F88" s="7" t="n">
        <v>0</v>
      </c>
      <c r="G88" s="7" t="n">
        <v>0.0293</v>
      </c>
      <c r="H88" s="7" t="n">
        <v>0.0549</v>
      </c>
      <c r="I88" s="7" t="n">
        <v>0.1609</v>
      </c>
      <c r="J88" s="7" t="n">
        <v>1.11</v>
      </c>
    </row>
    <row r="89" ht="34" customHeight="1">
      <c r="A89" s="7" t="n">
        <v>12</v>
      </c>
      <c r="B89" s="7" t="n">
        <v>24</v>
      </c>
      <c r="C89" s="7" t="n">
        <v>28</v>
      </c>
      <c r="D89" s="7" t="inlineStr">
        <is>
          <t>S4</t>
        </is>
      </c>
      <c r="E89" s="7" t="inlineStr">
        <is>
          <t>Interferenza tra mezzo e infrastrutture interne all'impianto</t>
        </is>
      </c>
      <c r="F89" s="7" t="n">
        <v>0</v>
      </c>
      <c r="G89" s="7" t="n">
        <v>0.008200000000000001</v>
      </c>
      <c r="H89" s="7" t="n">
        <v>0.1538</v>
      </c>
      <c r="I89" s="7" t="n">
        <v>0.1261</v>
      </c>
      <c r="J89" s="7" t="n">
        <v>0.87</v>
      </c>
    </row>
    <row r="90" ht="34" customHeight="1">
      <c r="A90" s="7" t="n">
        <v>12</v>
      </c>
      <c r="B90" s="7" t="n">
        <v>24</v>
      </c>
      <c r="C90" s="7" t="n">
        <v>28</v>
      </c>
      <c r="D90" s="7" t="inlineStr">
        <is>
          <t>S5</t>
        </is>
      </c>
      <c r="E90" s="7" t="inlineStr">
        <is>
          <t>Instabilità di elementi strutturali o di stoccaggio soggetti a urto o sovraccarico</t>
        </is>
      </c>
      <c r="F90" s="7" t="n">
        <v>0</v>
      </c>
      <c r="G90" s="7" t="n">
        <v>0</v>
      </c>
      <c r="H90" s="7" t="n">
        <v>0.2228</v>
      </c>
      <c r="I90" s="7" t="n">
        <v>0</v>
      </c>
      <c r="J90" s="7" t="n">
        <v>0</v>
      </c>
    </row>
    <row r="91" ht="34" customHeight="1">
      <c r="A91" s="7" t="n">
        <v>12</v>
      </c>
      <c r="B91" s="7" t="n">
        <v>24</v>
      </c>
      <c r="C91" s="7" t="n">
        <v>28</v>
      </c>
      <c r="D91" s="7" t="inlineStr">
        <is>
          <t>S6</t>
        </is>
      </c>
      <c r="E91" s="7" t="inlineStr">
        <is>
          <t>Accesso a organi meccanici in movimento durante operazioni manuali</t>
        </is>
      </c>
      <c r="F91" s="7" t="n">
        <v>0.25</v>
      </c>
      <c r="G91" s="7" t="n">
        <v>0.3543</v>
      </c>
      <c r="H91" s="7" t="n">
        <v>0.3447</v>
      </c>
      <c r="I91" s="7" t="n">
        <v>12.2127</v>
      </c>
      <c r="J91" s="7" t="n">
        <v>83.94</v>
      </c>
    </row>
    <row r="92" ht="34" customHeight="1">
      <c r="A92" s="7" t="n">
        <v>12</v>
      </c>
      <c r="B92" s="7" t="n">
        <v>24</v>
      </c>
      <c r="C92" s="7" t="n">
        <v>28</v>
      </c>
      <c r="D92" s="7" t="inlineStr">
        <is>
          <t>S7</t>
        </is>
      </c>
      <c r="E92" s="7" t="inlineStr">
        <is>
          <t>Movimentazione manuale di carichi pesanti o instabili senza ausili meccanici adeguati</t>
        </is>
      </c>
      <c r="F92" s="7" t="n">
        <v>0</v>
      </c>
      <c r="G92" s="7" t="n">
        <v>0</v>
      </c>
      <c r="H92" s="7" t="n">
        <v>0.0759</v>
      </c>
      <c r="I92" s="7" t="n">
        <v>0</v>
      </c>
      <c r="J92" s="7" t="n">
        <v>0</v>
      </c>
    </row>
    <row r="93" ht="34" customHeight="1">
      <c r="A93" s="7" t="n">
        <v>13</v>
      </c>
      <c r="B93" s="7" t="n">
        <v>26</v>
      </c>
      <c r="C93" s="7" t="n">
        <v>30</v>
      </c>
      <c r="D93" s="7" t="inlineStr">
        <is>
          <t>S1</t>
        </is>
      </c>
      <c r="E93" s="7" t="inlineStr">
        <is>
          <t>Interferenza tra persone e mezzi di movimentazione negli spazi comuni</t>
        </is>
      </c>
      <c r="F93" s="7" t="n">
        <v>0</v>
      </c>
      <c r="G93" s="7" t="n">
        <v>0</v>
      </c>
      <c r="H93" s="7" t="n">
        <v>0.1109</v>
      </c>
      <c r="I93" s="7" t="n">
        <v>0</v>
      </c>
      <c r="J93" s="7" t="n">
        <v>0</v>
      </c>
    </row>
    <row r="94" ht="34" customHeight="1">
      <c r="A94" s="7" t="n">
        <v>13</v>
      </c>
      <c r="B94" s="7" t="n">
        <v>26</v>
      </c>
      <c r="C94" s="7" t="n">
        <v>30</v>
      </c>
      <c r="D94" s="7" t="inlineStr">
        <is>
          <t>S2</t>
        </is>
      </c>
      <c r="E94" s="7" t="inlineStr">
        <is>
          <t>Riduzione della visibilità durante lo svolgimento di un'attività</t>
        </is>
      </c>
      <c r="F94" s="7" t="n">
        <v>0.25</v>
      </c>
      <c r="G94" s="7" t="n">
        <v>0.5553</v>
      </c>
      <c r="H94" s="7" t="n">
        <v>0.037</v>
      </c>
      <c r="I94" s="7" t="n">
        <v>2.0546</v>
      </c>
      <c r="J94" s="7" t="n">
        <v>6.05</v>
      </c>
    </row>
    <row r="95" ht="34" customHeight="1">
      <c r="A95" s="7" t="n">
        <v>13</v>
      </c>
      <c r="B95" s="7" t="n">
        <v>26</v>
      </c>
      <c r="C95" s="7" t="n">
        <v>30</v>
      </c>
      <c r="D95" s="7" t="inlineStr">
        <is>
          <t>S3</t>
        </is>
      </c>
      <c r="E95" s="7" t="inlineStr">
        <is>
          <t>Comportamenti non conformi durante lo svolgimento di un'attività</t>
        </is>
      </c>
      <c r="F95" s="7" t="n">
        <v>0</v>
      </c>
      <c r="G95" s="7" t="n">
        <v>0.0293</v>
      </c>
      <c r="H95" s="7" t="n">
        <v>0.0549</v>
      </c>
      <c r="I95" s="7" t="n">
        <v>0.1609</v>
      </c>
      <c r="J95" s="7" t="n">
        <v>0.47</v>
      </c>
    </row>
    <row r="96" ht="34" customHeight="1">
      <c r="A96" s="7" t="n">
        <v>13</v>
      </c>
      <c r="B96" s="7" t="n">
        <v>26</v>
      </c>
      <c r="C96" s="7" t="n">
        <v>30</v>
      </c>
      <c r="D96" s="7" t="inlineStr">
        <is>
          <t>S4</t>
        </is>
      </c>
      <c r="E96" s="7" t="inlineStr">
        <is>
          <t>Interferenza tra mezzo e infrastrutture interne all'impianto</t>
        </is>
      </c>
      <c r="F96" s="7" t="n">
        <v>0</v>
      </c>
      <c r="G96" s="7" t="n">
        <v>0.008200000000000001</v>
      </c>
      <c r="H96" s="7" t="n">
        <v>0.1538</v>
      </c>
      <c r="I96" s="7" t="n">
        <v>0.1261</v>
      </c>
      <c r="J96" s="7" t="n">
        <v>0.37</v>
      </c>
    </row>
    <row r="97" ht="34" customHeight="1">
      <c r="A97" s="7" t="n">
        <v>13</v>
      </c>
      <c r="B97" s="7" t="n">
        <v>26</v>
      </c>
      <c r="C97" s="7" t="n">
        <v>30</v>
      </c>
      <c r="D97" s="7" t="inlineStr">
        <is>
          <t>S5</t>
        </is>
      </c>
      <c r="E97" s="7" t="inlineStr">
        <is>
          <t>Instabilità di elementi strutturali o di stoccaggio soggetti a urto o sovraccarico</t>
        </is>
      </c>
      <c r="F97" s="7" t="n">
        <v>0</v>
      </c>
      <c r="G97" s="7" t="n">
        <v>0</v>
      </c>
      <c r="H97" s="7" t="n">
        <v>0.2228</v>
      </c>
      <c r="I97" s="7" t="n">
        <v>0</v>
      </c>
      <c r="J97" s="7" t="n">
        <v>0</v>
      </c>
    </row>
    <row r="98" ht="34" customHeight="1">
      <c r="A98" s="7" t="n">
        <v>13</v>
      </c>
      <c r="B98" s="7" t="n">
        <v>26</v>
      </c>
      <c r="C98" s="7" t="n">
        <v>30</v>
      </c>
      <c r="D98" s="7" t="inlineStr">
        <is>
          <t>S6</t>
        </is>
      </c>
      <c r="E98" s="7" t="inlineStr">
        <is>
          <t>Accesso a organi meccanici in movimento durante operazioni manuali</t>
        </is>
      </c>
      <c r="F98" s="7" t="n">
        <v>0.5</v>
      </c>
      <c r="G98" s="7" t="n">
        <v>0.9167999999999999</v>
      </c>
      <c r="H98" s="7" t="n">
        <v>0.3447</v>
      </c>
      <c r="I98" s="7" t="n">
        <v>31.6021</v>
      </c>
      <c r="J98" s="7" t="n">
        <v>93.11</v>
      </c>
    </row>
    <row r="99" ht="34" customHeight="1">
      <c r="A99" s="7" t="n">
        <v>13</v>
      </c>
      <c r="B99" s="7" t="n">
        <v>26</v>
      </c>
      <c r="C99" s="7" t="n">
        <v>30</v>
      </c>
      <c r="D99" s="7" t="inlineStr">
        <is>
          <t>S7</t>
        </is>
      </c>
      <c r="E99" s="7" t="inlineStr">
        <is>
          <t>Movimentazione manuale di carichi pesanti o instabili senza ausili meccanici adeguati</t>
        </is>
      </c>
      <c r="F99" s="7" t="n">
        <v>0</v>
      </c>
      <c r="G99" s="7" t="n">
        <v>0</v>
      </c>
      <c r="H99" s="7" t="n">
        <v>0.0759</v>
      </c>
      <c r="I99" s="7" t="n">
        <v>0</v>
      </c>
      <c r="J99" s="7" t="n">
        <v>0</v>
      </c>
    </row>
    <row r="100" ht="34" customHeight="1">
      <c r="A100" s="7" t="n">
        <v>14</v>
      </c>
      <c r="B100" s="7" t="n">
        <v>28</v>
      </c>
      <c r="C100" s="7" t="n">
        <v>32</v>
      </c>
      <c r="D100" s="7" t="inlineStr">
        <is>
          <t>S1</t>
        </is>
      </c>
      <c r="E100" s="7" t="inlineStr">
        <is>
          <t>Interferenza tra persone e mezzi di movimentazione negli spazi comuni</t>
        </is>
      </c>
      <c r="F100" s="7" t="n">
        <v>0</v>
      </c>
      <c r="G100" s="7" t="n">
        <v>0</v>
      </c>
      <c r="H100" s="7" t="n">
        <v>0.1109</v>
      </c>
      <c r="I100" s="7" t="n">
        <v>0</v>
      </c>
      <c r="J100" s="7" t="n">
        <v>0</v>
      </c>
    </row>
    <row r="101" ht="34" customHeight="1">
      <c r="A101" s="7" t="n">
        <v>14</v>
      </c>
      <c r="B101" s="7" t="n">
        <v>28</v>
      </c>
      <c r="C101" s="7" t="n">
        <v>32</v>
      </c>
      <c r="D101" s="7" t="inlineStr">
        <is>
          <t>S2</t>
        </is>
      </c>
      <c r="E101" s="7" t="inlineStr">
        <is>
          <t>Riduzione della visibilità durante lo svolgimento di un'attività</t>
        </is>
      </c>
      <c r="F101" s="7" t="n">
        <v>0.25</v>
      </c>
      <c r="G101" s="7" t="n">
        <v>0.5553</v>
      </c>
      <c r="H101" s="7" t="n">
        <v>0.037</v>
      </c>
      <c r="I101" s="7" t="n">
        <v>2.0546</v>
      </c>
      <c r="J101" s="7" t="n">
        <v>12.95</v>
      </c>
    </row>
    <row r="102" ht="34" customHeight="1">
      <c r="A102" s="7" t="n">
        <v>14</v>
      </c>
      <c r="B102" s="7" t="n">
        <v>28</v>
      </c>
      <c r="C102" s="7" t="n">
        <v>32</v>
      </c>
      <c r="D102" s="7" t="inlineStr">
        <is>
          <t>S3</t>
        </is>
      </c>
      <c r="E102" s="7" t="inlineStr">
        <is>
          <t>Comportamenti non conformi durante lo svolgimento di un'attività</t>
        </is>
      </c>
      <c r="F102" s="7" t="n">
        <v>0.25</v>
      </c>
      <c r="G102" s="7" t="n">
        <v>0.2689</v>
      </c>
      <c r="H102" s="7" t="n">
        <v>0.0549</v>
      </c>
      <c r="I102" s="7" t="n">
        <v>1.4763</v>
      </c>
      <c r="J102" s="7" t="n">
        <v>9.300000000000001</v>
      </c>
    </row>
    <row r="103" ht="34" customHeight="1">
      <c r="A103" s="7" t="n">
        <v>14</v>
      </c>
      <c r="B103" s="7" t="n">
        <v>28</v>
      </c>
      <c r="C103" s="7" t="n">
        <v>32</v>
      </c>
      <c r="D103" s="7" t="inlineStr">
        <is>
          <t>S4</t>
        </is>
      </c>
      <c r="E103" s="7" t="inlineStr">
        <is>
          <t>Interferenza tra mezzo e infrastrutture interne all'impianto</t>
        </is>
      </c>
      <c r="F103" s="7" t="n">
        <v>0</v>
      </c>
      <c r="G103" s="7" t="n">
        <v>0.008200000000000001</v>
      </c>
      <c r="H103" s="7" t="n">
        <v>0.1538</v>
      </c>
      <c r="I103" s="7" t="n">
        <v>0.1261</v>
      </c>
      <c r="J103" s="7" t="n">
        <v>0.79</v>
      </c>
    </row>
    <row r="104" ht="34" customHeight="1">
      <c r="A104" s="7" t="n">
        <v>14</v>
      </c>
      <c r="B104" s="7" t="n">
        <v>28</v>
      </c>
      <c r="C104" s="7" t="n">
        <v>32</v>
      </c>
      <c r="D104" s="7" t="inlineStr">
        <is>
          <t>S5</t>
        </is>
      </c>
      <c r="E104" s="7" t="inlineStr">
        <is>
          <t>Instabilità di elementi strutturali o di stoccaggio soggetti a urto o sovraccarico</t>
        </is>
      </c>
      <c r="F104" s="7" t="n">
        <v>0</v>
      </c>
      <c r="G104" s="7" t="n">
        <v>0</v>
      </c>
      <c r="H104" s="7" t="n">
        <v>0.2228</v>
      </c>
      <c r="I104" s="7" t="n">
        <v>0</v>
      </c>
      <c r="J104" s="7" t="n">
        <v>0</v>
      </c>
    </row>
    <row r="105" ht="34" customHeight="1">
      <c r="A105" s="7" t="n">
        <v>14</v>
      </c>
      <c r="B105" s="7" t="n">
        <v>28</v>
      </c>
      <c r="C105" s="7" t="n">
        <v>32</v>
      </c>
      <c r="D105" s="7" t="inlineStr">
        <is>
          <t>S6</t>
        </is>
      </c>
      <c r="E105" s="7" t="inlineStr">
        <is>
          <t>Accesso a organi meccanici in movimento durante operazioni manuali</t>
        </is>
      </c>
      <c r="F105" s="7" t="n">
        <v>0.25</v>
      </c>
      <c r="G105" s="7" t="n">
        <v>0.3543</v>
      </c>
      <c r="H105" s="7" t="n">
        <v>0.3447</v>
      </c>
      <c r="I105" s="7" t="n">
        <v>12.2127</v>
      </c>
      <c r="J105" s="7" t="n">
        <v>76.95</v>
      </c>
    </row>
    <row r="106" ht="34" customHeight="1">
      <c r="A106" s="7" t="n">
        <v>14</v>
      </c>
      <c r="B106" s="7" t="n">
        <v>28</v>
      </c>
      <c r="C106" s="7" t="n">
        <v>32</v>
      </c>
      <c r="D106" s="7" t="inlineStr">
        <is>
          <t>S7</t>
        </is>
      </c>
      <c r="E106" s="7" t="inlineStr">
        <is>
          <t>Movimentazione manuale di carichi pesanti o instabili senza ausili meccanici adeguati</t>
        </is>
      </c>
      <c r="F106" s="7" t="n">
        <v>0</v>
      </c>
      <c r="G106" s="7" t="n">
        <v>0</v>
      </c>
      <c r="H106" s="7" t="n">
        <v>0.0759</v>
      </c>
      <c r="I106" s="7" t="n">
        <v>0</v>
      </c>
      <c r="J106" s="7" t="n">
        <v>0</v>
      </c>
    </row>
    <row r="107" ht="34" customHeight="1">
      <c r="A107" s="7" t="n">
        <v>15</v>
      </c>
      <c r="B107" s="7" t="n">
        <v>30</v>
      </c>
      <c r="C107" s="7" t="n">
        <v>34</v>
      </c>
      <c r="D107" s="7" t="inlineStr">
        <is>
          <t>S1</t>
        </is>
      </c>
      <c r="E107" s="7" t="inlineStr">
        <is>
          <t>Interferenza tra persone e mezzi di movimentazione negli spazi comuni</t>
        </is>
      </c>
      <c r="F107" s="7" t="n">
        <v>0</v>
      </c>
      <c r="G107" s="7" t="n">
        <v>0</v>
      </c>
      <c r="H107" s="7" t="n">
        <v>0.1109</v>
      </c>
      <c r="I107" s="7" t="n">
        <v>0</v>
      </c>
      <c r="J107" s="7" t="n">
        <v>0</v>
      </c>
    </row>
    <row r="108" ht="34" customHeight="1">
      <c r="A108" s="7" t="n">
        <v>15</v>
      </c>
      <c r="B108" s="7" t="n">
        <v>30</v>
      </c>
      <c r="C108" s="7" t="n">
        <v>34</v>
      </c>
      <c r="D108" s="7" t="inlineStr">
        <is>
          <t>S2</t>
        </is>
      </c>
      <c r="E108" s="7" t="inlineStr">
        <is>
          <t>Riduzione della visibilità durante lo svolgimento di un'attività</t>
        </is>
      </c>
      <c r="F108" s="7" t="n">
        <v>0.5</v>
      </c>
      <c r="G108" s="7" t="n">
        <v>0.8176</v>
      </c>
      <c r="H108" s="7" t="n">
        <v>0.037</v>
      </c>
      <c r="I108" s="7" t="n">
        <v>3.0251</v>
      </c>
      <c r="J108" s="7" t="n">
        <v>17.15</v>
      </c>
    </row>
    <row r="109" ht="34" customHeight="1">
      <c r="A109" s="7" t="n">
        <v>15</v>
      </c>
      <c r="B109" s="7" t="n">
        <v>30</v>
      </c>
      <c r="C109" s="7" t="n">
        <v>34</v>
      </c>
      <c r="D109" s="7" t="inlineStr">
        <is>
          <t>S3</t>
        </is>
      </c>
      <c r="E109" s="7" t="inlineStr">
        <is>
          <t>Comportamenti non conformi durante lo svolgimento di un'attività</t>
        </is>
      </c>
      <c r="F109" s="7" t="n">
        <v>0.25</v>
      </c>
      <c r="G109" s="7" t="n">
        <v>0.2689</v>
      </c>
      <c r="H109" s="7" t="n">
        <v>0.0549</v>
      </c>
      <c r="I109" s="7" t="n">
        <v>1.4763</v>
      </c>
      <c r="J109" s="7" t="n">
        <v>8.369999999999999</v>
      </c>
    </row>
    <row r="110" ht="34" customHeight="1">
      <c r="A110" s="7" t="n">
        <v>15</v>
      </c>
      <c r="B110" s="7" t="n">
        <v>30</v>
      </c>
      <c r="C110" s="7" t="n">
        <v>34</v>
      </c>
      <c r="D110" s="7" t="inlineStr">
        <is>
          <t>S4</t>
        </is>
      </c>
      <c r="E110" s="7" t="inlineStr">
        <is>
          <t>Interferenza tra mezzo e infrastrutture interne all'impianto</t>
        </is>
      </c>
      <c r="F110" s="7" t="n">
        <v>0</v>
      </c>
      <c r="G110" s="7" t="n">
        <v>0.008200000000000001</v>
      </c>
      <c r="H110" s="7" t="n">
        <v>0.1538</v>
      </c>
      <c r="I110" s="7" t="n">
        <v>0.1261</v>
      </c>
      <c r="J110" s="7" t="n">
        <v>0.71</v>
      </c>
    </row>
    <row r="111" ht="34" customHeight="1">
      <c r="A111" s="7" t="n">
        <v>15</v>
      </c>
      <c r="B111" s="7" t="n">
        <v>30</v>
      </c>
      <c r="C111" s="7" t="n">
        <v>34</v>
      </c>
      <c r="D111" s="7" t="inlineStr">
        <is>
          <t>S5</t>
        </is>
      </c>
      <c r="E111" s="7" t="inlineStr">
        <is>
          <t>Instabilità di elementi strutturali o di stoccaggio soggetti a urto o sovraccarico</t>
        </is>
      </c>
      <c r="F111" s="7" t="n">
        <v>0.25</v>
      </c>
      <c r="G111" s="7" t="n">
        <v>0.0359</v>
      </c>
      <c r="H111" s="7" t="n">
        <v>0.2228</v>
      </c>
      <c r="I111" s="7" t="n">
        <v>0.7999000000000001</v>
      </c>
      <c r="J111" s="7" t="n">
        <v>4.53</v>
      </c>
    </row>
    <row r="112" ht="34" customHeight="1">
      <c r="A112" s="7" t="n">
        <v>15</v>
      </c>
      <c r="B112" s="7" t="n">
        <v>30</v>
      </c>
      <c r="C112" s="7" t="n">
        <v>34</v>
      </c>
      <c r="D112" s="7" t="inlineStr">
        <is>
          <t>S6</t>
        </is>
      </c>
      <c r="E112" s="7" t="inlineStr">
        <is>
          <t>Accesso a organi meccanici in movimento durante operazioni manuali</t>
        </is>
      </c>
      <c r="F112" s="7" t="n">
        <v>0.25</v>
      </c>
      <c r="G112" s="7" t="n">
        <v>0.3543</v>
      </c>
      <c r="H112" s="7" t="n">
        <v>0.3447</v>
      </c>
      <c r="I112" s="7" t="n">
        <v>12.2127</v>
      </c>
      <c r="J112" s="7" t="n">
        <v>69.23</v>
      </c>
    </row>
    <row r="113" ht="34" customHeight="1">
      <c r="A113" s="7" t="n">
        <v>15</v>
      </c>
      <c r="B113" s="7" t="n">
        <v>30</v>
      </c>
      <c r="C113" s="7" t="n">
        <v>34</v>
      </c>
      <c r="D113" s="7" t="inlineStr">
        <is>
          <t>S7</t>
        </is>
      </c>
      <c r="E113" s="7" t="inlineStr">
        <is>
          <t>Movimentazione manuale di carichi pesanti o instabili senza ausili meccanici adeguati</t>
        </is>
      </c>
      <c r="F113" s="7" t="n">
        <v>0</v>
      </c>
      <c r="G113" s="7" t="n">
        <v>0</v>
      </c>
      <c r="H113" s="7" t="n">
        <v>0.0759</v>
      </c>
      <c r="I113" s="7" t="n">
        <v>0</v>
      </c>
      <c r="J113" s="7" t="n">
        <v>0</v>
      </c>
    </row>
    <row r="114" ht="34" customHeight="1">
      <c r="A114" s="7" t="n">
        <v>16</v>
      </c>
      <c r="B114" s="7" t="n">
        <v>32</v>
      </c>
      <c r="C114" s="7" t="n">
        <v>36</v>
      </c>
      <c r="D114" s="7" t="inlineStr">
        <is>
          <t>S1</t>
        </is>
      </c>
      <c r="E114" s="7" t="inlineStr">
        <is>
          <t>Interferenza tra persone e mezzi di movimentazione negli spazi comuni</t>
        </is>
      </c>
      <c r="F114" s="7" t="n">
        <v>0</v>
      </c>
      <c r="G114" s="7" t="n">
        <v>0</v>
      </c>
      <c r="H114" s="7" t="n">
        <v>0.1109</v>
      </c>
      <c r="I114" s="7" t="n">
        <v>0</v>
      </c>
      <c r="J114" s="7" t="n">
        <v>0</v>
      </c>
    </row>
    <row r="115" ht="34" customHeight="1">
      <c r="A115" s="7" t="n">
        <v>16</v>
      </c>
      <c r="B115" s="7" t="n">
        <v>32</v>
      </c>
      <c r="C115" s="7" t="n">
        <v>36</v>
      </c>
      <c r="D115" s="7" t="inlineStr">
        <is>
          <t>S2</t>
        </is>
      </c>
      <c r="E115" s="7" t="inlineStr">
        <is>
          <t>Riduzione della visibilità durante lo svolgimento di un'attività</t>
        </is>
      </c>
      <c r="F115" s="7" t="n">
        <v>0.25</v>
      </c>
      <c r="G115" s="7" t="n">
        <v>0.5553</v>
      </c>
      <c r="H115" s="7" t="n">
        <v>0.037</v>
      </c>
      <c r="I115" s="7" t="n">
        <v>2.0546</v>
      </c>
      <c r="J115" s="7" t="n">
        <v>5.83</v>
      </c>
    </row>
    <row r="116" ht="34" customHeight="1">
      <c r="A116" s="7" t="n">
        <v>16</v>
      </c>
      <c r="B116" s="7" t="n">
        <v>32</v>
      </c>
      <c r="C116" s="7" t="n">
        <v>36</v>
      </c>
      <c r="D116" s="7" t="inlineStr">
        <is>
          <t>S3</t>
        </is>
      </c>
      <c r="E116" s="7" t="inlineStr">
        <is>
          <t>Comportamenti non conformi durante lo svolgimento di un'attività</t>
        </is>
      </c>
      <c r="F116" s="7" t="n">
        <v>0.25</v>
      </c>
      <c r="G116" s="7" t="n">
        <v>0.2689</v>
      </c>
      <c r="H116" s="7" t="n">
        <v>0.0549</v>
      </c>
      <c r="I116" s="7" t="n">
        <v>1.4763</v>
      </c>
      <c r="J116" s="7" t="n">
        <v>4.19</v>
      </c>
    </row>
    <row r="117" ht="34" customHeight="1">
      <c r="A117" s="7" t="n">
        <v>16</v>
      </c>
      <c r="B117" s="7" t="n">
        <v>32</v>
      </c>
      <c r="C117" s="7" t="n">
        <v>36</v>
      </c>
      <c r="D117" s="7" t="inlineStr">
        <is>
          <t>S4</t>
        </is>
      </c>
      <c r="E117" s="7" t="inlineStr">
        <is>
          <t>Interferenza tra mezzo e infrastrutture interne all'impianto</t>
        </is>
      </c>
      <c r="F117" s="7" t="n">
        <v>0</v>
      </c>
      <c r="G117" s="7" t="n">
        <v>0.008200000000000001</v>
      </c>
      <c r="H117" s="7" t="n">
        <v>0.1538</v>
      </c>
      <c r="I117" s="7" t="n">
        <v>0.1261</v>
      </c>
      <c r="J117" s="7" t="n">
        <v>0.36</v>
      </c>
    </row>
    <row r="118" ht="34" customHeight="1">
      <c r="A118" s="7" t="n">
        <v>16</v>
      </c>
      <c r="B118" s="7" t="n">
        <v>32</v>
      </c>
      <c r="C118" s="7" t="n">
        <v>36</v>
      </c>
      <c r="D118" s="7" t="inlineStr">
        <is>
          <t>S5</t>
        </is>
      </c>
      <c r="E118" s="7" t="inlineStr">
        <is>
          <t>Instabilità di elementi strutturali o di stoccaggio soggetti a urto o sovraccarico</t>
        </is>
      </c>
      <c r="F118" s="7" t="n">
        <v>0</v>
      </c>
      <c r="G118" s="7" t="n">
        <v>0</v>
      </c>
      <c r="H118" s="7" t="n">
        <v>0.2228</v>
      </c>
      <c r="I118" s="7" t="n">
        <v>0</v>
      </c>
      <c r="J118" s="7" t="n">
        <v>0</v>
      </c>
    </row>
    <row r="119" ht="34" customHeight="1">
      <c r="A119" s="7" t="n">
        <v>16</v>
      </c>
      <c r="B119" s="7" t="n">
        <v>32</v>
      </c>
      <c r="C119" s="7" t="n">
        <v>36</v>
      </c>
      <c r="D119" s="7" t="inlineStr">
        <is>
          <t>S6</t>
        </is>
      </c>
      <c r="E119" s="7" t="inlineStr">
        <is>
          <t>Accesso a organi meccanici in movimento durante operazioni manuali</t>
        </is>
      </c>
      <c r="F119" s="7" t="n">
        <v>0.5</v>
      </c>
      <c r="G119" s="7" t="n">
        <v>0.9167999999999999</v>
      </c>
      <c r="H119" s="7" t="n">
        <v>0.3447</v>
      </c>
      <c r="I119" s="7" t="n">
        <v>31.6021</v>
      </c>
      <c r="J119" s="7" t="n">
        <v>89.63</v>
      </c>
    </row>
    <row r="120" ht="34" customHeight="1">
      <c r="A120" s="7" t="n">
        <v>16</v>
      </c>
      <c r="B120" s="7" t="n">
        <v>32</v>
      </c>
      <c r="C120" s="7" t="n">
        <v>36</v>
      </c>
      <c r="D120" s="7" t="inlineStr">
        <is>
          <t>S7</t>
        </is>
      </c>
      <c r="E120" s="7" t="inlineStr">
        <is>
          <t>Movimentazione manuale di carichi pesanti o instabili senza ausili meccanici adeguati</t>
        </is>
      </c>
      <c r="F120" s="7" t="n">
        <v>0</v>
      </c>
      <c r="G120" s="7" t="n">
        <v>0</v>
      </c>
      <c r="H120" s="7" t="n">
        <v>0.0759</v>
      </c>
      <c r="I120" s="7" t="n">
        <v>0</v>
      </c>
      <c r="J120" s="7" t="n">
        <v>0</v>
      </c>
    </row>
    <row r="121" ht="34" customHeight="1">
      <c r="A121" s="7" t="n">
        <v>17</v>
      </c>
      <c r="B121" s="7" t="n">
        <v>34</v>
      </c>
      <c r="C121" s="7" t="n">
        <v>38</v>
      </c>
      <c r="D121" s="7" t="inlineStr">
        <is>
          <t>S1</t>
        </is>
      </c>
      <c r="E121" s="7" t="inlineStr">
        <is>
          <t>Interferenza tra persone e mezzi di movimentazione negli spazi comuni</t>
        </is>
      </c>
      <c r="F121" s="7" t="n">
        <v>0</v>
      </c>
      <c r="G121" s="7" t="n">
        <v>0</v>
      </c>
      <c r="H121" s="7" t="n">
        <v>0.1109</v>
      </c>
      <c r="I121" s="7" t="n">
        <v>0</v>
      </c>
      <c r="J121" s="7" t="n">
        <v>0</v>
      </c>
    </row>
    <row r="122" ht="34" customHeight="1">
      <c r="A122" s="7" t="n">
        <v>17</v>
      </c>
      <c r="B122" s="7" t="n">
        <v>34</v>
      </c>
      <c r="C122" s="7" t="n">
        <v>38</v>
      </c>
      <c r="D122" s="7" t="inlineStr">
        <is>
          <t>S2</t>
        </is>
      </c>
      <c r="E122" s="7" t="inlineStr">
        <is>
          <t>Riduzione della visibilità durante lo svolgimento di un'attività</t>
        </is>
      </c>
      <c r="F122" s="7" t="n">
        <v>0.5</v>
      </c>
      <c r="G122" s="7" t="n">
        <v>0.8176</v>
      </c>
      <c r="H122" s="7" t="n">
        <v>0.037</v>
      </c>
      <c r="I122" s="7" t="n">
        <v>3.0251</v>
      </c>
      <c r="J122" s="7" t="n">
        <v>7.21</v>
      </c>
    </row>
    <row r="123" ht="34" customHeight="1">
      <c r="A123" s="7" t="n">
        <v>17</v>
      </c>
      <c r="B123" s="7" t="n">
        <v>34</v>
      </c>
      <c r="C123" s="7" t="n">
        <v>38</v>
      </c>
      <c r="D123" s="7" t="inlineStr">
        <is>
          <t>S3</t>
        </is>
      </c>
      <c r="E123" s="7" t="inlineStr">
        <is>
          <t>Comportamenti non conformi durante lo svolgimento di un'attività</t>
        </is>
      </c>
      <c r="F123" s="7" t="n">
        <v>0.5</v>
      </c>
      <c r="G123" s="7" t="n">
        <v>0.8176</v>
      </c>
      <c r="H123" s="7" t="n">
        <v>0.0549</v>
      </c>
      <c r="I123" s="7" t="n">
        <v>4.4886</v>
      </c>
      <c r="J123" s="7" t="n">
        <v>10.7</v>
      </c>
    </row>
    <row r="124" ht="34" customHeight="1">
      <c r="A124" s="7" t="n">
        <v>17</v>
      </c>
      <c r="B124" s="7" t="n">
        <v>34</v>
      </c>
      <c r="C124" s="7" t="n">
        <v>38</v>
      </c>
      <c r="D124" s="7" t="inlineStr">
        <is>
          <t>S4</t>
        </is>
      </c>
      <c r="E124" s="7" t="inlineStr">
        <is>
          <t>Interferenza tra mezzo e infrastrutture interne all'impianto</t>
        </is>
      </c>
      <c r="F124" s="7" t="n">
        <v>0</v>
      </c>
      <c r="G124" s="7" t="n">
        <v>0.008200000000000001</v>
      </c>
      <c r="H124" s="7" t="n">
        <v>0.1538</v>
      </c>
      <c r="I124" s="7" t="n">
        <v>0.1261</v>
      </c>
      <c r="J124" s="7" t="n">
        <v>0.3</v>
      </c>
    </row>
    <row r="125" ht="34" customHeight="1">
      <c r="A125" s="7" t="n">
        <v>17</v>
      </c>
      <c r="B125" s="7" t="n">
        <v>34</v>
      </c>
      <c r="C125" s="7" t="n">
        <v>38</v>
      </c>
      <c r="D125" s="7" t="inlineStr">
        <is>
          <t>S5</t>
        </is>
      </c>
      <c r="E125" s="7" t="inlineStr">
        <is>
          <t>Instabilità di elementi strutturali o di stoccaggio soggetti a urto o sovraccarico</t>
        </is>
      </c>
      <c r="F125" s="7" t="n">
        <v>0</v>
      </c>
      <c r="G125" s="7" t="n">
        <v>0</v>
      </c>
      <c r="H125" s="7" t="n">
        <v>0.2228</v>
      </c>
      <c r="I125" s="7" t="n">
        <v>0</v>
      </c>
      <c r="J125" s="7" t="n">
        <v>0</v>
      </c>
    </row>
    <row r="126" ht="34" customHeight="1">
      <c r="A126" s="7" t="n">
        <v>17</v>
      </c>
      <c r="B126" s="7" t="n">
        <v>34</v>
      </c>
      <c r="C126" s="7" t="n">
        <v>38</v>
      </c>
      <c r="D126" s="7" t="inlineStr">
        <is>
          <t>S6</t>
        </is>
      </c>
      <c r="E126" s="7" t="inlineStr">
        <is>
          <t>Accesso a organi meccanici in movimento durante operazioni manuali</t>
        </is>
      </c>
      <c r="F126" s="7" t="n">
        <v>0.75</v>
      </c>
      <c r="G126" s="7" t="n">
        <v>0.9955000000000001</v>
      </c>
      <c r="H126" s="7" t="n">
        <v>0.3447</v>
      </c>
      <c r="I126" s="7" t="n">
        <v>34.3149</v>
      </c>
      <c r="J126" s="7" t="n">
        <v>81.8</v>
      </c>
    </row>
    <row r="127" ht="34" customHeight="1">
      <c r="A127" s="7" t="n">
        <v>17</v>
      </c>
      <c r="B127" s="7" t="n">
        <v>34</v>
      </c>
      <c r="C127" s="7" t="n">
        <v>38</v>
      </c>
      <c r="D127" s="7" t="inlineStr">
        <is>
          <t>S7</t>
        </is>
      </c>
      <c r="E127" s="7" t="inlineStr">
        <is>
          <t>Movimentazione manuale di carichi pesanti o instabili senza ausili meccanici adeguati</t>
        </is>
      </c>
      <c r="F127" s="7" t="n">
        <v>0</v>
      </c>
      <c r="G127" s="7" t="n">
        <v>0</v>
      </c>
      <c r="H127" s="7" t="n">
        <v>0.0759</v>
      </c>
      <c r="I127" s="7" t="n">
        <v>0</v>
      </c>
      <c r="J127" s="7" t="n">
        <v>0</v>
      </c>
    </row>
    <row r="128" ht="34" customHeight="1">
      <c r="A128" s="7" t="n">
        <v>18</v>
      </c>
      <c r="B128" s="7" t="n">
        <v>36</v>
      </c>
      <c r="C128" s="7" t="n">
        <v>40</v>
      </c>
      <c r="D128" s="7" t="inlineStr">
        <is>
          <t>S1</t>
        </is>
      </c>
      <c r="E128" s="7" t="inlineStr">
        <is>
          <t>Interferenza tra persone e mezzi di movimentazione negli spazi comuni</t>
        </is>
      </c>
      <c r="F128" s="7" t="n">
        <v>0</v>
      </c>
      <c r="G128" s="7" t="n">
        <v>0</v>
      </c>
      <c r="H128" s="7" t="n">
        <v>0.1109</v>
      </c>
      <c r="I128" s="7" t="n">
        <v>0</v>
      </c>
      <c r="J128" s="7" t="n">
        <v>0</v>
      </c>
    </row>
    <row r="129" ht="34" customHeight="1">
      <c r="A129" s="7" t="n">
        <v>18</v>
      </c>
      <c r="B129" s="7" t="n">
        <v>36</v>
      </c>
      <c r="C129" s="7" t="n">
        <v>40</v>
      </c>
      <c r="D129" s="7" t="inlineStr">
        <is>
          <t>S2</t>
        </is>
      </c>
      <c r="E129" s="7" t="inlineStr">
        <is>
          <t>Riduzione della visibilità durante lo svolgimento di un'attività</t>
        </is>
      </c>
      <c r="F129" s="7" t="n">
        <v>0.25</v>
      </c>
      <c r="G129" s="7" t="n">
        <v>0.5553</v>
      </c>
      <c r="H129" s="7" t="n">
        <v>0.037</v>
      </c>
      <c r="I129" s="7" t="n">
        <v>2.0546</v>
      </c>
      <c r="J129" s="7" t="n">
        <v>4.9</v>
      </c>
    </row>
    <row r="130" ht="34" customHeight="1">
      <c r="A130" s="7" t="n">
        <v>18</v>
      </c>
      <c r="B130" s="7" t="n">
        <v>36</v>
      </c>
      <c r="C130" s="7" t="n">
        <v>40</v>
      </c>
      <c r="D130" s="7" t="inlineStr">
        <is>
          <t>S3</t>
        </is>
      </c>
      <c r="E130" s="7" t="inlineStr">
        <is>
          <t>Comportamenti non conformi durante lo svolgimento di un'attività</t>
        </is>
      </c>
      <c r="F130" s="7" t="n">
        <v>0.75</v>
      </c>
      <c r="G130" s="7" t="n">
        <v>0.982</v>
      </c>
      <c r="H130" s="7" t="n">
        <v>0.0549</v>
      </c>
      <c r="I130" s="7" t="n">
        <v>5.3912</v>
      </c>
      <c r="J130" s="7" t="n">
        <v>12.87</v>
      </c>
    </row>
    <row r="131" ht="34" customHeight="1">
      <c r="A131" s="7" t="n">
        <v>18</v>
      </c>
      <c r="B131" s="7" t="n">
        <v>36</v>
      </c>
      <c r="C131" s="7" t="n">
        <v>40</v>
      </c>
      <c r="D131" s="7" t="inlineStr">
        <is>
          <t>S4</t>
        </is>
      </c>
      <c r="E131" s="7" t="inlineStr">
        <is>
          <t>Interferenza tra mezzo e infrastrutture interne all'impianto</t>
        </is>
      </c>
      <c r="F131" s="7" t="n">
        <v>0</v>
      </c>
      <c r="G131" s="7" t="n">
        <v>0.008200000000000001</v>
      </c>
      <c r="H131" s="7" t="n">
        <v>0.1538</v>
      </c>
      <c r="I131" s="7" t="n">
        <v>0.1261</v>
      </c>
      <c r="J131" s="7" t="n">
        <v>0.3</v>
      </c>
    </row>
    <row r="132" ht="34" customHeight="1">
      <c r="A132" s="7" t="n">
        <v>18</v>
      </c>
      <c r="B132" s="7" t="n">
        <v>36</v>
      </c>
      <c r="C132" s="7" t="n">
        <v>40</v>
      </c>
      <c r="D132" s="7" t="inlineStr">
        <is>
          <t>S5</t>
        </is>
      </c>
      <c r="E132" s="7" t="inlineStr">
        <is>
          <t>Instabilità di elementi strutturali o di stoccaggio soggetti a urto o sovraccarico</t>
        </is>
      </c>
      <c r="F132" s="7" t="n">
        <v>0</v>
      </c>
      <c r="G132" s="7" t="n">
        <v>0</v>
      </c>
      <c r="H132" s="7" t="n">
        <v>0.2228</v>
      </c>
      <c r="I132" s="7" t="n">
        <v>0</v>
      </c>
      <c r="J132" s="7" t="n">
        <v>0</v>
      </c>
    </row>
    <row r="133" ht="34" customHeight="1">
      <c r="A133" s="7" t="n">
        <v>18</v>
      </c>
      <c r="B133" s="7" t="n">
        <v>36</v>
      </c>
      <c r="C133" s="7" t="n">
        <v>40</v>
      </c>
      <c r="D133" s="7" t="inlineStr">
        <is>
          <t>S6</t>
        </is>
      </c>
      <c r="E133" s="7" t="inlineStr">
        <is>
          <t>Accesso a organi meccanici in movimento durante operazioni manuali</t>
        </is>
      </c>
      <c r="F133" s="7" t="n">
        <v>0.75</v>
      </c>
      <c r="G133" s="7" t="n">
        <v>0.9955000000000001</v>
      </c>
      <c r="H133" s="7" t="n">
        <v>0.3447</v>
      </c>
      <c r="I133" s="7" t="n">
        <v>34.3149</v>
      </c>
      <c r="J133" s="7" t="n">
        <v>81.92</v>
      </c>
    </row>
    <row r="134" ht="34" customHeight="1">
      <c r="A134" s="7" t="n">
        <v>18</v>
      </c>
      <c r="B134" s="7" t="n">
        <v>36</v>
      </c>
      <c r="C134" s="7" t="n">
        <v>40</v>
      </c>
      <c r="D134" s="7" t="inlineStr">
        <is>
          <t>S7</t>
        </is>
      </c>
      <c r="E134" s="7" t="inlineStr">
        <is>
          <t>Movimentazione manuale di carichi pesanti o instabili senza ausili meccanici adeguati</t>
        </is>
      </c>
      <c r="F134" s="7" t="n">
        <v>0</v>
      </c>
      <c r="G134" s="7" t="n">
        <v>0</v>
      </c>
      <c r="H134" s="7" t="n">
        <v>0.0759</v>
      </c>
      <c r="I134" s="7" t="n">
        <v>0</v>
      </c>
      <c r="J134" s="7" t="n">
        <v>0</v>
      </c>
    </row>
    <row r="135" ht="34" customHeight="1">
      <c r="A135" s="7" t="n">
        <v>19</v>
      </c>
      <c r="B135" s="7" t="n">
        <v>38</v>
      </c>
      <c r="C135" s="7" t="n">
        <v>42</v>
      </c>
      <c r="D135" s="7" t="inlineStr">
        <is>
          <t>S1</t>
        </is>
      </c>
      <c r="E135" s="7" t="inlineStr">
        <is>
          <t>Interferenza tra persone e mezzi di movimentazione negli spazi comuni</t>
        </is>
      </c>
      <c r="F135" s="7" t="n">
        <v>0</v>
      </c>
      <c r="G135" s="7" t="n">
        <v>0</v>
      </c>
      <c r="H135" s="7" t="n">
        <v>0.1109</v>
      </c>
      <c r="I135" s="7" t="n">
        <v>0</v>
      </c>
      <c r="J135" s="7" t="n">
        <v>0</v>
      </c>
    </row>
    <row r="136" ht="34" customHeight="1">
      <c r="A136" s="7" t="n">
        <v>19</v>
      </c>
      <c r="B136" s="7" t="n">
        <v>38</v>
      </c>
      <c r="C136" s="7" t="n">
        <v>42</v>
      </c>
      <c r="D136" s="7" t="inlineStr">
        <is>
          <t>S2</t>
        </is>
      </c>
      <c r="E136" s="7" t="inlineStr">
        <is>
          <t>Riduzione della visibilità durante lo svolgimento di un'attività</t>
        </is>
      </c>
      <c r="F136" s="7" t="n">
        <v>0.5</v>
      </c>
      <c r="G136" s="7" t="n">
        <v>0.8176</v>
      </c>
      <c r="H136" s="7" t="n">
        <v>0.037</v>
      </c>
      <c r="I136" s="7" t="n">
        <v>3.0251</v>
      </c>
      <c r="J136" s="7" t="n">
        <v>7.02</v>
      </c>
    </row>
    <row r="137" ht="34" customHeight="1">
      <c r="A137" s="7" t="n">
        <v>19</v>
      </c>
      <c r="B137" s="7" t="n">
        <v>38</v>
      </c>
      <c r="C137" s="7" t="n">
        <v>42</v>
      </c>
      <c r="D137" s="7" t="inlineStr">
        <is>
          <t>S3</t>
        </is>
      </c>
      <c r="E137" s="7" t="inlineStr">
        <is>
          <t>Comportamenti non conformi durante lo svolgimento di un'attività</t>
        </is>
      </c>
      <c r="F137" s="7" t="n">
        <v>0.5</v>
      </c>
      <c r="G137" s="7" t="n">
        <v>0.8176</v>
      </c>
      <c r="H137" s="7" t="n">
        <v>0.0549</v>
      </c>
      <c r="I137" s="7" t="n">
        <v>4.4886</v>
      </c>
      <c r="J137" s="7" t="n">
        <v>10.41</v>
      </c>
    </row>
    <row r="138" ht="34" customHeight="1">
      <c r="A138" s="7" t="n">
        <v>19</v>
      </c>
      <c r="B138" s="7" t="n">
        <v>38</v>
      </c>
      <c r="C138" s="7" t="n">
        <v>42</v>
      </c>
      <c r="D138" s="7" t="inlineStr">
        <is>
          <t>S4</t>
        </is>
      </c>
      <c r="E138" s="7" t="inlineStr">
        <is>
          <t>Interferenza tra mezzo e infrastrutture interne all'impianto</t>
        </is>
      </c>
      <c r="F138" s="7" t="n">
        <v>0</v>
      </c>
      <c r="G138" s="7" t="n">
        <v>0.008200000000000001</v>
      </c>
      <c r="H138" s="7" t="n">
        <v>0.1538</v>
      </c>
      <c r="I138" s="7" t="n">
        <v>0.1261</v>
      </c>
      <c r="J138" s="7" t="n">
        <v>0.29</v>
      </c>
    </row>
    <row r="139" ht="34" customHeight="1">
      <c r="A139" s="7" t="n">
        <v>19</v>
      </c>
      <c r="B139" s="7" t="n">
        <v>38</v>
      </c>
      <c r="C139" s="7" t="n">
        <v>42</v>
      </c>
      <c r="D139" s="7" t="inlineStr">
        <is>
          <t>S5</t>
        </is>
      </c>
      <c r="E139" s="7" t="inlineStr">
        <is>
          <t>Instabilità di elementi strutturali o di stoccaggio soggetti a urto o sovraccarico</t>
        </is>
      </c>
      <c r="F139" s="7" t="n">
        <v>0.25</v>
      </c>
      <c r="G139" s="7" t="n">
        <v>0.0359</v>
      </c>
      <c r="H139" s="7" t="n">
        <v>0.2228</v>
      </c>
      <c r="I139" s="7" t="n">
        <v>0.7999000000000001</v>
      </c>
      <c r="J139" s="7" t="n">
        <v>1.86</v>
      </c>
    </row>
    <row r="140" ht="34" customHeight="1">
      <c r="A140" s="7" t="n">
        <v>19</v>
      </c>
      <c r="B140" s="7" t="n">
        <v>38</v>
      </c>
      <c r="C140" s="7" t="n">
        <v>42</v>
      </c>
      <c r="D140" s="7" t="inlineStr">
        <is>
          <t>S6</t>
        </is>
      </c>
      <c r="E140" s="7" t="inlineStr">
        <is>
          <t>Accesso a organi meccanici in movimento durante operazioni manuali</t>
        </is>
      </c>
      <c r="F140" s="7" t="n">
        <v>0.75</v>
      </c>
      <c r="G140" s="7" t="n">
        <v>0.9955000000000001</v>
      </c>
      <c r="H140" s="7" t="n">
        <v>0.3447</v>
      </c>
      <c r="I140" s="7" t="n">
        <v>34.3149</v>
      </c>
      <c r="J140" s="7" t="n">
        <v>79.59999999999999</v>
      </c>
    </row>
    <row r="141" ht="34" customHeight="1">
      <c r="A141" s="7" t="n">
        <v>19</v>
      </c>
      <c r="B141" s="7" t="n">
        <v>38</v>
      </c>
      <c r="C141" s="7" t="n">
        <v>42</v>
      </c>
      <c r="D141" s="7" t="inlineStr">
        <is>
          <t>S7</t>
        </is>
      </c>
      <c r="E141" s="7" t="inlineStr">
        <is>
          <t>Movimentazione manuale di carichi pesanti o instabili senza ausili meccanici adeguati</t>
        </is>
      </c>
      <c r="F141" s="7" t="n">
        <v>0.25</v>
      </c>
      <c r="G141" s="7" t="n">
        <v>0.0474</v>
      </c>
      <c r="H141" s="7" t="n">
        <v>0.0759</v>
      </c>
      <c r="I141" s="7" t="n">
        <v>0.3598</v>
      </c>
      <c r="J141" s="7" t="n">
        <v>0.83</v>
      </c>
    </row>
    <row r="142" ht="34" customHeight="1">
      <c r="A142" s="7" t="n">
        <v>20</v>
      </c>
      <c r="B142" s="7" t="n">
        <v>40</v>
      </c>
      <c r="C142" s="7" t="n">
        <v>44</v>
      </c>
      <c r="D142" s="7" t="inlineStr">
        <is>
          <t>S1</t>
        </is>
      </c>
      <c r="E142" s="7" t="inlineStr">
        <is>
          <t>Interferenza tra persone e mezzi di movimentazione negli spazi comuni</t>
        </is>
      </c>
      <c r="F142" s="7" t="n">
        <v>0</v>
      </c>
      <c r="G142" s="7" t="n">
        <v>0</v>
      </c>
      <c r="H142" s="7" t="n">
        <v>0.1109</v>
      </c>
      <c r="I142" s="7" t="n">
        <v>0</v>
      </c>
      <c r="J142" s="7" t="n">
        <v>0</v>
      </c>
    </row>
    <row r="143" ht="34" customHeight="1">
      <c r="A143" s="7" t="n">
        <v>20</v>
      </c>
      <c r="B143" s="7" t="n">
        <v>40</v>
      </c>
      <c r="C143" s="7" t="n">
        <v>44</v>
      </c>
      <c r="D143" s="7" t="inlineStr">
        <is>
          <t>S2</t>
        </is>
      </c>
      <c r="E143" s="7" t="inlineStr">
        <is>
          <t>Riduzione della visibilità durante lo svolgimento di un'attività</t>
        </is>
      </c>
      <c r="F143" s="7" t="n">
        <v>0.25</v>
      </c>
      <c r="G143" s="7" t="n">
        <v>0.5553</v>
      </c>
      <c r="H143" s="7" t="n">
        <v>0.037</v>
      </c>
      <c r="I143" s="7" t="n">
        <v>2.0546</v>
      </c>
      <c r="J143" s="7" t="n">
        <v>5.37</v>
      </c>
    </row>
    <row r="144" ht="34" customHeight="1">
      <c r="A144" s="7" t="n">
        <v>20</v>
      </c>
      <c r="B144" s="7" t="n">
        <v>40</v>
      </c>
      <c r="C144" s="7" t="n">
        <v>44</v>
      </c>
      <c r="D144" s="7" t="inlineStr">
        <is>
          <t>S3</t>
        </is>
      </c>
      <c r="E144" s="7" t="inlineStr">
        <is>
          <t>Comportamenti non conformi durante lo svolgimento di un'attività</t>
        </is>
      </c>
      <c r="F144" s="7" t="n">
        <v>0.5</v>
      </c>
      <c r="G144" s="7" t="n">
        <v>0.8176</v>
      </c>
      <c r="H144" s="7" t="n">
        <v>0.0549</v>
      </c>
      <c r="I144" s="7" t="n">
        <v>4.4886</v>
      </c>
      <c r="J144" s="7" t="n">
        <v>11.73</v>
      </c>
    </row>
    <row r="145" ht="34" customHeight="1">
      <c r="A145" s="7" t="n">
        <v>20</v>
      </c>
      <c r="B145" s="7" t="n">
        <v>40</v>
      </c>
      <c r="C145" s="7" t="n">
        <v>44</v>
      </c>
      <c r="D145" s="7" t="inlineStr">
        <is>
          <t>S4</t>
        </is>
      </c>
      <c r="E145" s="7" t="inlineStr">
        <is>
          <t>Interferenza tra mezzo e infrastrutture interne all'impianto</t>
        </is>
      </c>
      <c r="F145" s="7" t="n">
        <v>0</v>
      </c>
      <c r="G145" s="7" t="n">
        <v>0.008200000000000001</v>
      </c>
      <c r="H145" s="7" t="n">
        <v>0.1538</v>
      </c>
      <c r="I145" s="7" t="n">
        <v>0.1261</v>
      </c>
      <c r="J145" s="7" t="n">
        <v>0.33</v>
      </c>
    </row>
    <row r="146" ht="34" customHeight="1">
      <c r="A146" s="7" t="n">
        <v>20</v>
      </c>
      <c r="B146" s="7" t="n">
        <v>40</v>
      </c>
      <c r="C146" s="7" t="n">
        <v>44</v>
      </c>
      <c r="D146" s="7" t="inlineStr">
        <is>
          <t>S5</t>
        </is>
      </c>
      <c r="E146" s="7" t="inlineStr">
        <is>
          <t>Instabilità di elementi strutturali o di stoccaggio soggetti a urto o sovraccarico</t>
        </is>
      </c>
      <c r="F146" s="7" t="n">
        <v>0</v>
      </c>
      <c r="G146" s="7" t="n">
        <v>0</v>
      </c>
      <c r="H146" s="7" t="n">
        <v>0.2228</v>
      </c>
      <c r="I146" s="7" t="n">
        <v>0</v>
      </c>
      <c r="J146" s="7" t="n">
        <v>0</v>
      </c>
    </row>
    <row r="147" ht="34" customHeight="1">
      <c r="A147" s="7" t="n">
        <v>20</v>
      </c>
      <c r="B147" s="7" t="n">
        <v>40</v>
      </c>
      <c r="C147" s="7" t="n">
        <v>44</v>
      </c>
      <c r="D147" s="7" t="inlineStr">
        <is>
          <t>S6</t>
        </is>
      </c>
      <c r="E147" s="7" t="inlineStr">
        <is>
          <t>Accesso a organi meccanici in movimento durante operazioni manuali</t>
        </is>
      </c>
      <c r="F147" s="7" t="n">
        <v>0.5</v>
      </c>
      <c r="G147" s="7" t="n">
        <v>0.9167999999999999</v>
      </c>
      <c r="H147" s="7" t="n">
        <v>0.3447</v>
      </c>
      <c r="I147" s="7" t="n">
        <v>31.6021</v>
      </c>
      <c r="J147" s="7" t="n">
        <v>82.58</v>
      </c>
    </row>
    <row r="148" ht="34" customHeight="1">
      <c r="A148" s="7" t="n">
        <v>20</v>
      </c>
      <c r="B148" s="7" t="n">
        <v>40</v>
      </c>
      <c r="C148" s="7" t="n">
        <v>44</v>
      </c>
      <c r="D148" s="7" t="inlineStr">
        <is>
          <t>S7</t>
        </is>
      </c>
      <c r="E148" s="7" t="inlineStr">
        <is>
          <t>Movimentazione manuale di carichi pesanti o instabili senza ausili meccanici adeguati</t>
        </is>
      </c>
      <c r="F148" s="7" t="n">
        <v>0</v>
      </c>
      <c r="G148" s="7" t="n">
        <v>0</v>
      </c>
      <c r="H148" s="7" t="n">
        <v>0.0759</v>
      </c>
      <c r="I148" s="7" t="n">
        <v>0</v>
      </c>
      <c r="J148" s="7" t="n">
        <v>0</v>
      </c>
    </row>
    <row r="149" ht="34" customHeight="1">
      <c r="A149" s="7" t="n">
        <v>21</v>
      </c>
      <c r="B149" s="7" t="n">
        <v>42</v>
      </c>
      <c r="C149" s="7" t="n">
        <v>46</v>
      </c>
      <c r="D149" s="7" t="inlineStr">
        <is>
          <t>S1</t>
        </is>
      </c>
      <c r="E149" s="7" t="inlineStr">
        <is>
          <t>Interferenza tra persone e mezzi di movimentazione negli spazi comuni</t>
        </is>
      </c>
      <c r="F149" s="7" t="n">
        <v>0</v>
      </c>
      <c r="G149" s="7" t="n">
        <v>0</v>
      </c>
      <c r="H149" s="7" t="n">
        <v>0.1109</v>
      </c>
      <c r="I149" s="7" t="n">
        <v>0</v>
      </c>
      <c r="J149" s="7" t="n">
        <v>0</v>
      </c>
    </row>
    <row r="150" ht="34" customHeight="1">
      <c r="A150" s="7" t="n">
        <v>21</v>
      </c>
      <c r="B150" s="7" t="n">
        <v>42</v>
      </c>
      <c r="C150" s="7" t="n">
        <v>46</v>
      </c>
      <c r="D150" s="7" t="inlineStr">
        <is>
          <t>S2</t>
        </is>
      </c>
      <c r="E150" s="7" t="inlineStr">
        <is>
          <t>Riduzione della visibilità durante lo svolgimento di un'attività</t>
        </is>
      </c>
      <c r="F150" s="7" t="n">
        <v>0.5</v>
      </c>
      <c r="G150" s="7" t="n">
        <v>0.8176</v>
      </c>
      <c r="H150" s="7" t="n">
        <v>0.037</v>
      </c>
      <c r="I150" s="7" t="n">
        <v>3.0251</v>
      </c>
      <c r="J150" s="7" t="n">
        <v>7.32</v>
      </c>
    </row>
    <row r="151" ht="34" customHeight="1">
      <c r="A151" s="7" t="n">
        <v>21</v>
      </c>
      <c r="B151" s="7" t="n">
        <v>42</v>
      </c>
      <c r="C151" s="7" t="n">
        <v>46</v>
      </c>
      <c r="D151" s="7" t="inlineStr">
        <is>
          <t>S3</t>
        </is>
      </c>
      <c r="E151" s="7" t="inlineStr">
        <is>
          <t>Comportamenti non conformi durante lo svolgimento di un'attività</t>
        </is>
      </c>
      <c r="F151" s="7" t="n">
        <v>0.75</v>
      </c>
      <c r="G151" s="7" t="n">
        <v>0.982</v>
      </c>
      <c r="H151" s="7" t="n">
        <v>0.0549</v>
      </c>
      <c r="I151" s="7" t="n">
        <v>5.3912</v>
      </c>
      <c r="J151" s="7" t="n">
        <v>13.05</v>
      </c>
    </row>
    <row r="152" ht="34" customHeight="1">
      <c r="A152" s="7" t="n">
        <v>21</v>
      </c>
      <c r="B152" s="7" t="n">
        <v>42</v>
      </c>
      <c r="C152" s="7" t="n">
        <v>46</v>
      </c>
      <c r="D152" s="7" t="inlineStr">
        <is>
          <t>S4</t>
        </is>
      </c>
      <c r="E152" s="7" t="inlineStr">
        <is>
          <t>Interferenza tra mezzo e infrastrutture interne all'impianto</t>
        </is>
      </c>
      <c r="F152" s="7" t="n">
        <v>0</v>
      </c>
      <c r="G152" s="7" t="n">
        <v>0.008200000000000001</v>
      </c>
      <c r="H152" s="7" t="n">
        <v>0.1538</v>
      </c>
      <c r="I152" s="7" t="n">
        <v>0.1261</v>
      </c>
      <c r="J152" s="7" t="n">
        <v>0.31</v>
      </c>
    </row>
    <row r="153" ht="34" customHeight="1">
      <c r="A153" s="7" t="n">
        <v>21</v>
      </c>
      <c r="B153" s="7" t="n">
        <v>42</v>
      </c>
      <c r="C153" s="7" t="n">
        <v>46</v>
      </c>
      <c r="D153" s="7" t="inlineStr">
        <is>
          <t>S5</t>
        </is>
      </c>
      <c r="E153" s="7" t="inlineStr">
        <is>
          <t>Instabilità di elementi strutturali o di stoccaggio soggetti a urto o sovraccarico</t>
        </is>
      </c>
      <c r="F153" s="7" t="n">
        <v>0.25</v>
      </c>
      <c r="G153" s="7" t="n">
        <v>0.0359</v>
      </c>
      <c r="H153" s="7" t="n">
        <v>0.2228</v>
      </c>
      <c r="I153" s="7" t="n">
        <v>0.7999000000000001</v>
      </c>
      <c r="J153" s="7" t="n">
        <v>1.94</v>
      </c>
    </row>
    <row r="154" ht="34" customHeight="1">
      <c r="A154" s="7" t="n">
        <v>21</v>
      </c>
      <c r="B154" s="7" t="n">
        <v>42</v>
      </c>
      <c r="C154" s="7" t="n">
        <v>46</v>
      </c>
      <c r="D154" s="7" t="inlineStr">
        <is>
          <t>S6</t>
        </is>
      </c>
      <c r="E154" s="7" t="inlineStr">
        <is>
          <t>Accesso a organi meccanici in movimento durante operazioni manuali</t>
        </is>
      </c>
      <c r="F154" s="7" t="n">
        <v>0.5</v>
      </c>
      <c r="G154" s="7" t="n">
        <v>0.9167999999999999</v>
      </c>
      <c r="H154" s="7" t="n">
        <v>0.3447</v>
      </c>
      <c r="I154" s="7" t="n">
        <v>31.6021</v>
      </c>
      <c r="J154" s="7" t="n">
        <v>76.52</v>
      </c>
    </row>
    <row r="155" ht="34" customHeight="1">
      <c r="A155" s="7" t="n">
        <v>21</v>
      </c>
      <c r="B155" s="7" t="n">
        <v>42</v>
      </c>
      <c r="C155" s="7" t="n">
        <v>46</v>
      </c>
      <c r="D155" s="7" t="inlineStr">
        <is>
          <t>S7</t>
        </is>
      </c>
      <c r="E155" s="7" t="inlineStr">
        <is>
          <t>Movimentazione manuale di carichi pesanti o instabili senza ausili meccanici adeguati</t>
        </is>
      </c>
      <c r="F155" s="7" t="n">
        <v>0.25</v>
      </c>
      <c r="G155" s="7" t="n">
        <v>0.0474</v>
      </c>
      <c r="H155" s="7" t="n">
        <v>0.0759</v>
      </c>
      <c r="I155" s="7" t="n">
        <v>0.3598</v>
      </c>
      <c r="J155" s="7" t="n">
        <v>0.87</v>
      </c>
    </row>
    <row r="156" ht="34" customHeight="1">
      <c r="A156" s="7" t="n">
        <v>22</v>
      </c>
      <c r="B156" s="7" t="n">
        <v>44</v>
      </c>
      <c r="C156" s="7" t="n">
        <v>48</v>
      </c>
      <c r="D156" s="7" t="inlineStr">
        <is>
          <t>S1</t>
        </is>
      </c>
      <c r="E156" s="7" t="inlineStr">
        <is>
          <t>Interferenza tra persone e mezzi di movimentazione negli spazi comuni</t>
        </is>
      </c>
      <c r="F156" s="7" t="n">
        <v>0</v>
      </c>
      <c r="G156" s="7" t="n">
        <v>0</v>
      </c>
      <c r="H156" s="7" t="n">
        <v>0.1109</v>
      </c>
      <c r="I156" s="7" t="n">
        <v>0</v>
      </c>
      <c r="J156" s="7" t="n">
        <v>0</v>
      </c>
    </row>
    <row r="157" ht="34" customHeight="1">
      <c r="A157" s="7" t="n">
        <v>22</v>
      </c>
      <c r="B157" s="7" t="n">
        <v>44</v>
      </c>
      <c r="C157" s="7" t="n">
        <v>48</v>
      </c>
      <c r="D157" s="7" t="inlineStr">
        <is>
          <t>S2</t>
        </is>
      </c>
      <c r="E157" s="7" t="inlineStr">
        <is>
          <t>Riduzione della visibilità durante lo svolgimento di un'attività</t>
        </is>
      </c>
      <c r="F157" s="7" t="n">
        <v>0.25</v>
      </c>
      <c r="G157" s="7" t="n">
        <v>0.5553</v>
      </c>
      <c r="H157" s="7" t="n">
        <v>0.037</v>
      </c>
      <c r="I157" s="7" t="n">
        <v>2.0546</v>
      </c>
      <c r="J157" s="7" t="n">
        <v>24.2</v>
      </c>
    </row>
    <row r="158" ht="34" customHeight="1">
      <c r="A158" s="7" t="n">
        <v>22</v>
      </c>
      <c r="B158" s="7" t="n">
        <v>44</v>
      </c>
      <c r="C158" s="7" t="n">
        <v>48</v>
      </c>
      <c r="D158" s="7" t="inlineStr">
        <is>
          <t>S3</t>
        </is>
      </c>
      <c r="E158" s="7" t="inlineStr">
        <is>
          <t>Comportamenti non conformi durante lo svolgimento di un'attività</t>
        </is>
      </c>
      <c r="F158" s="7" t="n">
        <v>0.75</v>
      </c>
      <c r="G158" s="7" t="n">
        <v>0.982</v>
      </c>
      <c r="H158" s="7" t="n">
        <v>0.0549</v>
      </c>
      <c r="I158" s="7" t="n">
        <v>5.3912</v>
      </c>
      <c r="J158" s="7" t="n">
        <v>63.5</v>
      </c>
    </row>
    <row r="159" ht="34" customHeight="1">
      <c r="A159" s="7" t="n">
        <v>22</v>
      </c>
      <c r="B159" s="7" t="n">
        <v>44</v>
      </c>
      <c r="C159" s="7" t="n">
        <v>48</v>
      </c>
      <c r="D159" s="7" t="inlineStr">
        <is>
          <t>S4</t>
        </is>
      </c>
      <c r="E159" s="7" t="inlineStr">
        <is>
          <t>Interferenza tra mezzo e infrastrutture interne all'impianto</t>
        </is>
      </c>
      <c r="F159" s="7" t="n">
        <v>0</v>
      </c>
      <c r="G159" s="7" t="n">
        <v>0.008200000000000001</v>
      </c>
      <c r="H159" s="7" t="n">
        <v>0.1538</v>
      </c>
      <c r="I159" s="7" t="n">
        <v>0.1261</v>
      </c>
      <c r="J159" s="7" t="n">
        <v>1.49</v>
      </c>
    </row>
    <row r="160" ht="34" customHeight="1">
      <c r="A160" s="7" t="n">
        <v>22</v>
      </c>
      <c r="B160" s="7" t="n">
        <v>44</v>
      </c>
      <c r="C160" s="7" t="n">
        <v>48</v>
      </c>
      <c r="D160" s="7" t="inlineStr">
        <is>
          <t>S5</t>
        </is>
      </c>
      <c r="E160" s="7" t="inlineStr">
        <is>
          <t>Instabilità di elementi strutturali o di stoccaggio soggetti a urto o sovraccarico</t>
        </is>
      </c>
      <c r="F160" s="7" t="n">
        <v>0</v>
      </c>
      <c r="G160" s="7" t="n">
        <v>0</v>
      </c>
      <c r="H160" s="7" t="n">
        <v>0.2228</v>
      </c>
      <c r="I160" s="7" t="n">
        <v>0</v>
      </c>
      <c r="J160" s="7" t="n">
        <v>0</v>
      </c>
    </row>
    <row r="161" ht="34" customHeight="1">
      <c r="A161" s="7" t="n">
        <v>22</v>
      </c>
      <c r="B161" s="7" t="n">
        <v>44</v>
      </c>
      <c r="C161" s="7" t="n">
        <v>48</v>
      </c>
      <c r="D161" s="7" t="inlineStr">
        <is>
          <t>S6</t>
        </is>
      </c>
      <c r="E161" s="7" t="inlineStr">
        <is>
          <t>Accesso a organi meccanici in movimento durante operazioni manuali</t>
        </is>
      </c>
      <c r="F161" s="7" t="n">
        <v>0</v>
      </c>
      <c r="G161" s="7" t="n">
        <v>0.0266</v>
      </c>
      <c r="H161" s="7" t="n">
        <v>0.3447</v>
      </c>
      <c r="I161" s="7" t="n">
        <v>0.9169</v>
      </c>
      <c r="J161" s="7" t="n">
        <v>10.8</v>
      </c>
    </row>
    <row r="162" ht="34" customHeight="1">
      <c r="A162" s="7" t="n">
        <v>22</v>
      </c>
      <c r="B162" s="7" t="n">
        <v>44</v>
      </c>
      <c r="C162" s="7" t="n">
        <v>48</v>
      </c>
      <c r="D162" s="7" t="inlineStr">
        <is>
          <t>S7</t>
        </is>
      </c>
      <c r="E162" s="7" t="inlineStr">
        <is>
          <t>Movimentazione manuale di carichi pesanti o instabili senza ausili meccanici adeguati</t>
        </is>
      </c>
      <c r="F162" s="7" t="n">
        <v>0</v>
      </c>
      <c r="G162" s="7" t="n">
        <v>0</v>
      </c>
      <c r="H162" s="7" t="n">
        <v>0.0759</v>
      </c>
      <c r="I162" s="7" t="n">
        <v>0</v>
      </c>
      <c r="J162" s="7" t="n">
        <v>0</v>
      </c>
    </row>
    <row r="163" ht="34" customHeight="1">
      <c r="A163" s="7" t="n">
        <v>23</v>
      </c>
      <c r="B163" s="7" t="n">
        <v>46</v>
      </c>
      <c r="C163" s="7" t="n">
        <v>50</v>
      </c>
      <c r="D163" s="7" t="inlineStr">
        <is>
          <t>S1</t>
        </is>
      </c>
      <c r="E163" s="7" t="inlineStr">
        <is>
          <t>Interferenza tra persone e mezzi di movimentazione negli spazi comuni</t>
        </is>
      </c>
      <c r="F163" s="7" t="n">
        <v>0</v>
      </c>
      <c r="G163" s="7" t="n">
        <v>0</v>
      </c>
      <c r="H163" s="7" t="n">
        <v>0.1109</v>
      </c>
      <c r="I163" s="7" t="n">
        <v>0</v>
      </c>
      <c r="J163" s="7" t="n">
        <v>0</v>
      </c>
    </row>
    <row r="164" ht="34" customHeight="1">
      <c r="A164" s="7" t="n">
        <v>23</v>
      </c>
      <c r="B164" s="7" t="n">
        <v>46</v>
      </c>
      <c r="C164" s="7" t="n">
        <v>50</v>
      </c>
      <c r="D164" s="7" t="inlineStr">
        <is>
          <t>S2</t>
        </is>
      </c>
      <c r="E164" s="7" t="inlineStr">
        <is>
          <t>Riduzione della visibilità durante lo svolgimento di un'attività</t>
        </is>
      </c>
      <c r="F164" s="7" t="n">
        <v>0.25</v>
      </c>
      <c r="G164" s="7" t="n">
        <v>0.5553</v>
      </c>
      <c r="H164" s="7" t="n">
        <v>0.037</v>
      </c>
      <c r="I164" s="7" t="n">
        <v>2.0546</v>
      </c>
      <c r="J164" s="7" t="n">
        <v>10.88</v>
      </c>
    </row>
    <row r="165" ht="34" customHeight="1">
      <c r="A165" s="7" t="n">
        <v>23</v>
      </c>
      <c r="B165" s="7" t="n">
        <v>46</v>
      </c>
      <c r="C165" s="7" t="n">
        <v>50</v>
      </c>
      <c r="D165" s="7" t="inlineStr">
        <is>
          <t>S3</t>
        </is>
      </c>
      <c r="E165" s="7" t="inlineStr">
        <is>
          <t>Comportamenti non conformi durante lo svolgimento di un'attività</t>
        </is>
      </c>
      <c r="F165" s="7" t="n">
        <v>0.5</v>
      </c>
      <c r="G165" s="7" t="n">
        <v>0.8176</v>
      </c>
      <c r="H165" s="7" t="n">
        <v>0.0549</v>
      </c>
      <c r="I165" s="7" t="n">
        <v>4.4886</v>
      </c>
      <c r="J165" s="7" t="n">
        <v>23.77</v>
      </c>
    </row>
    <row r="166" ht="34" customHeight="1">
      <c r="A166" s="7" t="n">
        <v>23</v>
      </c>
      <c r="B166" s="7" t="n">
        <v>46</v>
      </c>
      <c r="C166" s="7" t="n">
        <v>50</v>
      </c>
      <c r="D166" s="7" t="inlineStr">
        <is>
          <t>S4</t>
        </is>
      </c>
      <c r="E166" s="7" t="inlineStr">
        <is>
          <t>Interferenza tra mezzo e infrastrutture interne all'impianto</t>
        </is>
      </c>
      <c r="F166" s="7" t="n">
        <v>0</v>
      </c>
      <c r="G166" s="7" t="n">
        <v>0.008200000000000001</v>
      </c>
      <c r="H166" s="7" t="n">
        <v>0.1538</v>
      </c>
      <c r="I166" s="7" t="n">
        <v>0.1261</v>
      </c>
      <c r="J166" s="7" t="n">
        <v>0.67</v>
      </c>
    </row>
    <row r="167" ht="34" customHeight="1">
      <c r="A167" s="7" t="n">
        <v>23</v>
      </c>
      <c r="B167" s="7" t="n">
        <v>46</v>
      </c>
      <c r="C167" s="7" t="n">
        <v>50</v>
      </c>
      <c r="D167" s="7" t="inlineStr">
        <is>
          <t>S5</t>
        </is>
      </c>
      <c r="E167" s="7" t="inlineStr">
        <is>
          <t>Instabilità di elementi strutturali o di stoccaggio soggetti a urto o sovraccarico</t>
        </is>
      </c>
      <c r="F167" s="7" t="n">
        <v>0</v>
      </c>
      <c r="G167" s="7" t="n">
        <v>0</v>
      </c>
      <c r="H167" s="7" t="n">
        <v>0.2228</v>
      </c>
      <c r="I167" s="7" t="n">
        <v>0</v>
      </c>
      <c r="J167" s="7" t="n">
        <v>0</v>
      </c>
    </row>
    <row r="168" ht="34" customHeight="1">
      <c r="A168" s="7" t="n">
        <v>23</v>
      </c>
      <c r="B168" s="7" t="n">
        <v>46</v>
      </c>
      <c r="C168" s="7" t="n">
        <v>50</v>
      </c>
      <c r="D168" s="7" t="inlineStr">
        <is>
          <t>S6</t>
        </is>
      </c>
      <c r="E168" s="7" t="inlineStr">
        <is>
          <t>Accesso a organi meccanici in movimento durante operazioni manuali</t>
        </is>
      </c>
      <c r="F168" s="7" t="n">
        <v>0.25</v>
      </c>
      <c r="G168" s="7" t="n">
        <v>0.3543</v>
      </c>
      <c r="H168" s="7" t="n">
        <v>0.3447</v>
      </c>
      <c r="I168" s="7" t="n">
        <v>12.2127</v>
      </c>
      <c r="J168" s="7" t="n">
        <v>64.69</v>
      </c>
    </row>
    <row r="169" ht="34" customHeight="1">
      <c r="A169" s="7" t="n">
        <v>23</v>
      </c>
      <c r="B169" s="7" t="n">
        <v>46</v>
      </c>
      <c r="C169" s="7" t="n">
        <v>50</v>
      </c>
      <c r="D169" s="7" t="inlineStr">
        <is>
          <t>S7</t>
        </is>
      </c>
      <c r="E169" s="7" t="inlineStr">
        <is>
          <t>Movimentazione manuale di carichi pesanti o instabili senza ausili meccanici adeguati</t>
        </is>
      </c>
      <c r="F169" s="7" t="n">
        <v>0</v>
      </c>
      <c r="G169" s="7" t="n">
        <v>0</v>
      </c>
      <c r="H169" s="7" t="n">
        <v>0.0759</v>
      </c>
      <c r="I169" s="7" t="n">
        <v>0</v>
      </c>
      <c r="J169" s="7" t="n">
        <v>0</v>
      </c>
    </row>
    <row r="170" ht="34" customHeight="1">
      <c r="A170" s="7" t="n">
        <v>24</v>
      </c>
      <c r="B170" s="7" t="n">
        <v>48</v>
      </c>
      <c r="C170" s="7" t="n">
        <v>52</v>
      </c>
      <c r="D170" s="7" t="inlineStr">
        <is>
          <t>S1</t>
        </is>
      </c>
      <c r="E170" s="7" t="inlineStr">
        <is>
          <t>Interferenza tra persone e mezzi di movimentazione negli spazi comuni</t>
        </is>
      </c>
      <c r="F170" s="7" t="n">
        <v>0</v>
      </c>
      <c r="G170" s="7" t="n">
        <v>0</v>
      </c>
      <c r="H170" s="7" t="n">
        <v>0.1109</v>
      </c>
      <c r="I170" s="7" t="n">
        <v>0</v>
      </c>
      <c r="J170" s="7" t="n">
        <v>0</v>
      </c>
    </row>
    <row r="171" ht="34" customHeight="1">
      <c r="A171" s="7" t="n">
        <v>24</v>
      </c>
      <c r="B171" s="7" t="n">
        <v>48</v>
      </c>
      <c r="C171" s="7" t="n">
        <v>52</v>
      </c>
      <c r="D171" s="7" t="inlineStr">
        <is>
          <t>S2</t>
        </is>
      </c>
      <c r="E171" s="7" t="inlineStr">
        <is>
          <t>Riduzione della visibilità durante lo svolgimento di un'attività</t>
        </is>
      </c>
      <c r="F171" s="7" t="n">
        <v>0.25</v>
      </c>
      <c r="G171" s="7" t="n">
        <v>0.5553</v>
      </c>
      <c r="H171" s="7" t="n">
        <v>0.037</v>
      </c>
      <c r="I171" s="7" t="n">
        <v>2.0546</v>
      </c>
      <c r="J171" s="7" t="n">
        <v>12.95</v>
      </c>
    </row>
    <row r="172" ht="34" customHeight="1">
      <c r="A172" s="7" t="n">
        <v>24</v>
      </c>
      <c r="B172" s="7" t="n">
        <v>48</v>
      </c>
      <c r="C172" s="7" t="n">
        <v>52</v>
      </c>
      <c r="D172" s="7" t="inlineStr">
        <is>
          <t>S3</t>
        </is>
      </c>
      <c r="E172" s="7" t="inlineStr">
        <is>
          <t>Comportamenti non conformi durante lo svolgimento di un'attività</t>
        </is>
      </c>
      <c r="F172" s="7" t="n">
        <v>0.25</v>
      </c>
      <c r="G172" s="7" t="n">
        <v>0.2689</v>
      </c>
      <c r="H172" s="7" t="n">
        <v>0.0549</v>
      </c>
      <c r="I172" s="7" t="n">
        <v>1.4763</v>
      </c>
      <c r="J172" s="7" t="n">
        <v>9.300000000000001</v>
      </c>
    </row>
    <row r="173" ht="34" customHeight="1">
      <c r="A173" s="7" t="n">
        <v>24</v>
      </c>
      <c r="B173" s="7" t="n">
        <v>48</v>
      </c>
      <c r="C173" s="7" t="n">
        <v>52</v>
      </c>
      <c r="D173" s="7" t="inlineStr">
        <is>
          <t>S4</t>
        </is>
      </c>
      <c r="E173" s="7" t="inlineStr">
        <is>
          <t>Interferenza tra mezzo e infrastrutture interne all'impianto</t>
        </is>
      </c>
      <c r="F173" s="7" t="n">
        <v>0</v>
      </c>
      <c r="G173" s="7" t="n">
        <v>0.008200000000000001</v>
      </c>
      <c r="H173" s="7" t="n">
        <v>0.1538</v>
      </c>
      <c r="I173" s="7" t="n">
        <v>0.1261</v>
      </c>
      <c r="J173" s="7" t="n">
        <v>0.79</v>
      </c>
    </row>
    <row r="174" ht="34" customHeight="1">
      <c r="A174" s="7" t="n">
        <v>24</v>
      </c>
      <c r="B174" s="7" t="n">
        <v>48</v>
      </c>
      <c r="C174" s="7" t="n">
        <v>52</v>
      </c>
      <c r="D174" s="7" t="inlineStr">
        <is>
          <t>S5</t>
        </is>
      </c>
      <c r="E174" s="7" t="inlineStr">
        <is>
          <t>Instabilità di elementi strutturali o di stoccaggio soggetti a urto o sovraccarico</t>
        </is>
      </c>
      <c r="F174" s="7" t="n">
        <v>0</v>
      </c>
      <c r="G174" s="7" t="n">
        <v>0</v>
      </c>
      <c r="H174" s="7" t="n">
        <v>0.2228</v>
      </c>
      <c r="I174" s="7" t="n">
        <v>0</v>
      </c>
      <c r="J174" s="7" t="n">
        <v>0</v>
      </c>
    </row>
    <row r="175" ht="34" customHeight="1">
      <c r="A175" s="7" t="n">
        <v>24</v>
      </c>
      <c r="B175" s="7" t="n">
        <v>48</v>
      </c>
      <c r="C175" s="7" t="n">
        <v>52</v>
      </c>
      <c r="D175" s="7" t="inlineStr">
        <is>
          <t>S6</t>
        </is>
      </c>
      <c r="E175" s="7" t="inlineStr">
        <is>
          <t>Accesso a organi meccanici in movimento durante operazioni manuali</t>
        </is>
      </c>
      <c r="F175" s="7" t="n">
        <v>0.25</v>
      </c>
      <c r="G175" s="7" t="n">
        <v>0.3543</v>
      </c>
      <c r="H175" s="7" t="n">
        <v>0.3447</v>
      </c>
      <c r="I175" s="7" t="n">
        <v>12.2127</v>
      </c>
      <c r="J175" s="7" t="n">
        <v>76.95</v>
      </c>
    </row>
    <row r="176" ht="34" customHeight="1">
      <c r="A176" s="7" t="n">
        <v>24</v>
      </c>
      <c r="B176" s="7" t="n">
        <v>48</v>
      </c>
      <c r="C176" s="7" t="n">
        <v>52</v>
      </c>
      <c r="D176" s="7" t="inlineStr">
        <is>
          <t>S7</t>
        </is>
      </c>
      <c r="E176" s="7" t="inlineStr">
        <is>
          <t>Movimentazione manuale di carichi pesanti o instabili senza ausili meccanici adeguati</t>
        </is>
      </c>
      <c r="F176" s="7" t="n">
        <v>0</v>
      </c>
      <c r="G176" s="7" t="n">
        <v>0</v>
      </c>
      <c r="H176" s="7" t="n">
        <v>0.0759</v>
      </c>
      <c r="I176" s="7" t="n">
        <v>0</v>
      </c>
      <c r="J176" s="7" t="n">
        <v>0</v>
      </c>
    </row>
    <row r="177" ht="34" customHeight="1">
      <c r="A177" s="7" t="n">
        <v>25</v>
      </c>
      <c r="B177" s="7" t="n">
        <v>50</v>
      </c>
      <c r="C177" s="7" t="n">
        <v>54</v>
      </c>
      <c r="D177" s="7" t="inlineStr">
        <is>
          <t>S1</t>
        </is>
      </c>
      <c r="E177" s="7" t="inlineStr">
        <is>
          <t>Interferenza tra persone e mezzi di movimentazione negli spazi comuni</t>
        </is>
      </c>
      <c r="F177" s="7" t="n">
        <v>0</v>
      </c>
      <c r="G177" s="7" t="n">
        <v>0</v>
      </c>
      <c r="H177" s="7" t="n">
        <v>0.1109</v>
      </c>
      <c r="I177" s="7" t="n">
        <v>0</v>
      </c>
      <c r="J177" s="7" t="n">
        <v>0</v>
      </c>
    </row>
    <row r="178" ht="34" customHeight="1">
      <c r="A178" s="7" t="n">
        <v>25</v>
      </c>
      <c r="B178" s="7" t="n">
        <v>50</v>
      </c>
      <c r="C178" s="7" t="n">
        <v>54</v>
      </c>
      <c r="D178" s="7" t="inlineStr">
        <is>
          <t>S2</t>
        </is>
      </c>
      <c r="E178" s="7" t="inlineStr">
        <is>
          <t>Riduzione della visibilità durante lo svolgimento di un'attività</t>
        </is>
      </c>
      <c r="F178" s="7" t="n">
        <v>0.25</v>
      </c>
      <c r="G178" s="7" t="n">
        <v>0.5553</v>
      </c>
      <c r="H178" s="7" t="n">
        <v>0.037</v>
      </c>
      <c r="I178" s="7" t="n">
        <v>2.0546</v>
      </c>
      <c r="J178" s="7" t="n">
        <v>44.96</v>
      </c>
    </row>
    <row r="179" ht="34" customHeight="1">
      <c r="A179" s="7" t="n">
        <v>25</v>
      </c>
      <c r="B179" s="7" t="n">
        <v>50</v>
      </c>
      <c r="C179" s="7" t="n">
        <v>54</v>
      </c>
      <c r="D179" s="7" t="inlineStr">
        <is>
          <t>S3</t>
        </is>
      </c>
      <c r="E179" s="7" t="inlineStr">
        <is>
          <t>Comportamenti non conformi durante lo svolgimento di un'attività</t>
        </is>
      </c>
      <c r="F179" s="7" t="n">
        <v>0.25</v>
      </c>
      <c r="G179" s="7" t="n">
        <v>0.2689</v>
      </c>
      <c r="H179" s="7" t="n">
        <v>0.0549</v>
      </c>
      <c r="I179" s="7" t="n">
        <v>1.4763</v>
      </c>
      <c r="J179" s="7" t="n">
        <v>32.3</v>
      </c>
    </row>
    <row r="180" ht="34" customHeight="1">
      <c r="A180" s="7" t="n">
        <v>25</v>
      </c>
      <c r="B180" s="7" t="n">
        <v>50</v>
      </c>
      <c r="C180" s="7" t="n">
        <v>54</v>
      </c>
      <c r="D180" s="7" t="inlineStr">
        <is>
          <t>S4</t>
        </is>
      </c>
      <c r="E180" s="7" t="inlineStr">
        <is>
          <t>Interferenza tra mezzo e infrastrutture interne all'impianto</t>
        </is>
      </c>
      <c r="F180" s="7" t="n">
        <v>0</v>
      </c>
      <c r="G180" s="7" t="n">
        <v>0.008200000000000001</v>
      </c>
      <c r="H180" s="7" t="n">
        <v>0.1538</v>
      </c>
      <c r="I180" s="7" t="n">
        <v>0.1261</v>
      </c>
      <c r="J180" s="7" t="n">
        <v>2.76</v>
      </c>
    </row>
    <row r="181" ht="34" customHeight="1">
      <c r="A181" s="7" t="n">
        <v>25</v>
      </c>
      <c r="B181" s="7" t="n">
        <v>50</v>
      </c>
      <c r="C181" s="7" t="n">
        <v>54</v>
      </c>
      <c r="D181" s="7" t="inlineStr">
        <is>
          <t>S5</t>
        </is>
      </c>
      <c r="E181" s="7" t="inlineStr">
        <is>
          <t>Instabilità di elementi strutturali o di stoccaggio soggetti a urto o sovraccarico</t>
        </is>
      </c>
      <c r="F181" s="7" t="n">
        <v>0</v>
      </c>
      <c r="G181" s="7" t="n">
        <v>0</v>
      </c>
      <c r="H181" s="7" t="n">
        <v>0.2228</v>
      </c>
      <c r="I181" s="7" t="n">
        <v>0</v>
      </c>
      <c r="J181" s="7" t="n">
        <v>0</v>
      </c>
    </row>
    <row r="182" ht="34" customHeight="1">
      <c r="A182" s="7" t="n">
        <v>25</v>
      </c>
      <c r="B182" s="7" t="n">
        <v>50</v>
      </c>
      <c r="C182" s="7" t="n">
        <v>54</v>
      </c>
      <c r="D182" s="7" t="inlineStr">
        <is>
          <t>S6</t>
        </is>
      </c>
      <c r="E182" s="7" t="inlineStr">
        <is>
          <t>Accesso a organi meccanici in movimento durante operazioni manuali</t>
        </is>
      </c>
      <c r="F182" s="7" t="n">
        <v>0</v>
      </c>
      <c r="G182" s="7" t="n">
        <v>0.0266</v>
      </c>
      <c r="H182" s="7" t="n">
        <v>0.3447</v>
      </c>
      <c r="I182" s="7" t="n">
        <v>0.9169</v>
      </c>
      <c r="J182" s="7" t="n">
        <v>20.06</v>
      </c>
    </row>
    <row r="183" ht="34" customHeight="1">
      <c r="A183" s="7" t="n">
        <v>25</v>
      </c>
      <c r="B183" s="7" t="n">
        <v>50</v>
      </c>
      <c r="C183" s="7" t="n">
        <v>54</v>
      </c>
      <c r="D183" s="7" t="inlineStr">
        <is>
          <t>S7</t>
        </is>
      </c>
      <c r="E183" s="7" t="inlineStr">
        <is>
          <t>Movimentazione manuale di carichi pesanti o instabili senza ausili meccanici adeguati</t>
        </is>
      </c>
      <c r="F183" s="7" t="n">
        <v>0</v>
      </c>
      <c r="G183" s="7" t="n">
        <v>0</v>
      </c>
      <c r="H183" s="7" t="n">
        <v>0.0759</v>
      </c>
      <c r="I183" s="7" t="n">
        <v>0</v>
      </c>
      <c r="J183" s="7" t="n">
        <v>0</v>
      </c>
    </row>
    <row r="184" ht="34" customHeight="1">
      <c r="A184" s="7" t="n">
        <v>26</v>
      </c>
      <c r="B184" s="7" t="n">
        <v>52</v>
      </c>
      <c r="C184" s="7" t="n">
        <v>56</v>
      </c>
      <c r="D184" s="7" t="inlineStr">
        <is>
          <t>S1</t>
        </is>
      </c>
      <c r="E184" s="7" t="inlineStr">
        <is>
          <t>Interferenza tra persone e mezzi di movimentazione negli spazi comuni</t>
        </is>
      </c>
      <c r="F184" s="7" t="n">
        <v>0</v>
      </c>
      <c r="G184" s="7" t="n">
        <v>0</v>
      </c>
      <c r="H184" s="7" t="n">
        <v>0.1109</v>
      </c>
      <c r="I184" s="7" t="n">
        <v>0</v>
      </c>
      <c r="J184" s="7" t="n">
        <v>0</v>
      </c>
    </row>
    <row r="185" ht="34" customHeight="1">
      <c r="A185" s="7" t="n">
        <v>26</v>
      </c>
      <c r="B185" s="7" t="n">
        <v>52</v>
      </c>
      <c r="C185" s="7" t="n">
        <v>56</v>
      </c>
      <c r="D185" s="7" t="inlineStr">
        <is>
          <t>S2</t>
        </is>
      </c>
      <c r="E185" s="7" t="inlineStr">
        <is>
          <t>Riduzione della visibilità durante lo svolgimento di un'attività</t>
        </is>
      </c>
      <c r="F185" s="7" t="n">
        <v>0.25</v>
      </c>
      <c r="G185" s="7" t="n">
        <v>0.5553</v>
      </c>
      <c r="H185" s="7" t="n">
        <v>0.037</v>
      </c>
      <c r="I185" s="7" t="n">
        <v>2.0546</v>
      </c>
      <c r="J185" s="7" t="n">
        <v>10.25</v>
      </c>
    </row>
    <row r="186" ht="34" customHeight="1">
      <c r="A186" s="7" t="n">
        <v>26</v>
      </c>
      <c r="B186" s="7" t="n">
        <v>52</v>
      </c>
      <c r="C186" s="7" t="n">
        <v>56</v>
      </c>
      <c r="D186" s="7" t="inlineStr">
        <is>
          <t>S3</t>
        </is>
      </c>
      <c r="E186" s="7" t="inlineStr">
        <is>
          <t>Comportamenti non conformi durante lo svolgimento di un'attività</t>
        </is>
      </c>
      <c r="F186" s="7" t="n">
        <v>0.5</v>
      </c>
      <c r="G186" s="7" t="n">
        <v>0.8176</v>
      </c>
      <c r="H186" s="7" t="n">
        <v>0.0549</v>
      </c>
      <c r="I186" s="7" t="n">
        <v>4.4886</v>
      </c>
      <c r="J186" s="7" t="n">
        <v>22.4</v>
      </c>
    </row>
    <row r="187" ht="34" customHeight="1">
      <c r="A187" s="7" t="n">
        <v>26</v>
      </c>
      <c r="B187" s="7" t="n">
        <v>52</v>
      </c>
      <c r="C187" s="7" t="n">
        <v>56</v>
      </c>
      <c r="D187" s="7" t="inlineStr">
        <is>
          <t>S4</t>
        </is>
      </c>
      <c r="E187" s="7" t="inlineStr">
        <is>
          <t>Interferenza tra mezzo e infrastrutture interne all'impianto</t>
        </is>
      </c>
      <c r="F187" s="7" t="n">
        <v>0</v>
      </c>
      <c r="G187" s="7" t="n">
        <v>0.008200000000000001</v>
      </c>
      <c r="H187" s="7" t="n">
        <v>0.1538</v>
      </c>
      <c r="I187" s="7" t="n">
        <v>0.1261</v>
      </c>
      <c r="J187" s="7" t="n">
        <v>0.63</v>
      </c>
    </row>
    <row r="188" ht="34" customHeight="1">
      <c r="A188" s="7" t="n">
        <v>26</v>
      </c>
      <c r="B188" s="7" t="n">
        <v>52</v>
      </c>
      <c r="C188" s="7" t="n">
        <v>56</v>
      </c>
      <c r="D188" s="7" t="inlineStr">
        <is>
          <t>S5</t>
        </is>
      </c>
      <c r="E188" s="7" t="inlineStr">
        <is>
          <t>Instabilità di elementi strutturali o di stoccaggio soggetti a urto o sovraccarico</t>
        </is>
      </c>
      <c r="F188" s="7" t="n">
        <v>0.25</v>
      </c>
      <c r="G188" s="7" t="n">
        <v>0.0359</v>
      </c>
      <c r="H188" s="7" t="n">
        <v>0.2228</v>
      </c>
      <c r="I188" s="7" t="n">
        <v>0.7999000000000001</v>
      </c>
      <c r="J188" s="7" t="n">
        <v>3.99</v>
      </c>
    </row>
    <row r="189" ht="34" customHeight="1">
      <c r="A189" s="7" t="n">
        <v>26</v>
      </c>
      <c r="B189" s="7" t="n">
        <v>52</v>
      </c>
      <c r="C189" s="7" t="n">
        <v>56</v>
      </c>
      <c r="D189" s="7" t="inlineStr">
        <is>
          <t>S6</t>
        </is>
      </c>
      <c r="E189" s="7" t="inlineStr">
        <is>
          <t>Accesso a organi meccanici in movimento durante operazioni manuali</t>
        </is>
      </c>
      <c r="F189" s="7" t="n">
        <v>0.25</v>
      </c>
      <c r="G189" s="7" t="n">
        <v>0.3543</v>
      </c>
      <c r="H189" s="7" t="n">
        <v>0.3447</v>
      </c>
      <c r="I189" s="7" t="n">
        <v>12.2127</v>
      </c>
      <c r="J189" s="7" t="n">
        <v>60.94</v>
      </c>
    </row>
    <row r="190" ht="34" customHeight="1">
      <c r="A190" s="7" t="n">
        <v>26</v>
      </c>
      <c r="B190" s="7" t="n">
        <v>52</v>
      </c>
      <c r="C190" s="7" t="n">
        <v>56</v>
      </c>
      <c r="D190" s="7" t="inlineStr">
        <is>
          <t>S7</t>
        </is>
      </c>
      <c r="E190" s="7" t="inlineStr">
        <is>
          <t>Movimentazione manuale di carichi pesanti o instabili senza ausili meccanici adeguati</t>
        </is>
      </c>
      <c r="F190" s="7" t="n">
        <v>0.25</v>
      </c>
      <c r="G190" s="7" t="n">
        <v>0.0474</v>
      </c>
      <c r="H190" s="7" t="n">
        <v>0.0759</v>
      </c>
      <c r="I190" s="7" t="n">
        <v>0.3598</v>
      </c>
      <c r="J190" s="7" t="n">
        <v>1.8</v>
      </c>
    </row>
    <row r="191" ht="34" customHeight="1">
      <c r="A191" s="7" t="n">
        <v>27</v>
      </c>
      <c r="B191" s="7" t="n">
        <v>54</v>
      </c>
      <c r="C191" s="7" t="n">
        <v>58</v>
      </c>
      <c r="D191" s="7" t="inlineStr">
        <is>
          <t>S1</t>
        </is>
      </c>
      <c r="E191" s="7" t="inlineStr">
        <is>
          <t>Interferenza tra persone e mezzi di movimentazione negli spazi comuni</t>
        </is>
      </c>
      <c r="F191" s="7" t="n">
        <v>0.25</v>
      </c>
      <c r="G191" s="7" t="n">
        <v>0.25</v>
      </c>
      <c r="H191" s="7" t="n">
        <v>0.1109</v>
      </c>
      <c r="I191" s="7" t="n">
        <v>2.7725</v>
      </c>
      <c r="J191" s="7" t="n">
        <v>24.07</v>
      </c>
    </row>
    <row r="192" ht="34" customHeight="1">
      <c r="A192" s="7" t="n">
        <v>27</v>
      </c>
      <c r="B192" s="7" t="n">
        <v>54</v>
      </c>
      <c r="C192" s="7" t="n">
        <v>58</v>
      </c>
      <c r="D192" s="7" t="inlineStr">
        <is>
          <t>S2</t>
        </is>
      </c>
      <c r="E192" s="7" t="inlineStr">
        <is>
          <t>Riduzione della visibilità durante lo svolgimento di un'attività</t>
        </is>
      </c>
      <c r="F192" s="7" t="n">
        <v>0.25</v>
      </c>
      <c r="G192" s="7" t="n">
        <v>0.5553</v>
      </c>
      <c r="H192" s="7" t="n">
        <v>0.037</v>
      </c>
      <c r="I192" s="7" t="n">
        <v>2.0546</v>
      </c>
      <c r="J192" s="7" t="n">
        <v>17.84</v>
      </c>
    </row>
    <row r="193" ht="34" customHeight="1">
      <c r="A193" s="7" t="n">
        <v>27</v>
      </c>
      <c r="B193" s="7" t="n">
        <v>54</v>
      </c>
      <c r="C193" s="7" t="n">
        <v>58</v>
      </c>
      <c r="D193" s="7" t="inlineStr">
        <is>
          <t>S3</t>
        </is>
      </c>
      <c r="E193" s="7" t="inlineStr">
        <is>
          <t>Comportamenti non conformi durante lo svolgimento di un'attività</t>
        </is>
      </c>
      <c r="F193" s="7" t="n">
        <v>0.5</v>
      </c>
      <c r="G193" s="7" t="n">
        <v>0.8176</v>
      </c>
      <c r="H193" s="7" t="n">
        <v>0.0549</v>
      </c>
      <c r="I193" s="7" t="n">
        <v>4.4886</v>
      </c>
      <c r="J193" s="7" t="n">
        <v>38.96</v>
      </c>
    </row>
    <row r="194" ht="34" customHeight="1">
      <c r="A194" s="7" t="n">
        <v>27</v>
      </c>
      <c r="B194" s="7" t="n">
        <v>54</v>
      </c>
      <c r="C194" s="7" t="n">
        <v>58</v>
      </c>
      <c r="D194" s="7" t="inlineStr">
        <is>
          <t>S4</t>
        </is>
      </c>
      <c r="E194" s="7" t="inlineStr">
        <is>
          <t>Interferenza tra mezzo e infrastrutture interne all'impianto</t>
        </is>
      </c>
      <c r="F194" s="7" t="n">
        <v>0</v>
      </c>
      <c r="G194" s="7" t="n">
        <v>0.008200000000000001</v>
      </c>
      <c r="H194" s="7" t="n">
        <v>0.1538</v>
      </c>
      <c r="I194" s="7" t="n">
        <v>0.1261</v>
      </c>
      <c r="J194" s="7" t="n">
        <v>1.09</v>
      </c>
    </row>
    <row r="195" ht="34" customHeight="1">
      <c r="A195" s="7" t="n">
        <v>27</v>
      </c>
      <c r="B195" s="7" t="n">
        <v>54</v>
      </c>
      <c r="C195" s="7" t="n">
        <v>58</v>
      </c>
      <c r="D195" s="7" t="inlineStr">
        <is>
          <t>S5</t>
        </is>
      </c>
      <c r="E195" s="7" t="inlineStr">
        <is>
          <t>Instabilità di elementi strutturali o di stoccaggio soggetti a urto o sovraccarico</t>
        </is>
      </c>
      <c r="F195" s="7" t="n">
        <v>0.25</v>
      </c>
      <c r="G195" s="7" t="n">
        <v>0.0359</v>
      </c>
      <c r="H195" s="7" t="n">
        <v>0.2228</v>
      </c>
      <c r="I195" s="7" t="n">
        <v>0.7999000000000001</v>
      </c>
      <c r="J195" s="7" t="n">
        <v>6.94</v>
      </c>
    </row>
    <row r="196" ht="34" customHeight="1">
      <c r="A196" s="7" t="n">
        <v>27</v>
      </c>
      <c r="B196" s="7" t="n">
        <v>54</v>
      </c>
      <c r="C196" s="7" t="n">
        <v>58</v>
      </c>
      <c r="D196" s="7" t="inlineStr">
        <is>
          <t>S6</t>
        </is>
      </c>
      <c r="E196" s="7" t="inlineStr">
        <is>
          <t>Accesso a organi meccanici in movimento durante operazioni manuali</t>
        </is>
      </c>
      <c r="F196" s="7" t="n">
        <v>0</v>
      </c>
      <c r="G196" s="7" t="n">
        <v>0.0266</v>
      </c>
      <c r="H196" s="7" t="n">
        <v>0.3447</v>
      </c>
      <c r="I196" s="7" t="n">
        <v>0.9169</v>
      </c>
      <c r="J196" s="7" t="n">
        <v>7.96</v>
      </c>
    </row>
    <row r="197" ht="34" customHeight="1">
      <c r="A197" s="7" t="n">
        <v>27</v>
      </c>
      <c r="B197" s="7" t="n">
        <v>54</v>
      </c>
      <c r="C197" s="7" t="n">
        <v>58</v>
      </c>
      <c r="D197" s="7" t="inlineStr">
        <is>
          <t>S7</t>
        </is>
      </c>
      <c r="E197" s="7" t="inlineStr">
        <is>
          <t>Movimentazione manuale di carichi pesanti o instabili senza ausili meccanici adeguati</t>
        </is>
      </c>
      <c r="F197" s="7" t="n">
        <v>0.25</v>
      </c>
      <c r="G197" s="7" t="n">
        <v>0.0474</v>
      </c>
      <c r="H197" s="7" t="n">
        <v>0.0759</v>
      </c>
      <c r="I197" s="7" t="n">
        <v>0.3598</v>
      </c>
      <c r="J197" s="7" t="n">
        <v>3.12</v>
      </c>
    </row>
    <row r="198" ht="34" customHeight="1">
      <c r="A198" s="7" t="n">
        <v>28</v>
      </c>
      <c r="B198" s="7" t="n">
        <v>56</v>
      </c>
      <c r="C198" s="7" t="n">
        <v>60</v>
      </c>
      <c r="D198" s="7" t="inlineStr">
        <is>
          <t>S1</t>
        </is>
      </c>
      <c r="E198" s="7" t="inlineStr">
        <is>
          <t>Interferenza tra persone e mezzi di movimentazione negli spazi comuni</t>
        </is>
      </c>
      <c r="F198" s="7" t="n">
        <v>0</v>
      </c>
      <c r="G198" s="7" t="n">
        <v>0</v>
      </c>
      <c r="H198" s="7" t="n">
        <v>0.1109</v>
      </c>
      <c r="I198" s="7" t="n">
        <v>0</v>
      </c>
      <c r="J198" s="7" t="n">
        <v>0</v>
      </c>
    </row>
    <row r="199" ht="34" customHeight="1">
      <c r="A199" s="7" t="n">
        <v>28</v>
      </c>
      <c r="B199" s="7" t="n">
        <v>56</v>
      </c>
      <c r="C199" s="7" t="n">
        <v>60</v>
      </c>
      <c r="D199" s="7" t="inlineStr">
        <is>
          <t>S2</t>
        </is>
      </c>
      <c r="E199" s="7" t="inlineStr">
        <is>
          <t>Riduzione della visibilità durante lo svolgimento di un'attività</t>
        </is>
      </c>
      <c r="F199" s="7" t="n">
        <v>0.25</v>
      </c>
      <c r="G199" s="7" t="n">
        <v>0.5553</v>
      </c>
      <c r="H199" s="7" t="n">
        <v>0.037</v>
      </c>
      <c r="I199" s="7" t="n">
        <v>2.0546</v>
      </c>
      <c r="J199" s="7" t="n">
        <v>44.96</v>
      </c>
    </row>
    <row r="200" ht="34" customHeight="1">
      <c r="A200" s="7" t="n">
        <v>28</v>
      </c>
      <c r="B200" s="7" t="n">
        <v>56</v>
      </c>
      <c r="C200" s="7" t="n">
        <v>60</v>
      </c>
      <c r="D200" s="7" t="inlineStr">
        <is>
          <t>S3</t>
        </is>
      </c>
      <c r="E200" s="7" t="inlineStr">
        <is>
          <t>Comportamenti non conformi durante lo svolgimento di un'attività</t>
        </is>
      </c>
      <c r="F200" s="7" t="n">
        <v>0.25</v>
      </c>
      <c r="G200" s="7" t="n">
        <v>0.2689</v>
      </c>
      <c r="H200" s="7" t="n">
        <v>0.0549</v>
      </c>
      <c r="I200" s="7" t="n">
        <v>1.4763</v>
      </c>
      <c r="J200" s="7" t="n">
        <v>32.3</v>
      </c>
    </row>
    <row r="201" ht="34" customHeight="1">
      <c r="A201" s="7" t="n">
        <v>28</v>
      </c>
      <c r="B201" s="7" t="n">
        <v>56</v>
      </c>
      <c r="C201" s="7" t="n">
        <v>60</v>
      </c>
      <c r="D201" s="7" t="inlineStr">
        <is>
          <t>S4</t>
        </is>
      </c>
      <c r="E201" s="7" t="inlineStr">
        <is>
          <t>Interferenza tra mezzo e infrastrutture interne all'impianto</t>
        </is>
      </c>
      <c r="F201" s="7" t="n">
        <v>0</v>
      </c>
      <c r="G201" s="7" t="n">
        <v>0.008200000000000001</v>
      </c>
      <c r="H201" s="7" t="n">
        <v>0.1538</v>
      </c>
      <c r="I201" s="7" t="n">
        <v>0.1261</v>
      </c>
      <c r="J201" s="7" t="n">
        <v>2.76</v>
      </c>
    </row>
    <row r="202" ht="34" customHeight="1">
      <c r="A202" s="7" t="n">
        <v>28</v>
      </c>
      <c r="B202" s="7" t="n">
        <v>56</v>
      </c>
      <c r="C202" s="7" t="n">
        <v>60</v>
      </c>
      <c r="D202" s="7" t="inlineStr">
        <is>
          <t>S5</t>
        </is>
      </c>
      <c r="E202" s="7" t="inlineStr">
        <is>
          <t>Instabilità di elementi strutturali o di stoccaggio soggetti a urto o sovraccarico</t>
        </is>
      </c>
      <c r="F202" s="7" t="n">
        <v>0</v>
      </c>
      <c r="G202" s="7" t="n">
        <v>0</v>
      </c>
      <c r="H202" s="7" t="n">
        <v>0.2228</v>
      </c>
      <c r="I202" s="7" t="n">
        <v>0</v>
      </c>
      <c r="J202" s="7" t="n">
        <v>0</v>
      </c>
    </row>
    <row r="203" ht="34" customHeight="1">
      <c r="A203" s="7" t="n">
        <v>28</v>
      </c>
      <c r="B203" s="7" t="n">
        <v>56</v>
      </c>
      <c r="C203" s="7" t="n">
        <v>60</v>
      </c>
      <c r="D203" s="7" t="inlineStr">
        <is>
          <t>S6</t>
        </is>
      </c>
      <c r="E203" s="7" t="inlineStr">
        <is>
          <t>Accesso a organi meccanici in movimento durante operazioni manuali</t>
        </is>
      </c>
      <c r="F203" s="7" t="n">
        <v>0</v>
      </c>
      <c r="G203" s="7" t="n">
        <v>0.0266</v>
      </c>
      <c r="H203" s="7" t="n">
        <v>0.3447</v>
      </c>
      <c r="I203" s="7" t="n">
        <v>0.9169</v>
      </c>
      <c r="J203" s="7" t="n">
        <v>20.06</v>
      </c>
    </row>
    <row r="204" ht="34" customHeight="1">
      <c r="A204" s="7" t="n">
        <v>28</v>
      </c>
      <c r="B204" s="7" t="n">
        <v>56</v>
      </c>
      <c r="C204" s="7" t="n">
        <v>60</v>
      </c>
      <c r="D204" s="7" t="inlineStr">
        <is>
          <t>S7</t>
        </is>
      </c>
      <c r="E204" s="7" t="inlineStr">
        <is>
          <t>Movimentazione manuale di carichi pesanti o instabili senza ausili meccanici adeguati</t>
        </is>
      </c>
      <c r="F204" s="7" t="n">
        <v>0</v>
      </c>
      <c r="G204" s="7" t="n">
        <v>0</v>
      </c>
      <c r="H204" s="7" t="n">
        <v>0.0759</v>
      </c>
      <c r="I204" s="7" t="n">
        <v>0</v>
      </c>
      <c r="J204" s="7" t="n">
        <v>0</v>
      </c>
    </row>
    <row r="205" ht="34" customHeight="1">
      <c r="A205" s="7" t="n">
        <v>29</v>
      </c>
      <c r="B205" s="7" t="n">
        <v>58</v>
      </c>
      <c r="C205" s="7" t="n">
        <v>62</v>
      </c>
      <c r="D205" s="7" t="inlineStr">
        <is>
          <t>S1</t>
        </is>
      </c>
      <c r="E205" s="7" t="inlineStr">
        <is>
          <t>Interferenza tra persone e mezzi di movimentazione negli spazi comuni</t>
        </is>
      </c>
      <c r="F205" s="7" t="n">
        <v>0</v>
      </c>
      <c r="G205" s="7" t="n">
        <v>0</v>
      </c>
      <c r="H205" s="7" t="n">
        <v>0.1109</v>
      </c>
      <c r="I205" s="7" t="n">
        <v>0</v>
      </c>
      <c r="J205" s="7" t="n">
        <v>0</v>
      </c>
    </row>
    <row r="206" ht="34" customHeight="1">
      <c r="A206" s="7" t="n">
        <v>29</v>
      </c>
      <c r="B206" s="7" t="n">
        <v>58</v>
      </c>
      <c r="C206" s="7" t="n">
        <v>62</v>
      </c>
      <c r="D206" s="7" t="inlineStr">
        <is>
          <t>S2</t>
        </is>
      </c>
      <c r="E206" s="7" t="inlineStr">
        <is>
          <t>Riduzione della visibilità durante lo svolgimento di un'attività</t>
        </is>
      </c>
      <c r="F206" s="7" t="n">
        <v>0.25</v>
      </c>
      <c r="G206" s="7" t="n">
        <v>0.5553</v>
      </c>
      <c r="H206" s="7" t="n">
        <v>0.037</v>
      </c>
      <c r="I206" s="7" t="n">
        <v>2.0546</v>
      </c>
      <c r="J206" s="7" t="n">
        <v>35.86</v>
      </c>
    </row>
    <row r="207" ht="34" customHeight="1">
      <c r="A207" s="7" t="n">
        <v>29</v>
      </c>
      <c r="B207" s="7" t="n">
        <v>58</v>
      </c>
      <c r="C207" s="7" t="n">
        <v>62</v>
      </c>
      <c r="D207" s="7" t="inlineStr">
        <is>
          <t>S3</t>
        </is>
      </c>
      <c r="E207" s="7" t="inlineStr">
        <is>
          <t>Comportamenti non conformi durante lo svolgimento di un'attività</t>
        </is>
      </c>
      <c r="F207" s="7" t="n">
        <v>0.25</v>
      </c>
      <c r="G207" s="7" t="n">
        <v>0.2689</v>
      </c>
      <c r="H207" s="7" t="n">
        <v>0.0549</v>
      </c>
      <c r="I207" s="7" t="n">
        <v>1.4763</v>
      </c>
      <c r="J207" s="7" t="n">
        <v>25.76</v>
      </c>
    </row>
    <row r="208" ht="34" customHeight="1">
      <c r="A208" s="7" t="n">
        <v>29</v>
      </c>
      <c r="B208" s="7" t="n">
        <v>58</v>
      </c>
      <c r="C208" s="7" t="n">
        <v>62</v>
      </c>
      <c r="D208" s="7" t="inlineStr">
        <is>
          <t>S4</t>
        </is>
      </c>
      <c r="E208" s="7" t="inlineStr">
        <is>
          <t>Interferenza tra mezzo e infrastrutture interne all'impianto</t>
        </is>
      </c>
      <c r="F208" s="7" t="n">
        <v>0</v>
      </c>
      <c r="G208" s="7" t="n">
        <v>0.008200000000000001</v>
      </c>
      <c r="H208" s="7" t="n">
        <v>0.1538</v>
      </c>
      <c r="I208" s="7" t="n">
        <v>0.1261</v>
      </c>
      <c r="J208" s="7" t="n">
        <v>2.2</v>
      </c>
    </row>
    <row r="209" ht="34" customHeight="1">
      <c r="A209" s="7" t="n">
        <v>29</v>
      </c>
      <c r="B209" s="7" t="n">
        <v>58</v>
      </c>
      <c r="C209" s="7" t="n">
        <v>62</v>
      </c>
      <c r="D209" s="7" t="inlineStr">
        <is>
          <t>S5</t>
        </is>
      </c>
      <c r="E209" s="7" t="inlineStr">
        <is>
          <t>Instabilità di elementi strutturali o di stoccaggio soggetti a urto o sovraccarico</t>
        </is>
      </c>
      <c r="F209" s="7" t="n">
        <v>0.25</v>
      </c>
      <c r="G209" s="7" t="n">
        <v>0.0359</v>
      </c>
      <c r="H209" s="7" t="n">
        <v>0.2228</v>
      </c>
      <c r="I209" s="7" t="n">
        <v>0.7999000000000001</v>
      </c>
      <c r="J209" s="7" t="n">
        <v>13.96</v>
      </c>
    </row>
    <row r="210" ht="34" customHeight="1">
      <c r="A210" s="7" t="n">
        <v>29</v>
      </c>
      <c r="B210" s="7" t="n">
        <v>58</v>
      </c>
      <c r="C210" s="7" t="n">
        <v>62</v>
      </c>
      <c r="D210" s="7" t="inlineStr">
        <is>
          <t>S6</t>
        </is>
      </c>
      <c r="E210" s="7" t="inlineStr">
        <is>
          <t>Accesso a organi meccanici in movimento durante operazioni manuali</t>
        </is>
      </c>
      <c r="F210" s="7" t="n">
        <v>0</v>
      </c>
      <c r="G210" s="7" t="n">
        <v>0.0266</v>
      </c>
      <c r="H210" s="7" t="n">
        <v>0.3447</v>
      </c>
      <c r="I210" s="7" t="n">
        <v>0.9169</v>
      </c>
      <c r="J210" s="7" t="n">
        <v>16</v>
      </c>
    </row>
    <row r="211" ht="34" customHeight="1">
      <c r="A211" s="7" t="n">
        <v>29</v>
      </c>
      <c r="B211" s="7" t="n">
        <v>58</v>
      </c>
      <c r="C211" s="7" t="n">
        <v>62</v>
      </c>
      <c r="D211" s="7" t="inlineStr">
        <is>
          <t>S7</t>
        </is>
      </c>
      <c r="E211" s="7" t="inlineStr">
        <is>
          <t>Movimentazione manuale di carichi pesanti o instabili senza ausili meccanici adeguati</t>
        </is>
      </c>
      <c r="F211" s="7" t="n">
        <v>0.25</v>
      </c>
      <c r="G211" s="7" t="n">
        <v>0.0474</v>
      </c>
      <c r="H211" s="7" t="n">
        <v>0.0759</v>
      </c>
      <c r="I211" s="7" t="n">
        <v>0.3598</v>
      </c>
      <c r="J211" s="7" t="n">
        <v>6.28</v>
      </c>
    </row>
    <row r="212" ht="34" customHeight="1">
      <c r="A212" s="7" t="n">
        <v>30</v>
      </c>
      <c r="B212" s="7" t="n">
        <v>60</v>
      </c>
      <c r="C212" s="7" t="n">
        <v>62.533</v>
      </c>
      <c r="D212" s="7" t="inlineStr">
        <is>
          <t>S1</t>
        </is>
      </c>
      <c r="E212" s="7" t="inlineStr">
        <is>
          <t>Interferenza tra persone e mezzi di movimentazione negli spazi comuni</t>
        </is>
      </c>
      <c r="F212" s="7" t="n">
        <v>0</v>
      </c>
      <c r="G212" s="7" t="n">
        <v>0</v>
      </c>
      <c r="H212" s="7" t="n">
        <v>0.1109</v>
      </c>
      <c r="I212" s="7" t="n">
        <v>0</v>
      </c>
      <c r="J212" s="7" t="n">
        <v>0</v>
      </c>
    </row>
    <row r="213" ht="34" customHeight="1">
      <c r="A213" s="7" t="n">
        <v>30</v>
      </c>
      <c r="B213" s="7" t="n">
        <v>60</v>
      </c>
      <c r="C213" s="7" t="n">
        <v>62.533</v>
      </c>
      <c r="D213" s="7" t="inlineStr">
        <is>
          <t>S2</t>
        </is>
      </c>
      <c r="E213" s="7" t="inlineStr">
        <is>
          <t>Riduzione della visibilità durante lo svolgimento di un'attività</t>
        </is>
      </c>
      <c r="F213" s="7" t="n">
        <v>0</v>
      </c>
      <c r="G213" s="7" t="n">
        <v>0</v>
      </c>
      <c r="H213" s="7" t="n">
        <v>0.037</v>
      </c>
      <c r="I213" s="7" t="n">
        <v>0</v>
      </c>
      <c r="J213" s="7" t="n">
        <v>0</v>
      </c>
    </row>
    <row r="214" ht="34" customHeight="1">
      <c r="A214" s="7" t="n">
        <v>30</v>
      </c>
      <c r="B214" s="7" t="n">
        <v>60</v>
      </c>
      <c r="C214" s="7" t="n">
        <v>62.533</v>
      </c>
      <c r="D214" s="7" t="inlineStr">
        <is>
          <t>S3</t>
        </is>
      </c>
      <c r="E214" s="7" t="inlineStr">
        <is>
          <t>Comportamenti non conformi durante lo svolgimento di un'attività</t>
        </is>
      </c>
      <c r="F214" s="7" t="n">
        <v>0</v>
      </c>
      <c r="G214" s="7" t="n">
        <v>0.0293</v>
      </c>
      <c r="H214" s="7" t="n">
        <v>0.0549</v>
      </c>
      <c r="I214" s="7" t="n">
        <v>0.1609</v>
      </c>
      <c r="J214" s="7" t="n">
        <v>13.41</v>
      </c>
    </row>
    <row r="215" ht="34" customHeight="1">
      <c r="A215" s="7" t="n">
        <v>30</v>
      </c>
      <c r="B215" s="7" t="n">
        <v>60</v>
      </c>
      <c r="C215" s="7" t="n">
        <v>62.533</v>
      </c>
      <c r="D215" s="7" t="inlineStr">
        <is>
          <t>S4</t>
        </is>
      </c>
      <c r="E215" s="7" t="inlineStr">
        <is>
          <t>Interferenza tra mezzo e infrastrutture interne all'impianto</t>
        </is>
      </c>
      <c r="F215" s="7" t="n">
        <v>0</v>
      </c>
      <c r="G215" s="7" t="n">
        <v>0.008200000000000001</v>
      </c>
      <c r="H215" s="7" t="n">
        <v>0.1538</v>
      </c>
      <c r="I215" s="7" t="n">
        <v>0.1261</v>
      </c>
      <c r="J215" s="7" t="n">
        <v>10.51</v>
      </c>
    </row>
    <row r="216" ht="34" customHeight="1">
      <c r="A216" s="7" t="n">
        <v>30</v>
      </c>
      <c r="B216" s="7" t="n">
        <v>60</v>
      </c>
      <c r="C216" s="7" t="n">
        <v>62.533</v>
      </c>
      <c r="D216" s="7" t="inlineStr">
        <is>
          <t>S5</t>
        </is>
      </c>
      <c r="E216" s="7" t="inlineStr">
        <is>
          <t>Instabilità di elementi strutturali o di stoccaggio soggetti a urto o sovraccarico</t>
        </is>
      </c>
      <c r="F216" s="7" t="n">
        <v>0</v>
      </c>
      <c r="G216" s="7" t="n">
        <v>0</v>
      </c>
      <c r="H216" s="7" t="n">
        <v>0.2228</v>
      </c>
      <c r="I216" s="7" t="n">
        <v>0</v>
      </c>
      <c r="J216" s="7" t="n">
        <v>0</v>
      </c>
    </row>
    <row r="217" ht="34" customHeight="1">
      <c r="A217" s="7" t="n">
        <v>30</v>
      </c>
      <c r="B217" s="7" t="n">
        <v>60</v>
      </c>
      <c r="C217" s="7" t="n">
        <v>62.533</v>
      </c>
      <c r="D217" s="7" t="inlineStr">
        <is>
          <t>S6</t>
        </is>
      </c>
      <c r="E217" s="7" t="inlineStr">
        <is>
          <t>Accesso a organi meccanici in movimento durante operazioni manuali</t>
        </is>
      </c>
      <c r="F217" s="7" t="n">
        <v>0</v>
      </c>
      <c r="G217" s="7" t="n">
        <v>0.0266</v>
      </c>
      <c r="H217" s="7" t="n">
        <v>0.3447</v>
      </c>
      <c r="I217" s="7" t="n">
        <v>0.9169</v>
      </c>
      <c r="J217" s="7" t="n">
        <v>76.41</v>
      </c>
    </row>
    <row r="218" ht="34" customHeight="1">
      <c r="A218" s="7" t="n">
        <v>30</v>
      </c>
      <c r="B218" s="7" t="n">
        <v>60</v>
      </c>
      <c r="C218" s="7" t="n">
        <v>62.533</v>
      </c>
      <c r="D218" s="7" t="inlineStr">
        <is>
          <t>S7</t>
        </is>
      </c>
      <c r="E218" s="7" t="inlineStr">
        <is>
          <t>Movimentazione manuale di carichi pesanti o instabili senza ausili meccanici adeguati</t>
        </is>
      </c>
      <c r="F218" s="7" t="n">
        <v>0</v>
      </c>
      <c r="G218" s="7" t="n">
        <v>0</v>
      </c>
      <c r="H218" s="7" t="n">
        <v>0.0759</v>
      </c>
      <c r="I218" s="7" t="n">
        <v>0</v>
      </c>
      <c r="J218" s="7" t="n">
        <v>0</v>
      </c>
    </row>
    <row r="219" ht="34" customHeight="1">
      <c r="A219" s="7" t="n">
        <v>31</v>
      </c>
      <c r="B219" s="7" t="n">
        <v>62</v>
      </c>
      <c r="C219" s="7" t="n">
        <v>62.533</v>
      </c>
      <c r="D219" s="7" t="inlineStr">
        <is>
          <t>S1</t>
        </is>
      </c>
      <c r="E219" s="7" t="inlineStr">
        <is>
          <t>Interferenza tra persone e mezzi di movimentazione negli spazi comuni</t>
        </is>
      </c>
      <c r="F219" s="7" t="n">
        <v>0</v>
      </c>
      <c r="G219" s="7" t="n">
        <v>0</v>
      </c>
      <c r="H219" s="7" t="n">
        <v>0.1109</v>
      </c>
      <c r="I219" s="7" t="n">
        <v>0</v>
      </c>
      <c r="J219" s="7" t="n">
        <v>0</v>
      </c>
    </row>
    <row r="220" ht="34" customHeight="1">
      <c r="A220" s="7" t="n">
        <v>31</v>
      </c>
      <c r="B220" s="7" t="n">
        <v>62</v>
      </c>
      <c r="C220" s="7" t="n">
        <v>62.533</v>
      </c>
      <c r="D220" s="7" t="inlineStr">
        <is>
          <t>S2</t>
        </is>
      </c>
      <c r="E220" s="7" t="inlineStr">
        <is>
          <t>Riduzione della visibilità durante lo svolgimento di un'attività</t>
        </is>
      </c>
      <c r="F220" s="7" t="n">
        <v>0</v>
      </c>
      <c r="G220" s="7" t="n">
        <v>0</v>
      </c>
      <c r="H220" s="7" t="n">
        <v>0.037</v>
      </c>
      <c r="I220" s="7" t="n">
        <v>0</v>
      </c>
      <c r="J220" s="7" t="n">
        <v>0</v>
      </c>
    </row>
    <row r="221" ht="34" customHeight="1">
      <c r="A221" s="7" t="n">
        <v>31</v>
      </c>
      <c r="B221" s="7" t="n">
        <v>62</v>
      </c>
      <c r="C221" s="7" t="n">
        <v>62.533</v>
      </c>
      <c r="D221" s="7" t="inlineStr">
        <is>
          <t>S3</t>
        </is>
      </c>
      <c r="E221" s="7" t="inlineStr">
        <is>
          <t>Comportamenti non conformi durante lo svolgimento di un'attività</t>
        </is>
      </c>
      <c r="F221" s="7" t="n">
        <v>0</v>
      </c>
      <c r="G221" s="7" t="n">
        <v>0.0293</v>
      </c>
      <c r="H221" s="7" t="n">
        <v>0.0549</v>
      </c>
      <c r="I221" s="7" t="n">
        <v>0.1609</v>
      </c>
      <c r="J221" s="7" t="n">
        <v>13.41</v>
      </c>
    </row>
    <row r="222" ht="34" customHeight="1">
      <c r="A222" s="7" t="n">
        <v>31</v>
      </c>
      <c r="B222" s="7" t="n">
        <v>62</v>
      </c>
      <c r="C222" s="7" t="n">
        <v>62.533</v>
      </c>
      <c r="D222" s="7" t="inlineStr">
        <is>
          <t>S4</t>
        </is>
      </c>
      <c r="E222" s="7" t="inlineStr">
        <is>
          <t>Interferenza tra mezzo e infrastrutture interne all'impianto</t>
        </is>
      </c>
      <c r="F222" s="7" t="n">
        <v>0</v>
      </c>
      <c r="G222" s="7" t="n">
        <v>0.008200000000000001</v>
      </c>
      <c r="H222" s="7" t="n">
        <v>0.1538</v>
      </c>
      <c r="I222" s="7" t="n">
        <v>0.1261</v>
      </c>
      <c r="J222" s="7" t="n">
        <v>10.51</v>
      </c>
    </row>
    <row r="223" ht="34" customHeight="1">
      <c r="A223" s="7" t="n">
        <v>31</v>
      </c>
      <c r="B223" s="7" t="n">
        <v>62</v>
      </c>
      <c r="C223" s="7" t="n">
        <v>62.533</v>
      </c>
      <c r="D223" s="7" t="inlineStr">
        <is>
          <t>S5</t>
        </is>
      </c>
      <c r="E223" s="7" t="inlineStr">
        <is>
          <t>Instabilità di elementi strutturali o di stoccaggio soggetti a urto o sovraccarico</t>
        </is>
      </c>
      <c r="F223" s="7" t="n">
        <v>0</v>
      </c>
      <c r="G223" s="7" t="n">
        <v>0</v>
      </c>
      <c r="H223" s="7" t="n">
        <v>0.2228</v>
      </c>
      <c r="I223" s="7" t="n">
        <v>0</v>
      </c>
      <c r="J223" s="7" t="n">
        <v>0</v>
      </c>
    </row>
    <row r="224" ht="34" customHeight="1">
      <c r="A224" s="7" t="n">
        <v>31</v>
      </c>
      <c r="B224" s="7" t="n">
        <v>62</v>
      </c>
      <c r="C224" s="7" t="n">
        <v>62.533</v>
      </c>
      <c r="D224" s="7" t="inlineStr">
        <is>
          <t>S6</t>
        </is>
      </c>
      <c r="E224" s="7" t="inlineStr">
        <is>
          <t>Accesso a organi meccanici in movimento durante operazioni manuali</t>
        </is>
      </c>
      <c r="F224" s="7" t="n">
        <v>0</v>
      </c>
      <c r="G224" s="7" t="n">
        <v>0.0266</v>
      </c>
      <c r="H224" s="7" t="n">
        <v>0.3447</v>
      </c>
      <c r="I224" s="7" t="n">
        <v>0.9169</v>
      </c>
      <c r="J224" s="7" t="n">
        <v>76.41</v>
      </c>
    </row>
    <row r="225" ht="34" customHeight="1">
      <c r="A225" s="7" t="n">
        <v>31</v>
      </c>
      <c r="B225" s="7" t="n">
        <v>62</v>
      </c>
      <c r="C225" s="7" t="n">
        <v>62.533</v>
      </c>
      <c r="D225" s="7" t="inlineStr">
        <is>
          <t>S7</t>
        </is>
      </c>
      <c r="E225" s="7" t="inlineStr">
        <is>
          <t>Movimentazione manuale di carichi pesanti o instabili senza ausili meccanici adeguati</t>
        </is>
      </c>
      <c r="F225" s="7" t="n">
        <v>0</v>
      </c>
      <c r="G225" s="7" t="n">
        <v>0</v>
      </c>
      <c r="H225" s="7" t="n">
        <v>0.0759</v>
      </c>
      <c r="I225" s="7" t="n">
        <v>0</v>
      </c>
      <c r="J225" s="7" t="n">
        <v>0</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8"/>
  <sheetViews>
    <sheetView showGridLines="1" zoomScale="80" workbookViewId="0">
      <pane ySplit="1" topLeftCell="A2" activePane="bottomLeft" state="frozen"/>
      <selection pane="bottomLeft" activeCell="A1" sqref="A1"/>
    </sheetView>
  </sheetViews>
  <sheetFormatPr baseColWidth="8" defaultRowHeight="15"/>
  <cols>
    <col width="10" customWidth="1" min="1" max="1"/>
    <col width="12" customWidth="1" min="2" max="2"/>
    <col width="9" customWidth="1" min="3" max="3"/>
    <col width="12" customWidth="1" min="4" max="4"/>
    <col width="7" customWidth="1" min="5" max="5"/>
    <col width="12" customWidth="1" min="6" max="6"/>
    <col width="12" customWidth="1" min="7" max="7"/>
  </cols>
  <sheetData>
    <row r="1" ht="16" customHeight="1">
      <c r="A1" s="6" t="inlineStr">
        <is>
          <t>risk_code</t>
        </is>
      </c>
      <c r="B1" s="6" t="inlineStr">
        <is>
          <t>risk_label</t>
        </is>
      </c>
      <c r="C1" s="6" t="inlineStr">
        <is>
          <t>mean_raw</t>
        </is>
      </c>
      <c r="D1" s="6" t="inlineStr">
        <is>
          <t>mean_transformed</t>
        </is>
      </c>
      <c r="E1" s="6" t="inlineStr">
        <is>
          <t>weight</t>
        </is>
      </c>
      <c r="F1" s="6" t="inlineStr">
        <is>
          <t>mean_contribution</t>
        </is>
      </c>
      <c r="G1" s="6" t="inlineStr">
        <is>
          <t>mean_contribution_pct</t>
        </is>
      </c>
    </row>
    <row r="2" ht="34" customHeight="1">
      <c r="A2" s="7" t="inlineStr">
        <is>
          <t>S1</t>
        </is>
      </c>
      <c r="B2" s="7" t="inlineStr">
        <is>
          <t>Interferenza tra persone e mezzi di movimentazione negli spazi comuni</t>
        </is>
      </c>
      <c r="C2" s="7" t="n">
        <v>0.0078</v>
      </c>
      <c r="D2" s="7" t="n">
        <v>0.0078</v>
      </c>
      <c r="E2" s="7" t="n">
        <v>0.1109</v>
      </c>
      <c r="F2" s="7" t="n">
        <v>0.0866</v>
      </c>
      <c r="G2" s="7" t="n">
        <v>0.75</v>
      </c>
    </row>
    <row r="3" ht="34" customHeight="1">
      <c r="A3" s="7" t="inlineStr">
        <is>
          <t>S2</t>
        </is>
      </c>
      <c r="B3" s="7" t="inlineStr">
        <is>
          <t>Riduzione della visibilità durante lo svolgimento di un'attività</t>
        </is>
      </c>
      <c r="C3" s="7" t="n">
        <v>0.2734</v>
      </c>
      <c r="D3" s="7" t="n">
        <v>0.5616</v>
      </c>
      <c r="E3" s="7" t="n">
        <v>0.037</v>
      </c>
      <c r="F3" s="7" t="n">
        <v>2.0778</v>
      </c>
      <c r="G3" s="7" t="n">
        <v>16.9</v>
      </c>
    </row>
    <row r="4" ht="34" customHeight="1">
      <c r="A4" s="7" t="inlineStr">
        <is>
          <t>S3</t>
        </is>
      </c>
      <c r="B4" s="7" t="inlineStr">
        <is>
          <t>Comportamenti non conformi durante lo svolgimento di un'attività</t>
        </is>
      </c>
      <c r="C4" s="7" t="n">
        <v>0.3359</v>
      </c>
      <c r="D4" s="7" t="n">
        <v>0.4747</v>
      </c>
      <c r="E4" s="7" t="n">
        <v>0.0549</v>
      </c>
      <c r="F4" s="7" t="n">
        <v>2.6064</v>
      </c>
      <c r="G4" s="7" t="n">
        <v>15.21</v>
      </c>
    </row>
    <row r="5" ht="34" customHeight="1">
      <c r="A5" s="7" t="inlineStr">
        <is>
          <t>S4</t>
        </is>
      </c>
      <c r="B5" s="7" t="inlineStr">
        <is>
          <t>Interferenza tra mezzo e infrastrutture interne all'impianto</t>
        </is>
      </c>
      <c r="C5" s="7" t="n">
        <v>0</v>
      </c>
      <c r="D5" s="7" t="n">
        <v>0.008200000000000001</v>
      </c>
      <c r="E5" s="7" t="n">
        <v>0.1538</v>
      </c>
      <c r="F5" s="7" t="n">
        <v>0.1261</v>
      </c>
      <c r="G5" s="7" t="n">
        <v>1.67</v>
      </c>
    </row>
    <row r="6" ht="34" customHeight="1">
      <c r="A6" s="7" t="inlineStr">
        <is>
          <t>S5</t>
        </is>
      </c>
      <c r="B6" s="7" t="inlineStr">
        <is>
          <t>Instabilità di elementi strutturali o di stoccaggio soggetti a urto o sovraccarico</t>
        </is>
      </c>
      <c r="C6" s="7" t="n">
        <v>0.0625</v>
      </c>
      <c r="D6" s="7" t="n">
        <v>0.008999999999999999</v>
      </c>
      <c r="E6" s="7" t="n">
        <v>0.2228</v>
      </c>
      <c r="F6" s="7" t="n">
        <v>0.2</v>
      </c>
      <c r="G6" s="7" t="n">
        <v>1.23</v>
      </c>
    </row>
    <row r="7" ht="34" customHeight="1">
      <c r="A7" s="7" t="inlineStr">
        <is>
          <t>S6</t>
        </is>
      </c>
      <c r="B7" s="7" t="inlineStr">
        <is>
          <t>Accesso a organi meccanici in movimento durante operazioni manuali</t>
        </is>
      </c>
      <c r="C7" s="7" t="n">
        <v>0.3047</v>
      </c>
      <c r="D7" s="7" t="n">
        <v>0.4751</v>
      </c>
      <c r="E7" s="7" t="n">
        <v>0.3447</v>
      </c>
      <c r="F7" s="7" t="n">
        <v>16.3777</v>
      </c>
      <c r="G7" s="7" t="n">
        <v>63.84</v>
      </c>
    </row>
    <row r="8" ht="34" customHeight="1">
      <c r="A8" s="7" t="inlineStr">
        <is>
          <t>S7</t>
        </is>
      </c>
      <c r="B8" s="7" t="inlineStr">
        <is>
          <t>Movimentazione manuale di carichi pesanti o instabili senza ausili meccanici adeguati</t>
        </is>
      </c>
      <c r="C8" s="7" t="n">
        <v>0.0469</v>
      </c>
      <c r="D8" s="7" t="n">
        <v>0.0089</v>
      </c>
      <c r="E8" s="7" t="n">
        <v>0.0759</v>
      </c>
      <c r="F8" s="7" t="n">
        <v>0.0675</v>
      </c>
      <c r="G8" s="7" t="n">
        <v>0.43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2026-07-30T13:34:16Z</dcterms:created>
  <dcterms:modified xmlns:dcterms="http://purl.org/dc/terms/" xmlns:xsi="http://www.w3.org/2001/XMLSchema-instance" xsi:type="dcterms:W3CDTF">2026-07-30T13:34:17Z</dcterms:modified>
</cp:coreProperties>
</file>