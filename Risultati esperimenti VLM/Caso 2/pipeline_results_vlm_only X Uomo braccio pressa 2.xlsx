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lm_only_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sz val="8"/>
    </font>
    <font>
      <sz val="7"/>
    </font>
    <font>
      <b val="1"/>
      <color rgb="00000000"/>
      <sz val="8"/>
    </font>
  </fonts>
  <fills count="12">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D9E1F2"/>
      </patternFill>
    </fill>
    <fill>
      <patternFill patternType="solid">
        <fgColor rgb="00FFF2CC"/>
      </patternFill>
    </fill>
    <fill>
      <patternFill patternType="solid">
        <fgColor rgb="00EADCF8"/>
      </patternFill>
    </fill>
    <fill>
      <patternFill patternType="solid">
        <fgColor rgb="00EDEDED"/>
      </patternFill>
    </fill>
    <fill>
      <patternFill patternType="solid">
        <fgColor rgb="00F4CCCC"/>
      </patternFill>
    </fill>
    <fill>
      <patternFill patternType="solid">
        <fgColor rgb="00FCE4D6"/>
      </patternFill>
    </fill>
    <fill>
      <patternFill patternType="solid">
        <fgColor rgb="00C6EFCE"/>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1" applyAlignment="1" pivotButton="0" quotePrefix="0" xfId="0">
      <alignment horizontal="center" vertical="top"/>
    </xf>
    <xf numFmtId="0" fontId="4" fillId="3" borderId="2" applyAlignment="1" pivotButton="0" quotePrefix="0" xfId="0">
      <alignment horizontal="center" vertical="center" wrapText="1"/>
    </xf>
    <xf numFmtId="0" fontId="4" fillId="4"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4" fillId="7" borderId="2" applyAlignment="1" pivotButton="0" quotePrefix="0" xfId="0">
      <alignment horizontal="center" vertical="center" wrapText="1"/>
    </xf>
    <xf numFmtId="0" fontId="4" fillId="8" borderId="2" applyAlignment="1" pivotButton="0" quotePrefix="0" xfId="0">
      <alignment horizontal="center" vertical="center" wrapText="1"/>
    </xf>
    <xf numFmtId="0" fontId="3" fillId="0" borderId="2" applyAlignment="1" pivotButton="0" quotePrefix="0" xfId="0">
      <alignment horizontal="left" vertical="top" wrapText="1"/>
    </xf>
    <xf numFmtId="0" fontId="3" fillId="9" borderId="2" applyAlignment="1" pivotButton="0" quotePrefix="0" xfId="0">
      <alignment horizontal="left" vertical="top" wrapText="1"/>
    </xf>
    <xf numFmtId="0" fontId="3" fillId="10" borderId="2" applyAlignment="1" pivotButton="0" quotePrefix="0" xfId="0">
      <alignment horizontal="left" vertical="top" wrapText="1"/>
    </xf>
    <xf numFmtId="0" fontId="3" fillId="11" borderId="2" applyAlignment="1" pivotButton="0" quotePrefix="0" xfId="0">
      <alignment horizontal="left" vertical="top" wrapText="1"/>
    </xf>
    <xf numFmtId="0" fontId="3" fillId="6"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Dynamic Risk Score - Solo rami VLM</a:t>
            </a:r>
          </a:p>
        </rich>
      </tx>
    </title>
    <plotArea>
      <lineChart>
        <grouping val="standard"/>
        <ser>
          <idx val="0"/>
          <order val="0"/>
          <tx>
            <strRef>
              <f>'vlm_only_results'!G1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'vlm_only_results'!$A$2:$A$33</f>
            </numRef>
          </cat>
          <val>
            <numRef>
              <f>'vlm_only_results'!$G$2:$G$33</f>
            </numRef>
          </val>
        </ser>
        <ser>
          <idx val="1"/>
          <order val="1"/>
          <tx>
            <strRef>
              <f>'vlm_only_results'!K1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'vlm_only_results'!$A$2:$A$33</f>
            </numRef>
          </cat>
          <val>
            <numRef>
              <f>'vlm_only_results'!$K$2:$K$33</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23</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V33"/>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7" customWidth="1" min="4" max="4"/>
    <col width="8" customWidth="1" min="5" max="5"/>
    <col width="16" customWidth="1" min="6" max="6"/>
    <col width="8" customWidth="1" min="7" max="7"/>
    <col width="7" customWidth="1" min="8" max="8"/>
    <col width="8" customWidth="1" min="9" max="9"/>
    <col width="16" customWidth="1" min="10" max="10"/>
    <col width="8" customWidth="1" min="11" max="11"/>
    <col width="7" customWidth="1" min="12" max="12"/>
    <col width="12" customWidth="1" min="13" max="13"/>
    <col width="12" customWidth="1" min="14" max="14"/>
    <col width="12"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s>
  <sheetData>
    <row r="1" ht="16" customHeight="1">
      <c r="A1" s="2" t="inlineStr">
        <is>
          <t>window_id</t>
        </is>
      </c>
      <c r="B1" s="2" t="inlineStr">
        <is>
          <t>start_time_s</t>
        </is>
      </c>
      <c r="C1" s="2" t="inlineStr">
        <is>
          <t>end_time_s</t>
        </is>
      </c>
      <c r="D1" s="2" t="inlineStr">
        <is>
          <t>window_duration_s</t>
        </is>
      </c>
      <c r="E1" s="3" t="inlineStr">
        <is>
          <t>instantaneous_risk_score_vlm_free</t>
        </is>
      </c>
      <c r="F1" s="3" t="inlineStr">
        <is>
          <t>score_rationale_vlm_free</t>
        </is>
      </c>
      <c r="G1" s="3" t="inlineStr">
        <is>
          <t>dynamic_risk_score_vlm_free</t>
        </is>
      </c>
      <c r="H1" s="3" t="inlineStr">
        <is>
          <t>traffic_light_color_vlm_free</t>
        </is>
      </c>
      <c r="I1" s="4" t="inlineStr">
        <is>
          <t>instantaneous_risk_score_vlm</t>
        </is>
      </c>
      <c r="J1" s="4" t="inlineStr">
        <is>
          <t>score_rationale_vlm</t>
        </is>
      </c>
      <c r="K1" s="4" t="inlineStr">
        <is>
          <t>dynamic_risk_score_vlm</t>
        </is>
      </c>
      <c r="L1" s="4" t="inlineStr">
        <is>
          <t>traffic_light_color_vlm</t>
        </is>
      </c>
      <c r="M1" s="5" t="inlineStr">
        <is>
          <t>diff_inst_vlm_free_vs_vlm_guided</t>
        </is>
      </c>
      <c r="N1" s="5" t="inlineStr">
        <is>
          <t>diff_dyn_vlm_free_vs_vlm_guided</t>
        </is>
      </c>
      <c r="O1" s="6" t="inlineStr">
        <is>
          <t>traffic_light_agreement_vlm_free_vs_vlm_guided</t>
        </is>
      </c>
      <c r="P1" s="7" t="inlineStr">
        <is>
          <t>S1_raw</t>
        </is>
      </c>
      <c r="Q1" s="7" t="inlineStr">
        <is>
          <t>S2_raw</t>
        </is>
      </c>
      <c r="R1" s="7" t="inlineStr">
        <is>
          <t>S3_raw</t>
        </is>
      </c>
      <c r="S1" s="7" t="inlineStr">
        <is>
          <t>S4_raw</t>
        </is>
      </c>
      <c r="T1" s="7" t="inlineStr">
        <is>
          <t>S5_raw</t>
        </is>
      </c>
      <c r="U1" s="7" t="inlineStr">
        <is>
          <t>S6_raw</t>
        </is>
      </c>
      <c r="V1" s="7" t="inlineStr">
        <is>
          <t>S7_raw</t>
        </is>
      </c>
    </row>
    <row r="2" ht="34" customHeight="1">
      <c r="A2" s="8" t="n">
        <v>0</v>
      </c>
      <c r="B2" s="8" t="n">
        <v>0</v>
      </c>
      <c r="C2" s="8" t="n">
        <v>4</v>
      </c>
      <c r="D2" s="8" t="n">
        <v>4</v>
      </c>
      <c r="E2" s="8" t="n">
        <v>85</v>
      </c>
      <c r="F2" s="8" t="inlineStr">
        <is>
          <t>La situazione presenta un rischio elevato (85/100) a causa della presenza ravvicinata dell'Operatore 1 alla zona di movimento dello stampo della pressa senza DPI visibili, in concomitanza con la posizione dell'Operatore 2 vicino al pannello di controllo. Questa configurazione espone a un grave pericolo di schiacciamento, cesoiamento o intrappolamento degli arti in caso di attivazione accidentale o automatica del macchinario, aggravato dall'assenza di barriere fisiche di protezione visibili o di procedure di Lockout/Tagout.</t>
        </is>
      </c>
      <c r="G2" s="8" t="n">
        <v>85</v>
      </c>
      <c r="H2" s="9" t="inlineStr">
        <is>
          <t>rosso</t>
        </is>
      </c>
      <c r="I2" s="8" t="n">
        <v>55</v>
      </c>
      <c r="J2" s="8" t="inlineStr">
        <is>
          <t>Il punteggio riflette un rischio significativo dovuto alla vicinanza dell'operatore all'apertura della pressa a iniezione senza barriere protettive visibili, esponendolo a potenziali lesioni gravi. La parziale visibilità dall'alto limita tuttavia la valutazione completa dei DPI e dei sistemi di sicurezza attivi.</t>
        </is>
      </c>
      <c r="K2" s="8" t="n">
        <v>55</v>
      </c>
      <c r="L2" s="10" t="inlineStr">
        <is>
          <t>arancione</t>
        </is>
      </c>
      <c r="M2" s="8" t="n">
        <v>30</v>
      </c>
      <c r="N2" s="8" t="n">
        <v>30</v>
      </c>
      <c r="O2" s="9" t="inlineStr">
        <is>
          <t>disaccordo</t>
        </is>
      </c>
      <c r="P2" s="8" t="n">
        <v>0</v>
      </c>
      <c r="Q2" s="8" t="n">
        <v>0.25</v>
      </c>
      <c r="R2" s="8" t="n">
        <v>0.25</v>
      </c>
      <c r="S2" s="8" t="n">
        <v>0</v>
      </c>
      <c r="T2" s="8" t="n">
        <v>0</v>
      </c>
      <c r="U2" s="8" t="n">
        <v>0.5</v>
      </c>
      <c r="V2" s="8" t="n">
        <v>0</v>
      </c>
    </row>
    <row r="3" ht="34" customHeight="1">
      <c r="A3" s="8" t="n">
        <v>1</v>
      </c>
      <c r="B3" s="8" t="n">
        <v>2</v>
      </c>
      <c r="C3" s="8" t="n">
        <v>6</v>
      </c>
      <c r="D3" s="8" t="n">
        <v>4</v>
      </c>
      <c r="E3" s="8" t="n">
        <v>95</v>
      </c>
      <c r="F3" s="8" t="inlineStr">
        <is>
          <t>L'operatore inserisce l'intero braccio destro all'interno della zona di stampaggio di una pressa a iniezione senza DPI visibili e senza evidenza di procedure di Lockout/Tagout (LOTO) o barriere di sicurezza attive. Questa azione comporta un rischio critico e immediato di schiacciamento, amputazione o gravi ustioni in caso di attivazione accidentale o guasto del macchinario.</t>
        </is>
      </c>
      <c r="G3" s="8" t="n">
        <v>93.5</v>
      </c>
      <c r="H3" s="9" t="inlineStr">
        <is>
          <t>rosso</t>
        </is>
      </c>
      <c r="I3" s="8" t="n">
        <v>85</v>
      </c>
      <c r="J3" s="8" t="inlineStr">
        <is>
          <t>L'inserimento della mano nell'area di stampaggio di una pressa aperta, senza DPI e in assenza di barriere di sicurezza visibili, espone l'operatore a un rischio imminente di schiacciamento o amputazione. Questo comportamento altamente non conforme richiede l'arresto immediato dell'attività per prevenire un grave infortunio.</t>
        </is>
      </c>
      <c r="K3" s="8" t="n">
        <v>80.5</v>
      </c>
      <c r="L3" s="9" t="inlineStr">
        <is>
          <t>rosso</t>
        </is>
      </c>
      <c r="M3" s="8" t="n">
        <v>10</v>
      </c>
      <c r="N3" s="8" t="n">
        <v>13</v>
      </c>
      <c r="O3" s="11" t="inlineStr">
        <is>
          <t>accordo</t>
        </is>
      </c>
      <c r="P3" s="8" t="n">
        <v>0</v>
      </c>
      <c r="Q3" s="8" t="n">
        <v>0.25</v>
      </c>
      <c r="R3" s="8" t="n">
        <v>0.75</v>
      </c>
      <c r="S3" s="8" t="n">
        <v>0</v>
      </c>
      <c r="T3" s="8" t="n">
        <v>0</v>
      </c>
      <c r="U3" s="8" t="n">
        <v>0.75</v>
      </c>
      <c r="V3" s="8" t="n">
        <v>0</v>
      </c>
    </row>
    <row r="4" ht="34" customHeight="1">
      <c r="A4" s="8" t="n">
        <v>2</v>
      </c>
      <c r="B4" s="8" t="n">
        <v>4</v>
      </c>
      <c r="C4" s="8" t="n">
        <v>8</v>
      </c>
      <c r="D4" s="8" t="n">
        <v>4</v>
      </c>
      <c r="E4" s="8" t="n">
        <v>85</v>
      </c>
      <c r="F4" s="8" t="inlineStr">
        <is>
          <t>Il punteggio di 85 riflette un rischio molto elevato. L'operatore inserisce le mani nude all'interno della pressa a iniezione senza guanti protettivi, esponendosi a gravi rischi di ustione termica dovuta al contatto con il pezzo caldo o lo stampo. Inoltre, l'assenza di barriere visibili e l'interazione diretta con la zona di stampaggio comportano un grave rischio di schiacciamento degli arti superiori in caso di malfunzionamento o avvio accidentale del macchinario.</t>
        </is>
      </c>
      <c r="G4" s="8" t="n">
        <v>88.40000000000001</v>
      </c>
      <c r="H4" s="9" t="inlineStr">
        <is>
          <t>rosso</t>
        </is>
      </c>
      <c r="I4" s="8" t="n">
        <v>75</v>
      </c>
      <c r="J4" s="8" t="inlineStr">
        <is>
          <t>Il punteggio riflette un rischio elevato dovuto all'accesso manuale diretto all'interno della pressa senza l'uso di guanti protettivi. Questa azione espone l'operatore a gravi pericoli di ustione termica e schiacciamento degli arti superiori.</t>
        </is>
      </c>
      <c r="K4" s="8" t="n">
        <v>77.2</v>
      </c>
      <c r="L4" s="9" t="inlineStr">
        <is>
          <t>rosso</t>
        </is>
      </c>
      <c r="M4" s="8" t="n">
        <v>10</v>
      </c>
      <c r="N4" s="8" t="n">
        <v>11.2</v>
      </c>
      <c r="O4" s="11" t="inlineStr">
        <is>
          <t>accordo</t>
        </is>
      </c>
      <c r="P4" s="8" t="n">
        <v>0</v>
      </c>
      <c r="Q4" s="8" t="n">
        <v>0.25</v>
      </c>
      <c r="R4" s="8" t="n">
        <v>0.75</v>
      </c>
      <c r="S4" s="8" t="n">
        <v>0</v>
      </c>
      <c r="T4" s="8" t="n">
        <v>0</v>
      </c>
      <c r="U4" s="8" t="n">
        <v>0.75</v>
      </c>
      <c r="V4" s="8" t="n">
        <v>0</v>
      </c>
    </row>
    <row r="5" ht="34" customHeight="1">
      <c r="A5" s="8" t="n">
        <v>3</v>
      </c>
      <c r="B5" s="8" t="n">
        <v>6</v>
      </c>
      <c r="C5" s="8" t="n">
        <v>10</v>
      </c>
      <c r="D5" s="8" t="n">
        <v>4</v>
      </c>
      <c r="E5" s="8" t="n">
        <v>55</v>
      </c>
      <c r="F5" s="8" t="inlineStr">
        <is>
          <t>Il punteggio di 55 riflette un rischio moderato dovuto alla manipolazione diretta di componenti plastici appena stampati (potenzialmente caldi) senza l'uso di guanti protettivi termici da parte dell'operatore in t-shirt rosa. Inoltre, la mancanza di occhiali di sicurezza in prossimità di una pressa a iniezione attiva e l'area di lavoro parzialmente ingombra aumentano la probabilità di infortuni.</t>
        </is>
      </c>
      <c r="G5" s="8" t="n">
        <v>68.36</v>
      </c>
      <c r="H5" s="10" t="inlineStr">
        <is>
          <t>arancione</t>
        </is>
      </c>
      <c r="I5" s="8" t="n">
        <v>55</v>
      </c>
      <c r="J5" s="8" t="inlineStr">
        <is>
          <t>Il punteggio riflette un rischio significativo dovuto alla manipolazione diretta di componenti plastici potenzialmente caldi senza l'uso di guanti protettivi da parte dell'operatore in maglietta rosa. Questa non conformità espone il lavoratore a un rischio immediato di ustioni termiche e lesioni da contatto.</t>
        </is>
      </c>
      <c r="K5" s="8" t="n">
        <v>63.88</v>
      </c>
      <c r="L5" s="10" t="inlineStr">
        <is>
          <t>arancione</t>
        </is>
      </c>
      <c r="M5" s="8" t="n">
        <v>0</v>
      </c>
      <c r="N5" s="8" t="n">
        <v>4.48</v>
      </c>
      <c r="O5" s="11" t="inlineStr">
        <is>
          <t>accordo</t>
        </is>
      </c>
      <c r="P5" s="8" t="n">
        <v>0</v>
      </c>
      <c r="Q5" s="8" t="n">
        <v>0.25</v>
      </c>
      <c r="R5" s="8" t="n">
        <v>0.5</v>
      </c>
      <c r="S5" s="8" t="n">
        <v>0</v>
      </c>
      <c r="T5" s="8" t="n">
        <v>0</v>
      </c>
      <c r="U5" s="8" t="n">
        <v>0.5</v>
      </c>
      <c r="V5" s="8" t="n">
        <v>0</v>
      </c>
    </row>
    <row r="6" ht="34" customHeight="1">
      <c r="A6" s="8" t="n">
        <v>4</v>
      </c>
      <c r="B6" s="8" t="n">
        <v>8</v>
      </c>
      <c r="C6" s="8" t="n">
        <v>12</v>
      </c>
      <c r="D6" s="8" t="n">
        <v>4</v>
      </c>
      <c r="E6" s="8" t="n">
        <v>75</v>
      </c>
      <c r="F6" s="8" t="inlineStr">
        <is>
          <t>Il punteggio di 75 è giustificato dalla combinazione di comportamenti pericolosi e carenze nei dispositivi di protezione. L'operatore 1 si china in un punto cieco vicino a una pressa a iniezione attiva, mentre l'operatore 2 interagisce con i comandi del macchinario senza una linea visiva diretta sul collega, creando un rischio concreto di avviamento accidentale o contatto con parti in movimento. Inoltre, la mancanza di DPI fondamentali come elmetti e occhiali di sicurezza per entrambi i soggetti eleva notevolmente la gravità di un potenziale infortunio.</t>
        </is>
      </c>
      <c r="G6" s="8" t="n">
        <v>77.34</v>
      </c>
      <c r="H6" s="9" t="inlineStr">
        <is>
          <t>rosso</t>
        </is>
      </c>
      <c r="I6" s="8" t="n">
        <v>35</v>
      </c>
      <c r="J6" s="8" t="inlineStr">
        <is>
          <t>Il punteggio riflette un rischio moderato dovuto alla possibile mancanza di guanti protettivi per l'operatore in maglietta rosa e alla sua postura chinata vicino alla pressa attiva. L'attenzione del collega è rivolta al pannello, riducendo la supervisione reciproca in un'area con parti potenzialmente pericolose.</t>
        </is>
      </c>
      <c r="K6" s="8" t="n">
        <v>46.55</v>
      </c>
      <c r="L6" s="12" t="inlineStr">
        <is>
          <t>giallo</t>
        </is>
      </c>
      <c r="M6" s="8" t="n">
        <v>40</v>
      </c>
      <c r="N6" s="8" t="n">
        <v>30.79</v>
      </c>
      <c r="O6" s="9" t="inlineStr">
        <is>
          <t>disaccordo</t>
        </is>
      </c>
      <c r="P6" s="8" t="n">
        <v>0</v>
      </c>
      <c r="Q6" s="8" t="n">
        <v>0.25</v>
      </c>
      <c r="R6" s="8" t="n">
        <v>0.25</v>
      </c>
      <c r="S6" s="8" t="n">
        <v>0</v>
      </c>
      <c r="T6" s="8" t="n">
        <v>0</v>
      </c>
      <c r="U6" s="8" t="n">
        <v>0.25</v>
      </c>
      <c r="V6" s="8" t="n">
        <v>0</v>
      </c>
    </row>
    <row r="7" ht="34" customHeight="1">
      <c r="A7" s="8" t="n">
        <v>5</v>
      </c>
      <c r="B7" s="8" t="n">
        <v>10</v>
      </c>
      <c r="C7" s="8" t="n">
        <v>14</v>
      </c>
      <c r="D7" s="8" t="n">
        <v>4</v>
      </c>
      <c r="E7" s="8" t="n">
        <v>65</v>
      </c>
      <c r="F7" s="8" t="inlineStr">
        <is>
          <t>Il punteggio di 65 è giustificato dall'assenza di DPI visibili (come elmetti, occhiali protettivi e calzature di sicurezza) in un'area con macchinari industriali attivi. La vicinanza degli operatori alle parti in movimento della pressa e la presenza di materiali depositati nei passaggi (rischio d'inciampo) configurano una situazione di rischio moderato-alto che richiede interventi correttivi.</t>
        </is>
      </c>
      <c r="G7" s="8" t="n">
        <v>69.94</v>
      </c>
      <c r="H7" s="10" t="inlineStr">
        <is>
          <t>arancione</t>
        </is>
      </c>
      <c r="I7" s="8" t="n">
        <v>65</v>
      </c>
      <c r="J7" s="8" t="inlineStr">
        <is>
          <t>Il punteggio riflette un rischio significativo dovuto alla mancanza di DPI visibili e alla ridotta consapevolezza situazionale dei due operatori vicini alla pressa. La posizione di spalle dell'addetto al pannello e la postura chinata del collega aumentano sensibilmente il pericolo di avviamento accidentale e infortuni gravi.</t>
        </is>
      </c>
      <c r="K7" s="8" t="n">
        <v>65.12</v>
      </c>
      <c r="L7" s="10" t="inlineStr">
        <is>
          <t>arancione</t>
        </is>
      </c>
      <c r="M7" s="8" t="n">
        <v>0</v>
      </c>
      <c r="N7" s="8" t="n">
        <v>4.82</v>
      </c>
      <c r="O7" s="11" t="inlineStr">
        <is>
          <t>accordo</t>
        </is>
      </c>
      <c r="P7" s="8" t="n">
        <v>0</v>
      </c>
      <c r="Q7" s="8" t="n">
        <v>0.5</v>
      </c>
      <c r="R7" s="8" t="n">
        <v>0.5</v>
      </c>
      <c r="S7" s="8" t="n">
        <v>0</v>
      </c>
      <c r="T7" s="8" t="n">
        <v>0.25</v>
      </c>
      <c r="U7" s="8" t="n">
        <v>0.5</v>
      </c>
      <c r="V7" s="8" t="n">
        <v>0.25</v>
      </c>
    </row>
    <row r="8" ht="34" customHeight="1">
      <c r="A8" s="8" t="n">
        <v>6</v>
      </c>
      <c r="B8" s="8" t="n">
        <v>12</v>
      </c>
      <c r="C8" s="8" t="n">
        <v>16</v>
      </c>
      <c r="D8" s="8" t="n">
        <v>4</v>
      </c>
      <c r="E8" s="8" t="n">
        <v>65</v>
      </c>
      <c r="F8" s="8" t="inlineStr">
        <is>
          <t>Il punteggio di 65 è giustificato dalla presenza di più operatori che lavorano a stretto contatto con una pressa a iniezione attiva senza alcun Dispositivo di Protezione Individuale (DPI) visibile (come occhiali di sicurezza, elmetti o protezioni acustiche). Sebbene non vi siano comportamenti palesemente pericolosi o incidenti in corso, la totale assenza di DPI in un ambiente di stampaggio plastico ad alta pressione e temperatura configura una violazione delle norme di sicurezza e un rischio medio-alto di lesioni in caso di anomalie del macchinario o contatti accidentali.</t>
        </is>
      </c>
      <c r="G8" s="8" t="n">
        <v>66.98</v>
      </c>
      <c r="H8" s="10" t="inlineStr">
        <is>
          <t>arancione</t>
        </is>
      </c>
      <c r="I8" s="8" t="n">
        <v>35</v>
      </c>
      <c r="J8" s="8" t="inlineStr">
        <is>
          <t>Il rischio è moderato a causa del mancato utilizzo di DPI visibili da parte degli operatori in un reparto di stampaggio attivo vicino a una pressa ad iniezione. Sebbene non vi siano pericoli immediati o mezzi in movimento, la non conformità aumenta la vulnerabilità a infortuni accidentali.</t>
        </is>
      </c>
      <c r="K8" s="8" t="n">
        <v>47.05</v>
      </c>
      <c r="L8" s="12" t="inlineStr">
        <is>
          <t>giallo</t>
        </is>
      </c>
      <c r="M8" s="8" t="n">
        <v>30</v>
      </c>
      <c r="N8" s="8" t="n">
        <v>19.93</v>
      </c>
      <c r="O8" s="9" t="inlineStr">
        <is>
          <t>disaccordo</t>
        </is>
      </c>
      <c r="P8" s="8" t="n">
        <v>0</v>
      </c>
      <c r="Q8" s="8" t="n">
        <v>0.25</v>
      </c>
      <c r="R8" s="8" t="n">
        <v>0.5</v>
      </c>
      <c r="S8" s="8" t="n">
        <v>0</v>
      </c>
      <c r="T8" s="8" t="n">
        <v>0.25</v>
      </c>
      <c r="U8" s="8" t="n">
        <v>0.25</v>
      </c>
      <c r="V8" s="8" t="n">
        <v>0</v>
      </c>
    </row>
    <row r="9" ht="34" customHeight="1">
      <c r="A9" s="8" t="n">
        <v>7</v>
      </c>
      <c r="B9" s="8" t="n">
        <v>14</v>
      </c>
      <c r="C9" s="8" t="n">
        <v>18</v>
      </c>
      <c r="D9" s="8" t="n">
        <v>4</v>
      </c>
      <c r="E9" s="8" t="n">
        <v>35</v>
      </c>
      <c r="F9" s="8" t="inlineStr">
        <is>
          <t>Il punteggio di 35 indica un rischio moderato. Sebbene l'attività sia standard e le barriere della pressa siano attive, si riscontra la mancanza di DPI essenziali come occhiali protettivi (rischio schizzi di plastica fusa) ed elmetti. Inoltre, la vicinanza dell'operatore di supporto alla zona di stampaggio rappresenta un potenziale pericolo in caso di anomalie.</t>
        </is>
      </c>
      <c r="G9" s="8" t="n">
        <v>47.79</v>
      </c>
      <c r="H9" s="12" t="inlineStr">
        <is>
          <t>giallo</t>
        </is>
      </c>
      <c r="I9" s="8" t="n">
        <v>10</v>
      </c>
      <c r="J9" s="8" t="inlineStr">
        <is>
          <t>Il livello di rischio è basso poiché le attività si svolgono in condizioni ordinarie e controllate, senza fonti di pericolo attive o mezzi in movimento. La parziale riduzione della consapevolezza posteriore dell'operatore al pannello è compensata dalla presenza di un secondo operatore nell'area.</t>
        </is>
      </c>
      <c r="K9" s="8" t="n">
        <v>24.82</v>
      </c>
      <c r="L9" s="12" t="inlineStr">
        <is>
          <t>giallo</t>
        </is>
      </c>
      <c r="M9" s="8" t="n">
        <v>25</v>
      </c>
      <c r="N9" s="8" t="n">
        <v>22.97</v>
      </c>
      <c r="O9" s="11" t="inlineStr">
        <is>
          <t>accordo</t>
        </is>
      </c>
      <c r="P9" s="8" t="n">
        <v>0</v>
      </c>
      <c r="Q9" s="8" t="n">
        <v>0.25</v>
      </c>
      <c r="R9" s="8" t="n">
        <v>0</v>
      </c>
      <c r="S9" s="8" t="n">
        <v>0</v>
      </c>
      <c r="T9" s="8" t="n">
        <v>0</v>
      </c>
      <c r="U9" s="8" t="n">
        <v>0</v>
      </c>
      <c r="V9" s="8" t="n">
        <v>0</v>
      </c>
    </row>
    <row r="10" ht="34" customHeight="1">
      <c r="A10" s="8" t="n">
        <v>8</v>
      </c>
      <c r="B10" s="8" t="n">
        <v>16</v>
      </c>
      <c r="C10" s="8" t="n">
        <v>20</v>
      </c>
      <c r="D10" s="8" t="n">
        <v>4</v>
      </c>
      <c r="E10" s="8" t="n">
        <v>40</v>
      </c>
      <c r="F10" s="8" t="inlineStr">
        <is>
          <t>Il punteggio di 40 indica un rischio moderato. Sebbene gli operatori utilizzino i guanti protettivi, si rileva la mancanza di DPI importanti come occhiali di sicurezza ed elmetti in prossimità di una pressa industriale. Inoltre, la presenza di materiali stoccati vicino all'area operativa e l'interazione con il pannello di controllo, con visuale parzialmente ostruita, rappresentano fattori di attenzione per prevenire potenziali contatti accidentali o bypass di sicurezza.</t>
        </is>
      </c>
      <c r="G10" s="8" t="n">
        <v>44.37</v>
      </c>
      <c r="H10" s="12" t="inlineStr">
        <is>
          <t>giallo</t>
        </is>
      </c>
      <c r="I10" s="8" t="n">
        <v>25</v>
      </c>
      <c r="J10" s="8" t="inlineStr">
        <is>
          <t>Il rischio è moderato poiché gli operatori lavorano in una zona protetta davanti al pannello, ma presentano una ridotta consapevolezza situazionale dovuta alla posizione di spalle e al possibile rumore ambientale. Non si rilevano minacce immediate o elementi di pericolo imminente nell'area circostante.</t>
        </is>
      </c>
      <c r="K10" s="8" t="n">
        <v>28.68</v>
      </c>
      <c r="L10" s="12" t="inlineStr">
        <is>
          <t>giallo</t>
        </is>
      </c>
      <c r="M10" s="8" t="n">
        <v>15</v>
      </c>
      <c r="N10" s="8" t="n">
        <v>15.69</v>
      </c>
      <c r="O10" s="11" t="inlineStr">
        <is>
          <t>accordo</t>
        </is>
      </c>
      <c r="P10" s="8" t="n">
        <v>0</v>
      </c>
      <c r="Q10" s="8" t="n">
        <v>0.25</v>
      </c>
      <c r="R10" s="8" t="n">
        <v>0.25</v>
      </c>
      <c r="S10" s="8" t="n">
        <v>0</v>
      </c>
      <c r="T10" s="8" t="n">
        <v>0</v>
      </c>
      <c r="U10" s="8" t="n">
        <v>0</v>
      </c>
      <c r="V10" s="8" t="n">
        <v>0</v>
      </c>
    </row>
    <row r="11" ht="34" customHeight="1">
      <c r="A11" s="8" t="n">
        <v>9</v>
      </c>
      <c r="B11" s="8" t="n">
        <v>18</v>
      </c>
      <c r="C11" s="8" t="n">
        <v>22</v>
      </c>
      <c r="D11" s="8" t="n">
        <v>4</v>
      </c>
      <c r="E11" s="8" t="n">
        <v>50</v>
      </c>
      <c r="F11" s="8" t="inlineStr">
        <is>
          <t>Il punteggio di 50 indica un livello di rischio moderato. Sebbene gli operatori stiano eseguendo procedure standard e indossino guanti protettivi, si rileva la mancata adozione di DPI critici come elmetti di protezione (sostituiti da un cappellino con visiera) e occhiali di sicurezza. Operare in prossimità di una pressa per stampaggio a iniezione attiva senza queste protezioni espone il personale a rischi di lesioni oculari e traumi cranici in caso di proiezioni di materiale o contatti accidentali con parti meccaniche.</t>
        </is>
      </c>
      <c r="G11" s="8" t="n">
        <v>50.25</v>
      </c>
      <c r="H11" s="10" t="inlineStr">
        <is>
          <t>arancione</t>
        </is>
      </c>
      <c r="I11" s="8" t="n">
        <v>15</v>
      </c>
      <c r="J11" s="8" t="inlineStr">
        <is>
          <t>Il livello di rischio è basso poiché gli operatori adottano comportamenti conformi e utilizzano i DPI necessari. L'unica lieve criticità è la ridotta consapevolezza situazionale dell'operatore di destra che lavora di spalle rispetto all'area di transito.</t>
        </is>
      </c>
      <c r="K11" s="8" t="n">
        <v>20.47</v>
      </c>
      <c r="L11" s="11" t="inlineStr">
        <is>
          <t>verde</t>
        </is>
      </c>
      <c r="M11" s="8" t="n">
        <v>35</v>
      </c>
      <c r="N11" s="8" t="n">
        <v>29.78</v>
      </c>
      <c r="O11" s="9" t="inlineStr">
        <is>
          <t>disaccordo</t>
        </is>
      </c>
      <c r="P11" s="8" t="n">
        <v>0</v>
      </c>
      <c r="Q11" s="8" t="n">
        <v>0.25</v>
      </c>
      <c r="R11" s="8" t="n">
        <v>0</v>
      </c>
      <c r="S11" s="8" t="n">
        <v>0</v>
      </c>
      <c r="T11" s="8" t="n">
        <v>0</v>
      </c>
      <c r="U11" s="8" t="n">
        <v>0</v>
      </c>
      <c r="V11" s="8" t="n">
        <v>0</v>
      </c>
    </row>
    <row r="12" ht="34" customHeight="1">
      <c r="A12" s="8" t="n">
        <v>10</v>
      </c>
      <c r="B12" s="8" t="n">
        <v>20</v>
      </c>
      <c r="C12" s="8" t="n">
        <v>24</v>
      </c>
      <c r="D12" s="8" t="n">
        <v>4</v>
      </c>
      <c r="E12" s="8" t="n">
        <v>35</v>
      </c>
      <c r="F12" s="8" t="inlineStr">
        <is>
          <t>Il punteggio riflette un rischio moderato. Sebbene gli operatori indossino guanti protettivi e operino in condizioni apparentemente normali, la prossimità a una pressa industriale pesante in funzione e la potenziale assenza di DPI critici (come occhiali di protezione ed elmetto) in un'area di stampaggio a caldo comportano un livello di rischio latente che richiede vigilanza.</t>
        </is>
      </c>
      <c r="G12" s="8" t="n">
        <v>41.1</v>
      </c>
      <c r="H12" s="12" t="inlineStr">
        <is>
          <t>giallo</t>
        </is>
      </c>
      <c r="I12" s="8" t="n">
        <v>15</v>
      </c>
      <c r="J12" s="8" t="inlineStr">
        <is>
          <t>Il rischio è basso poiché gli operatori svolgono attività standard indossando i guanti protettivi e senza mostrare comportamenti non conformi. Rimane una minima attenzione dovuta alla presenza della pressa industriale e alla parziale limitazione visiva degli arti inferiori.</t>
        </is>
      </c>
      <c r="K12" s="8" t="n">
        <v>17.19</v>
      </c>
      <c r="L12" s="11" t="inlineStr">
        <is>
          <t>verde</t>
        </is>
      </c>
      <c r="M12" s="8" t="n">
        <v>20</v>
      </c>
      <c r="N12" s="8" t="n">
        <v>23.91</v>
      </c>
      <c r="O12" s="9" t="inlineStr">
        <is>
          <t>disaccordo</t>
        </is>
      </c>
      <c r="P12" s="8" t="n">
        <v>0</v>
      </c>
      <c r="Q12" s="8" t="n">
        <v>0.25</v>
      </c>
      <c r="R12" s="8" t="n">
        <v>0</v>
      </c>
      <c r="S12" s="8" t="n">
        <v>0</v>
      </c>
      <c r="T12" s="8" t="n">
        <v>0</v>
      </c>
      <c r="U12" s="8" t="n">
        <v>0.25</v>
      </c>
      <c r="V12" s="8" t="n">
        <v>0</v>
      </c>
    </row>
    <row r="13" ht="34" customHeight="1">
      <c r="A13" s="8" t="n">
        <v>11</v>
      </c>
      <c r="B13" s="8" t="n">
        <v>22</v>
      </c>
      <c r="C13" s="8" t="n">
        <v>26</v>
      </c>
      <c r="D13" s="8" t="n">
        <v>4</v>
      </c>
      <c r="E13" s="8" t="n">
        <v>90</v>
      </c>
      <c r="F13" s="8" t="inlineStr">
        <is>
          <t>Il punteggio di 90 è giustificato dall'elevata criticità dell'operazione: un operatore interviene manualmente direttamente all'interno della zona dello stampo di una pressa ad iniezione potenzialmente alimentata, esponendosi al rischio gravissimo di schiacciamento o amputazione degli arti superiori. La presenza di un secondo operatore nelle immediate vicinanze aumenta il rischio di attivazione accidentale o di mancato coordinamento. Inoltre, si rileva il mancato utilizzo di DPI fondamentali come l'elmetto protettivo e gli occhiali di sicurezza.</t>
        </is>
      </c>
      <c r="G13" s="8" t="n">
        <v>84.19</v>
      </c>
      <c r="H13" s="9" t="inlineStr">
        <is>
          <t>rosso</t>
        </is>
      </c>
      <c r="I13" s="8" t="n">
        <v>20</v>
      </c>
      <c r="J13" s="8" t="inlineStr">
        <is>
          <t>Il livello di rischio è basso poiché gli operatori indossano i DPI necessari e non mostrano comportamenti non conformi. Permane un rischio residuo minimo dovuto alla prossimità alla pressa industriale e alla visibilità parzialmente limitata della zona di lavoro.</t>
        </is>
      </c>
      <c r="K13" s="8" t="n">
        <v>20.13</v>
      </c>
      <c r="L13" s="11" t="inlineStr">
        <is>
          <t>verde</t>
        </is>
      </c>
      <c r="M13" s="8" t="n">
        <v>70</v>
      </c>
      <c r="N13" s="8" t="n">
        <v>64.06</v>
      </c>
      <c r="O13" s="9" t="inlineStr">
        <is>
          <t>disaccordo</t>
        </is>
      </c>
      <c r="P13" s="8" t="n">
        <v>0</v>
      </c>
      <c r="Q13" s="8" t="n">
        <v>0.25</v>
      </c>
      <c r="R13" s="8" t="n">
        <v>0</v>
      </c>
      <c r="S13" s="8" t="n">
        <v>0</v>
      </c>
      <c r="T13" s="8" t="n">
        <v>0</v>
      </c>
      <c r="U13" s="8" t="n">
        <v>0.25</v>
      </c>
      <c r="V13" s="8" t="n">
        <v>0</v>
      </c>
    </row>
    <row r="14" ht="34" customHeight="1">
      <c r="A14" s="8" t="n">
        <v>12</v>
      </c>
      <c r="B14" s="8" t="n">
        <v>24</v>
      </c>
      <c r="C14" s="8" t="n">
        <v>28</v>
      </c>
      <c r="D14" s="8" t="n">
        <v>4</v>
      </c>
      <c r="E14" s="8" t="n">
        <v>60</v>
      </c>
      <c r="F14" s="8" t="inlineStr">
        <is>
          <t>Il punteggio di 60 riflette un livello di rischio moderato ma significativo. Gli operatori lavorano a distanza ridotta dagli organi in movimento della pressa ad iniezione, esponendo le mani a potenziali rischi di schiacciamento o cesoiamento in caso di avvio imprevisto del ciclo. Sebbene utilizzino guanti protettivi, si rileva la mancanza di altri DPI importanti come occhiali di sicurezza e protezione per il capo in un ambiente.</t>
        </is>
      </c>
      <c r="G14" s="8" t="n">
        <v>69.68000000000001</v>
      </c>
      <c r="H14" s="10" t="inlineStr">
        <is>
          <t>arancione</t>
        </is>
      </c>
      <c r="I14" s="8" t="n">
        <v>30</v>
      </c>
      <c r="J14" s="8" t="inlineStr">
        <is>
          <t>Il rischio è moderato a causa della stretta vicinanza degli operatori a una pressa a iniezione industriale in funzione. Pur non essendoci comportamenti scorretti e indossando i guanti protettivi, la prossimità a parti meccaniche in movimento richiede un livello di attenzione costante.</t>
        </is>
      </c>
      <c r="K14" s="8" t="n">
        <v>28.55</v>
      </c>
      <c r="L14" s="12" t="inlineStr">
        <is>
          <t>giallo</t>
        </is>
      </c>
      <c r="M14" s="8" t="n">
        <v>30</v>
      </c>
      <c r="N14" s="8" t="n">
        <v>41.13</v>
      </c>
      <c r="O14" s="9" t="inlineStr">
        <is>
          <t>disaccordo</t>
        </is>
      </c>
      <c r="P14" s="8" t="n">
        <v>0</v>
      </c>
      <c r="Q14" s="8" t="n">
        <v>0.25</v>
      </c>
      <c r="R14" s="8" t="n">
        <v>0</v>
      </c>
      <c r="S14" s="8" t="n">
        <v>0</v>
      </c>
      <c r="T14" s="8" t="n">
        <v>0</v>
      </c>
      <c r="U14" s="8" t="n">
        <v>0.25</v>
      </c>
      <c r="V14" s="8" t="n">
        <v>0</v>
      </c>
    </row>
    <row r="15" ht="34" customHeight="1">
      <c r="A15" s="8" t="n">
        <v>13</v>
      </c>
      <c r="B15" s="8" t="n">
        <v>26</v>
      </c>
      <c r="C15" s="8" t="n">
        <v>30</v>
      </c>
      <c r="D15" s="8" t="n">
        <v>4</v>
      </c>
      <c r="E15" s="8" t="n">
        <v>60</v>
      </c>
      <c r="F15" s="8" t="inlineStr">
        <is>
          <t>Il punteggio di 60 è giustificato dalla presenza di operatori che lavorano a distanza ravvicinata da una pressa industriale attiva senza i necessari DPI (elmetto e occhiali protettivi). La mancanza di barriere fisiche visibili tra i lavoratori e la zona di stampaggio, unita al rischio di contatto con parti calde o in movimento e alla possibile proiezione di frammenti, configura una situazione di rischio moderato-alto per la sicurezza.</t>
        </is>
      </c>
      <c r="G15" s="8" t="n">
        <v>63.87</v>
      </c>
      <c r="H15" s="10" t="inlineStr">
        <is>
          <t>arancione</t>
        </is>
      </c>
      <c r="I15" s="8" t="n">
        <v>35</v>
      </c>
      <c r="J15" s="8" t="inlineStr">
        <is>
          <t>Il punteggio riflette un rischio moderato dovuto alla vicinanza della mano dell'operatore alla struttura della pressa, con potenziale esposizione a parti calde o in movimento. L'uso di guanti protettivi e l'assenza di comportamenti palesemente scorretti mantengono il livello di pericolo sotto la soglia critica.</t>
        </is>
      </c>
      <c r="K15" s="8" t="n">
        <v>33.67</v>
      </c>
      <c r="L15" s="12" t="inlineStr">
        <is>
          <t>giallo</t>
        </is>
      </c>
      <c r="M15" s="8" t="n">
        <v>25</v>
      </c>
      <c r="N15" s="8" t="n">
        <v>30.2</v>
      </c>
      <c r="O15" s="9" t="inlineStr">
        <is>
          <t>disaccordo</t>
        </is>
      </c>
      <c r="P15" s="8" t="n">
        <v>0</v>
      </c>
      <c r="Q15" s="8" t="n">
        <v>0.25</v>
      </c>
      <c r="R15" s="8" t="n">
        <v>0</v>
      </c>
      <c r="S15" s="8" t="n">
        <v>0</v>
      </c>
      <c r="T15" s="8" t="n">
        <v>0</v>
      </c>
      <c r="U15" s="8" t="n">
        <v>0.5</v>
      </c>
      <c r="V15" s="8" t="n">
        <v>0</v>
      </c>
    </row>
    <row r="16" ht="34" customHeight="1">
      <c r="A16" s="8" t="n">
        <v>14</v>
      </c>
      <c r="B16" s="8" t="n">
        <v>28</v>
      </c>
      <c r="C16" s="8" t="n">
        <v>32</v>
      </c>
      <c r="D16" s="8" t="n">
        <v>4</v>
      </c>
      <c r="E16" s="8" t="n">
        <v>60</v>
      </c>
      <c r="F16" s="8" t="inlineStr">
        <is>
          <t>Il punteggio di 60 è giustificato dalla presenza di una pressa a iniezione attiva in concomitanza con evidenti lacune di sicurezza. Si rileva la mancanza di DPI essenziali (come occhiali protettivi ed elmetti) per gli operatori esposti a macchinari pesanti. Inoltre, l'uso di un dispositivo portatile da parte di un operatore in prossimità della macchina introduce un fattore di distrazione, aumentando il rischio di contatti accidentali con parti in movimento o superfici calde.</t>
        </is>
      </c>
      <c r="G16" s="8" t="n">
        <v>61.55</v>
      </c>
      <c r="H16" s="10" t="inlineStr">
        <is>
          <t>arancione</t>
        </is>
      </c>
      <c r="I16" s="8" t="n">
        <v>30</v>
      </c>
      <c r="J16" s="8" t="inlineStr">
        <is>
          <t>Il rischio è moderato a causa della potenziale distrazione dell'operatore che utilizza un dispositivo portatile vicino alla pressa a iniezione attiva e della mancanza di DPI visibili adeguati per l'area industriale. Non si rilevano pericoli immediati legati a mezzi in movimento o carichi sospesi.</t>
        </is>
      </c>
      <c r="K16" s="8" t="n">
        <v>31.47</v>
      </c>
      <c r="L16" s="12" t="inlineStr">
        <is>
          <t>giallo</t>
        </is>
      </c>
      <c r="M16" s="8" t="n">
        <v>30</v>
      </c>
      <c r="N16" s="8" t="n">
        <v>30.08</v>
      </c>
      <c r="O16" s="9" t="inlineStr">
        <is>
          <t>disaccordo</t>
        </is>
      </c>
      <c r="P16" s="8" t="n">
        <v>0</v>
      </c>
      <c r="Q16" s="8" t="n">
        <v>0.25</v>
      </c>
      <c r="R16" s="8" t="n">
        <v>0.25</v>
      </c>
      <c r="S16" s="8" t="n">
        <v>0</v>
      </c>
      <c r="T16" s="8" t="n">
        <v>0</v>
      </c>
      <c r="U16" s="8" t="n">
        <v>0.25</v>
      </c>
      <c r="V16" s="8" t="n">
        <v>0</v>
      </c>
    </row>
    <row r="17" ht="34" customHeight="1">
      <c r="A17" s="8" t="n">
        <v>15</v>
      </c>
      <c r="B17" s="8" t="n">
        <v>30</v>
      </c>
      <c r="C17" s="8" t="n">
        <v>34</v>
      </c>
      <c r="D17" s="8" t="n">
        <v>4</v>
      </c>
      <c r="E17" s="8" t="n">
        <v>65</v>
      </c>
      <c r="F17" s="8" t="inlineStr">
        <is>
          <t>Il punteggio di 65 riflette un rischio medio-alto dovuto alla presenza di operatori a stretto contatto con una pressa ad iniezione senza i DPI necessari (occhiali di sicurezza, elmetti) e con un operatore palesemente distratto da un dispositivo palmare. La combinazione di distrazione e mancanza di protezione aumenta significativamente la probabilità e la gravità di potenziali infortuni (ustioni, proiezioni di materiale caldo, contatti accidentali).</t>
        </is>
      </c>
      <c r="G17" s="8" t="n">
        <v>64.87</v>
      </c>
      <c r="H17" s="10" t="inlineStr">
        <is>
          <t>arancione</t>
        </is>
      </c>
      <c r="I17" s="8" t="n">
        <v>35</v>
      </c>
      <c r="J17" s="8" t="inlineStr">
        <is>
          <t>Il livello di rischio è moderato a causa della potenziale distrazione dell'operatore che consulta il dispositivo portatile in prossimità della pressa industriale. La presenza di sedie impilate nell'area di lavoro costituisce un ulteriore elemento di intralcio che potrebbe causare inciampi.</t>
        </is>
      </c>
      <c r="K17" s="8" t="n">
        <v>34.84</v>
      </c>
      <c r="L17" s="12" t="inlineStr">
        <is>
          <t>giallo</t>
        </is>
      </c>
      <c r="M17" s="8" t="n">
        <v>30</v>
      </c>
      <c r="N17" s="8" t="n">
        <v>30.03</v>
      </c>
      <c r="O17" s="9" t="inlineStr">
        <is>
          <t>disaccordo</t>
        </is>
      </c>
      <c r="P17" s="8" t="n">
        <v>0</v>
      </c>
      <c r="Q17" s="8" t="n">
        <v>0.5</v>
      </c>
      <c r="R17" s="8" t="n">
        <v>0.25</v>
      </c>
      <c r="S17" s="8" t="n">
        <v>0</v>
      </c>
      <c r="T17" s="8" t="n">
        <v>0.25</v>
      </c>
      <c r="U17" s="8" t="n">
        <v>0.25</v>
      </c>
      <c r="V17" s="8" t="n">
        <v>0</v>
      </c>
    </row>
    <row r="18" ht="34" customHeight="1">
      <c r="A18" s="8" t="n">
        <v>16</v>
      </c>
      <c r="B18" s="8" t="n">
        <v>32</v>
      </c>
      <c r="C18" s="8" t="n">
        <v>36</v>
      </c>
      <c r="D18" s="8" t="n">
        <v>4</v>
      </c>
      <c r="E18" s="8" t="n">
        <v>75</v>
      </c>
      <c r="F18" s="8" t="inlineStr">
        <is>
          <t>Il punteggio di 75 è giustificato dall'interazione diretta dell'operatore principale con la zona operativa di una pressa a iniezione attiva in totale assenza di DPI visibili (come guanti o protezioni per gli arti). La prossimità fisica alle parti meccaniche in movimento, combinata con la mancanza di barriere di sicurezza attive visibili, genera un rischio concreto e immediato di schiacciamento o intrappolamento delle mani.</t>
        </is>
      </c>
      <c r="G18" s="8" t="n">
        <v>73.45</v>
      </c>
      <c r="H18" s="10" t="inlineStr">
        <is>
          <t>arancione</t>
        </is>
      </c>
      <c r="I18" s="8" t="n">
        <v>55</v>
      </c>
      <c r="J18" s="8" t="inlineStr">
        <is>
          <t>Il punteggio riflette un rischio significativo dovuto all'interazione manuale diretta con la pressa MIR senza evidenza di procedure di isolamento energetico (LOTO). Questo comportamento espone l'operatore a potenziali pericoli di schiacciamento o ustione in caso di attivazione accidentale della macchina.</t>
        </is>
      </c>
      <c r="K18" s="8" t="n">
        <v>51.94</v>
      </c>
      <c r="L18" s="10" t="inlineStr">
        <is>
          <t>arancione</t>
        </is>
      </c>
      <c r="M18" s="8" t="n">
        <v>20</v>
      </c>
      <c r="N18" s="8" t="n">
        <v>21.51</v>
      </c>
      <c r="O18" s="11" t="inlineStr">
        <is>
          <t>accordo</t>
        </is>
      </c>
      <c r="P18" s="8" t="n">
        <v>0</v>
      </c>
      <c r="Q18" s="8" t="n">
        <v>0.25</v>
      </c>
      <c r="R18" s="8" t="n">
        <v>0.25</v>
      </c>
      <c r="S18" s="8" t="n">
        <v>0</v>
      </c>
      <c r="T18" s="8" t="n">
        <v>0</v>
      </c>
      <c r="U18" s="8" t="n">
        <v>0.5</v>
      </c>
      <c r="V18" s="8" t="n">
        <v>0</v>
      </c>
    </row>
    <row r="19" ht="34" customHeight="1">
      <c r="A19" s="8" t="n">
        <v>17</v>
      </c>
      <c r="B19" s="8" t="n">
        <v>34</v>
      </c>
      <c r="C19" s="8" t="n">
        <v>38</v>
      </c>
      <c r="D19" s="8" t="n">
        <v>4</v>
      </c>
      <c r="E19" s="8" t="n">
        <v>75</v>
      </c>
      <c r="F19" s="8" t="inlineStr">
        <is>
          <t>Il punteggio di 75 è motivato dalla presenza di un operatore appoggiato direttamente alla struttura di una pressa ad iniezione attiva in una postura rilassata, che riduce i tempi di reazione. La vicinanza alla zona di chiusura del macchinario, combinata con la mancanza di DPI specifici (come occhiali di protezione ed elmetti) per entrambi i soggetti, genera un rischio concreto di schiacciamento o intrappolamento degli arti superiori in caso di anomalie o cicli non coordinati.</t>
        </is>
      </c>
      <c r="G19" s="8" t="n">
        <v>74.38</v>
      </c>
      <c r="H19" s="9" t="inlineStr">
        <is>
          <t>rosso</t>
        </is>
      </c>
      <c r="I19" s="8" t="n">
        <v>72</v>
      </c>
      <c r="J19" s="8" t="inlineStr">
        <is>
          <t>Il punteggio riflette un rischio significativo dovuto alla presenza della mano dell'operatore in prossimità della zona di stampaggio della pressa, aggravato dalla distrazione del collega che distoglie lo sguardo dall'area di pericolo. La potenziale gravità di un infortunio da schiacciamento in questa zona richiede un monitoraggio immediato.</t>
        </is>
      </c>
      <c r="K19" s="8" t="n">
        <v>68.23</v>
      </c>
      <c r="L19" s="10" t="inlineStr">
        <is>
          <t>arancione</t>
        </is>
      </c>
      <c r="M19" s="8" t="n">
        <v>3</v>
      </c>
      <c r="N19" s="8" t="n">
        <v>6.15</v>
      </c>
      <c r="O19" s="9" t="inlineStr">
        <is>
          <t>disaccordo</t>
        </is>
      </c>
      <c r="P19" s="8" t="n">
        <v>0</v>
      </c>
      <c r="Q19" s="8" t="n">
        <v>0.5</v>
      </c>
      <c r="R19" s="8" t="n">
        <v>0.5</v>
      </c>
      <c r="S19" s="8" t="n">
        <v>0</v>
      </c>
      <c r="T19" s="8" t="n">
        <v>0</v>
      </c>
      <c r="U19" s="8" t="n">
        <v>0.75</v>
      </c>
      <c r="V19" s="8" t="n">
        <v>0</v>
      </c>
    </row>
    <row r="20" ht="34" customHeight="1">
      <c r="A20" s="8" t="n">
        <v>18</v>
      </c>
      <c r="B20" s="8" t="n">
        <v>36</v>
      </c>
      <c r="C20" s="8" t="n">
        <v>40</v>
      </c>
      <c r="D20" s="8" t="n">
        <v>4</v>
      </c>
      <c r="E20" s="8" t="n">
        <v>65</v>
      </c>
      <c r="F20" s="8" t="inlineStr">
        <is>
          <t>L'operatore si sporge verso la zona interna dello stampo di una pressa a iniezione attiva per effettuare un controllo visivo. L'avvicinamento a parti potenzialmente calde o in movimento, combinato con la mancanza di DPI adeguati (assenza di occhiali protettivi e presenza di un solo guanto), determina un rischio moderato-alto di schiacciamento o ustione in caso di mancato funzionamento dei sistemi di interblocco.</t>
        </is>
      </c>
      <c r="G20" s="8" t="n">
        <v>68.75</v>
      </c>
      <c r="H20" s="10" t="inlineStr">
        <is>
          <t>arancione</t>
        </is>
      </c>
      <c r="I20" s="8" t="n">
        <v>80</v>
      </c>
      <c r="J20" s="8" t="inlineStr">
        <is>
          <t>L'inserimento della mano all'interno della zona stampo di una pressa a iniezione senza evidenza di isolamento energetico (LOTO) espone l'operatore a un rischio critico di schiacciamento e amputazione. Il guanto indossato non offre alcuna protezione contro le forze meccaniche della macchina in caso di avvio intempestivo.</t>
        </is>
      </c>
      <c r="K20" s="8" t="n">
        <v>77.29000000000001</v>
      </c>
      <c r="L20" s="9" t="inlineStr">
        <is>
          <t>rosso</t>
        </is>
      </c>
      <c r="M20" s="8" t="n">
        <v>15</v>
      </c>
      <c r="N20" s="8" t="n">
        <v>8.539999999999999</v>
      </c>
      <c r="O20" s="9" t="inlineStr">
        <is>
          <t>disaccordo</t>
        </is>
      </c>
      <c r="P20" s="8" t="n">
        <v>0</v>
      </c>
      <c r="Q20" s="8" t="n">
        <v>0.25</v>
      </c>
      <c r="R20" s="8" t="n">
        <v>0.75</v>
      </c>
      <c r="S20" s="8" t="n">
        <v>0</v>
      </c>
      <c r="T20" s="8" t="n">
        <v>0</v>
      </c>
      <c r="U20" s="8" t="n">
        <v>0.75</v>
      </c>
      <c r="V20" s="8" t="n">
        <v>0</v>
      </c>
    </row>
    <row r="21" ht="34" customHeight="1">
      <c r="A21" s="8" t="n">
        <v>19</v>
      </c>
      <c r="B21" s="8" t="n">
        <v>38</v>
      </c>
      <c r="C21" s="8" t="n">
        <v>42</v>
      </c>
      <c r="D21" s="8" t="n">
        <v>4</v>
      </c>
      <c r="E21" s="8" t="n">
        <v>85</v>
      </c>
      <c r="F21" s="8" t="inlineStr">
        <is>
          <t>Il punteggio di 85 riflette un rischio molto elevato. Un operatore sta lavorando con le mani direttamente all'interno della zona di stampaggio di una pressa a iniezione senza evidenza di procedure di isolamento energetico (LOTO). La presenza di un secondo operatore vicino al pannello di controllo aumenta drasticamente il rischio di attivazione accidentale del macchinario, con conseguente pericolo di schiacciamento o amputazione degli arti superiori. Si rileva inoltre una carenza di DPI adeguati.</t>
        </is>
      </c>
      <c r="G21" s="8" t="n">
        <v>83.5</v>
      </c>
      <c r="H21" s="9" t="inlineStr">
        <is>
          <t>rosso</t>
        </is>
      </c>
      <c r="I21" s="8" t="n">
        <v>85</v>
      </c>
      <c r="J21" s="8" t="inlineStr">
        <is>
          <t>Il punteggio elevato è giustificato dal gravissimo rischio di schiacciamento degli arti per l'operatore che lavora nella zona stampo senza l'applicazione visibile delle procedure di Lockout/Tagout (LOTO), mentre un altro agisce sul pannello di controllo attivo. La potenziale attivazione accidentale della pressa ad iniezione configura una situazione di imminente pericolo di infortunio grave.</t>
        </is>
      </c>
      <c r="K21" s="8" t="n">
        <v>83.17</v>
      </c>
      <c r="L21" s="9" t="inlineStr">
        <is>
          <t>rosso</t>
        </is>
      </c>
      <c r="M21" s="8" t="n">
        <v>0</v>
      </c>
      <c r="N21" s="8" t="n">
        <v>0.33</v>
      </c>
      <c r="O21" s="11" t="inlineStr">
        <is>
          <t>accordo</t>
        </is>
      </c>
      <c r="P21" s="8" t="n">
        <v>0</v>
      </c>
      <c r="Q21" s="8" t="n">
        <v>0.5</v>
      </c>
      <c r="R21" s="8" t="n">
        <v>0.5</v>
      </c>
      <c r="S21" s="8" t="n">
        <v>0</v>
      </c>
      <c r="T21" s="8" t="n">
        <v>0.25</v>
      </c>
      <c r="U21" s="8" t="n">
        <v>0.75</v>
      </c>
      <c r="V21" s="8" t="n">
        <v>0.25</v>
      </c>
    </row>
    <row r="22" ht="34" customHeight="1">
      <c r="A22" s="8" t="n">
        <v>20</v>
      </c>
      <c r="B22" s="8" t="n">
        <v>40</v>
      </c>
      <c r="C22" s="8" t="n">
        <v>44</v>
      </c>
      <c r="D22" s="8" t="n">
        <v>4</v>
      </c>
      <c r="E22" s="8" t="n">
        <v>92</v>
      </c>
      <c r="F22" s="8" t="inlineStr">
        <is>
          <t>Il punteggio di rischio è estremamente elevato (92) a causa della presenza dell'Operatore 2 parzialmente all'interno della zona stampo della pressa a iniezione mentre l'Operatore 3 agisce sul pannello di controllo. Questa configurazione, in assenza di procedure LOTO (Lockout/Tagout) visibili o barriere di sicurezza attive, espone l'operatore a un rischio imminente di schiacciamento o intrappolamento grave in caso di attivazione accidentale del macchinario. Si rileva inoltre la quasi totale assenza di DPI fondamentali (elmetti, occhiali, calzature di sicurezza).</t>
        </is>
      </c>
      <c r="G22" s="8" t="n">
        <v>90.34999999999999</v>
      </c>
      <c r="H22" s="9" t="inlineStr">
        <is>
          <t>rosso</t>
        </is>
      </c>
      <c r="I22" s="8" t="n">
        <v>60</v>
      </c>
      <c r="J22" s="8" t="inlineStr">
        <is>
          <t>Il punteggio riflette un rischio significativo dovuto alla presenza di un operatore chinato vicino alla pressa mentre un altro agisce sul pannello di controllo, con pericolo di avviamento accidentale. La situazione è aggravata dalla mancanza di DPI visibili completi e dalla ridotta visibilità dell'operatore esposto.</t>
        </is>
      </c>
      <c r="K22" s="8" t="n">
        <v>69.27</v>
      </c>
      <c r="L22" s="10" t="inlineStr">
        <is>
          <t>arancione</t>
        </is>
      </c>
      <c r="M22" s="8" t="n">
        <v>32</v>
      </c>
      <c r="N22" s="8" t="n">
        <v>21.08</v>
      </c>
      <c r="O22" s="9" t="inlineStr">
        <is>
          <t>disaccordo</t>
        </is>
      </c>
      <c r="P22" s="8" t="n">
        <v>0</v>
      </c>
      <c r="Q22" s="8" t="n">
        <v>0.25</v>
      </c>
      <c r="R22" s="8" t="n">
        <v>0.5</v>
      </c>
      <c r="S22" s="8" t="n">
        <v>0</v>
      </c>
      <c r="T22" s="8" t="n">
        <v>0</v>
      </c>
      <c r="U22" s="8" t="n">
        <v>0.5</v>
      </c>
      <c r="V22" s="8" t="n">
        <v>0</v>
      </c>
    </row>
    <row r="23" ht="34" customHeight="1">
      <c r="A23" s="8" t="n">
        <v>21</v>
      </c>
      <c r="B23" s="8" t="n">
        <v>42</v>
      </c>
      <c r="C23" s="8" t="n">
        <v>46</v>
      </c>
      <c r="D23" s="8" t="n">
        <v>4</v>
      </c>
      <c r="E23" s="8" t="n">
        <v>90</v>
      </c>
      <c r="F23" s="8" t="inlineStr">
        <is>
          <t>Il punteggio di 90 è giustificato dall'elevata criticità dell'intervento manuale all'interno di una pressa a iniezione potenzialmente attiva (pannello acceso) senza evidenza di procedure di Lockout/Tagout (LOTO). La totale assenza di DPI visibili (elmetti, guanti, occhiali) e lo spazio di manovra ristretto espongono gli operatori a rischi severi di schiacciamento, intrappolamento e urti alla testa.</t>
        </is>
      </c>
      <c r="G23" s="8" t="n">
        <v>90.14</v>
      </c>
      <c r="H23" s="9" t="inlineStr">
        <is>
          <t>rosso</t>
        </is>
      </c>
      <c r="I23" s="8" t="n">
        <v>65</v>
      </c>
      <c r="J23" s="8" t="inlineStr">
        <is>
          <t>Il punteggio riflette un rischio significativo dovuto alla totale assenza di DPI visibili durante un intervento operativo in prossimità di una pressa industriale. Inoltre, le posture incongrue e la ridotta visibilità dei lavoratori aumentano la probabilità di infortuni o contatti accidentali con parti pericolose.</t>
        </is>
      </c>
      <c r="K23" s="8" t="n">
        <v>67.95999999999999</v>
      </c>
      <c r="L23" s="10" t="inlineStr">
        <is>
          <t>arancione</t>
        </is>
      </c>
      <c r="M23" s="8" t="n">
        <v>25</v>
      </c>
      <c r="N23" s="8" t="n">
        <v>22.18</v>
      </c>
      <c r="O23" s="9" t="inlineStr">
        <is>
          <t>disaccordo</t>
        </is>
      </c>
      <c r="P23" s="8" t="n">
        <v>0</v>
      </c>
      <c r="Q23" s="8" t="n">
        <v>0.5</v>
      </c>
      <c r="R23" s="8" t="n">
        <v>0.75</v>
      </c>
      <c r="S23" s="8" t="n">
        <v>0</v>
      </c>
      <c r="T23" s="8" t="n">
        <v>0.25</v>
      </c>
      <c r="U23" s="8" t="n">
        <v>0.5</v>
      </c>
      <c r="V23" s="8" t="n">
        <v>0.25</v>
      </c>
    </row>
    <row r="24" ht="34" customHeight="1">
      <c r="A24" s="8" t="n">
        <v>22</v>
      </c>
      <c r="B24" s="8" t="n">
        <v>44</v>
      </c>
      <c r="C24" s="8" t="n">
        <v>48</v>
      </c>
      <c r="D24" s="8" t="n">
        <v>4</v>
      </c>
      <c r="E24" s="8" t="n">
        <v>80</v>
      </c>
      <c r="F24" s="8" t="inlineStr">
        <is>
          <t>Il punteggio di 80 è giustificato dalla presenza di un operatore chinato intento a effettuare un intervento manuale o ispezione su un macchinario industriale pesante (pressa ad iniezione) potenzialmente attivo, in totale assenza di Dispositivi di Protezione Individuale (DPI) come elmetto e occhiali di sicurezza. Questa condizione espone i lavoratori a rischi concreti di lesioni oculari per proiezione di materiali e traumi cranici da urto contro le parti metalliche della macchina.</t>
        </is>
      </c>
      <c r="G24" s="8" t="n">
        <v>84.06</v>
      </c>
      <c r="H24" s="9" t="inlineStr">
        <is>
          <t>rosso</t>
        </is>
      </c>
      <c r="I24" s="8" t="n">
        <v>65</v>
      </c>
      <c r="J24" s="8" t="inlineStr">
        <is>
          <t>Il punteggio riflette un rischio significativo dovuto alla presenza di operatori a ridosso di una pressa a iniezione attiva senza alcun DPI visibile, in particolare occhiali protettivi. Questa non-conformità espone i lavoratori a gravi lesioni oculari o ustioni in caso di proiezione accidentale di materiale plastico fuso o detriti.</t>
        </is>
      </c>
      <c r="K24" s="8" t="n">
        <v>66.18000000000001</v>
      </c>
      <c r="L24" s="10" t="inlineStr">
        <is>
          <t>arancione</t>
        </is>
      </c>
      <c r="M24" s="8" t="n">
        <v>15</v>
      </c>
      <c r="N24" s="8" t="n">
        <v>17.88</v>
      </c>
      <c r="O24" s="9" t="inlineStr">
        <is>
          <t>disaccordo</t>
        </is>
      </c>
      <c r="P24" s="8" t="n">
        <v>0</v>
      </c>
      <c r="Q24" s="8" t="n">
        <v>0.25</v>
      </c>
      <c r="R24" s="8" t="n">
        <v>0.75</v>
      </c>
      <c r="S24" s="8" t="n">
        <v>0</v>
      </c>
      <c r="T24" s="8" t="n">
        <v>0</v>
      </c>
      <c r="U24" s="8" t="n">
        <v>0</v>
      </c>
      <c r="V24" s="8" t="n">
        <v>0</v>
      </c>
    </row>
    <row r="25" ht="34" customHeight="1">
      <c r="A25" s="8" t="n">
        <v>23</v>
      </c>
      <c r="B25" s="8" t="n">
        <v>46</v>
      </c>
      <c r="C25" s="8" t="n">
        <v>50</v>
      </c>
      <c r="D25" s="8" t="n">
        <v>4</v>
      </c>
      <c r="E25" s="8" t="n">
        <v>70</v>
      </c>
      <c r="F25" s="8" t="inlineStr">
        <is>
          <t>Il punteggio di 70 riflette una situazione di rischio medio-alto. Gli operatori interagiscono a distanza ravvicinata con una pressa per stampaggio a iniezione attiva (pannello di controllo acceso) e indicano l'area di chiusura senza indossare alcun Dispositivo di Protezione Individuale (DPI) essenziale, come occhiali protettivi, elmetti o abbigliamento da lavoro idoneo. L'assenza di DPI in prossimità di parti in movimento e ad alta temperatura configura una chiara violazione delle norme di sicurezza e un potenziale pericolo di infortunio (schiacciamento, ustioni o lesioni oculari).</t>
        </is>
      </c>
      <c r="G25" s="8" t="n">
        <v>75.62</v>
      </c>
      <c r="H25" s="9" t="inlineStr">
        <is>
          <t>rosso</t>
        </is>
      </c>
      <c r="I25" s="8" t="n">
        <v>45</v>
      </c>
      <c r="J25" s="8" t="inlineStr">
        <is>
          <t>Il punteggio riflette un rischio moderato dovuto alla totale assenza di DPI visibili in un'area di stampaggio e alla potenziale distrazione dell'operatore vicino alla pressa MIR. La vicinanza a parti meccaniche in movimento aumenta la probabilità di infortuni in caso di contatto accidentale.</t>
        </is>
      </c>
      <c r="K25" s="8" t="n">
        <v>53.47</v>
      </c>
      <c r="L25" s="10" t="inlineStr">
        <is>
          <t>arancione</t>
        </is>
      </c>
      <c r="M25" s="8" t="n">
        <v>25</v>
      </c>
      <c r="N25" s="8" t="n">
        <v>22.15</v>
      </c>
      <c r="O25" s="9" t="inlineStr">
        <is>
          <t>disaccordo</t>
        </is>
      </c>
      <c r="P25" s="8" t="n">
        <v>0</v>
      </c>
      <c r="Q25" s="8" t="n">
        <v>0.25</v>
      </c>
      <c r="R25" s="8" t="n">
        <v>0.5</v>
      </c>
      <c r="S25" s="8" t="n">
        <v>0</v>
      </c>
      <c r="T25" s="8" t="n">
        <v>0</v>
      </c>
      <c r="U25" s="8" t="n">
        <v>0.25</v>
      </c>
      <c r="V25" s="8" t="n">
        <v>0</v>
      </c>
    </row>
    <row r="26" ht="34" customHeight="1">
      <c r="A26" s="8" t="n">
        <v>24</v>
      </c>
      <c r="B26" s="8" t="n">
        <v>48</v>
      </c>
      <c r="C26" s="8" t="n">
        <v>52</v>
      </c>
      <c r="D26" s="8" t="n">
        <v>4</v>
      </c>
      <c r="E26" s="8" t="n">
        <v>95</v>
      </c>
      <c r="F26" s="8" t="inlineStr">
        <is>
          <t>Il punteggio di 95 riflette una situazione di imminente e gravissimo pericolo per l'incolumità dell'operatore. L'inserimento del busto e degli arti superiori direttamente nella zona di chiusura dello stampo di una pressa ad iniezione, in assenza di barriere di sicurezza attive o di una procedura di isolamento energetico (LOTO) verificata, espone il lavoratore a un rischio critico di schiacciamento, cesoiamento fatale o gravi ustioni. La presenza di un altro operatore vicino al pannello di controllo aumenta ulteriormente il rischio di un azionamento accidentale della macchina durante l'intervento manuale.</t>
        </is>
      </c>
      <c r="G26" s="8" t="n">
        <v>93.5</v>
      </c>
      <c r="H26" s="9" t="inlineStr">
        <is>
          <t>rosso</t>
        </is>
      </c>
      <c r="I26" s="8" t="n">
        <v>35</v>
      </c>
      <c r="J26" s="8" t="inlineStr">
        <is>
          <t>Il punteggio riflette un rischio moderato dovuto alla potenziale distrazione del gruppo di operatori in prossimità del pannello di controllo della pressa a iniezione. Inoltre, la mancanza di DPI completi visibili per tutti i soggetti aumenta la vulnerabilità in caso di contatto accidentale con parti calde o in movimento.</t>
        </is>
      </c>
      <c r="K26" s="8" t="n">
        <v>42.39</v>
      </c>
      <c r="L26" s="12" t="inlineStr">
        <is>
          <t>giallo</t>
        </is>
      </c>
      <c r="M26" s="8" t="n">
        <v>60</v>
      </c>
      <c r="N26" s="8" t="n">
        <v>51.11</v>
      </c>
      <c r="O26" s="9" t="inlineStr">
        <is>
          <t>disaccordo</t>
        </is>
      </c>
      <c r="P26" s="8" t="n">
        <v>0</v>
      </c>
      <c r="Q26" s="8" t="n">
        <v>0.25</v>
      </c>
      <c r="R26" s="8" t="n">
        <v>0.25</v>
      </c>
      <c r="S26" s="8" t="n">
        <v>0</v>
      </c>
      <c r="T26" s="8" t="n">
        <v>0</v>
      </c>
      <c r="U26" s="8" t="n">
        <v>0.25</v>
      </c>
      <c r="V26" s="8" t="n">
        <v>0</v>
      </c>
    </row>
    <row r="27" ht="34" customHeight="1">
      <c r="A27" s="8" t="n">
        <v>25</v>
      </c>
      <c r="B27" s="8" t="n">
        <v>50</v>
      </c>
      <c r="C27" s="8" t="n">
        <v>54</v>
      </c>
      <c r="D27" s="8" t="n">
        <v>4</v>
      </c>
      <c r="E27" s="8" t="n">
        <v>80</v>
      </c>
      <c r="F27" s="8" t="inlineStr">
        <is>
          <t>Il punteggio riflette un rischio elevato dovuto alla combinazione di un'interazione fisica anomala (possibile malore o tensione) tra gli operatori in prossimità di una pressa a iniezione attiva, unita alla quasi totale assenza di DPI obbligatori (come elmetti e occhiali di sicurezza). La distrazione e l'instabilità dei soggetti vicino a parti calde o in movimento del macchinario aumentano significativamente la probabilità di gravi infortuni o contatti accidentali.</t>
        </is>
      </c>
      <c r="G27" s="8" t="n">
        <v>85.40000000000001</v>
      </c>
      <c r="H27" s="9" t="inlineStr">
        <is>
          <t>rosso</t>
        </is>
      </c>
      <c r="I27" s="8" t="n">
        <v>30</v>
      </c>
      <c r="J27" s="8" t="inlineStr">
        <is>
          <t>Il rischio è moderato a causa della distrazione generata dal contatto fisico tra gli operatori in prossimità della pressa industriale attiva. Inoltre, il mancato utilizzo di DPI completi aumenta la vulnerabilità a potenziali infortuni in caso di contatto accidentale.</t>
        </is>
      </c>
      <c r="K27" s="8" t="n">
        <v>34.96</v>
      </c>
      <c r="L27" s="12" t="inlineStr">
        <is>
          <t>giallo</t>
        </is>
      </c>
      <c r="M27" s="8" t="n">
        <v>50</v>
      </c>
      <c r="N27" s="8" t="n">
        <v>50.44</v>
      </c>
      <c r="O27" s="9" t="inlineStr">
        <is>
          <t>disaccordo</t>
        </is>
      </c>
      <c r="P27" s="8" t="n">
        <v>0</v>
      </c>
      <c r="Q27" s="8" t="n">
        <v>0.25</v>
      </c>
      <c r="R27" s="8" t="n">
        <v>0.25</v>
      </c>
      <c r="S27" s="8" t="n">
        <v>0</v>
      </c>
      <c r="T27" s="8" t="n">
        <v>0</v>
      </c>
      <c r="U27" s="8" t="n">
        <v>0</v>
      </c>
      <c r="V27" s="8" t="n">
        <v>0</v>
      </c>
    </row>
    <row r="28" ht="34" customHeight="1">
      <c r="A28" s="8" t="n">
        <v>26</v>
      </c>
      <c r="B28" s="8" t="n">
        <v>52</v>
      </c>
      <c r="C28" s="8" t="n">
        <v>56</v>
      </c>
      <c r="D28" s="8" t="n">
        <v>4</v>
      </c>
      <c r="E28" s="8" t="n">
        <v>60</v>
      </c>
      <c r="F28" s="8" t="inlineStr">
        <is>
          <t>Il punteggio di 60 indica un livello di rischio moderato-alto. Nonostante non vi siano incidenti in corso, si osserva una diffusa non conformità nell'uso dei DPI: tre operatori si trovano in prossimità di un macchinario pesante attivo (pressa ad iniezione) senza elmetto protettivo o gilet ad alta visibilità (solo uno indossa guanti). Inoltre, la presenza di un contenitore bianco a terra in una zona di transito e l'area parzialmente ingombrata aumentano il rischio di inciampo e caduta, mentre l'interazione ravvicinata con la pressa comporta un potenziale rischio di schiacciamento degli arti.</t>
        </is>
      </c>
      <c r="G28" s="8" t="n">
        <v>70.16</v>
      </c>
      <c r="H28" s="10" t="inlineStr">
        <is>
          <t>arancione</t>
        </is>
      </c>
      <c r="I28" s="8" t="n">
        <v>35</v>
      </c>
      <c r="J28" s="8" t="inlineStr">
        <is>
          <t>Il punteggio riflette un rischio moderato dovuto al mancato utilizzo visibile di DPI idonei in un reparto produttivo attivo con presse ad iniezione. L'interazione dell'operatore con il carrello senza protezioni evidenti aumenta la probabilità di infortuni minori o schiacciamenti.</t>
        </is>
      </c>
      <c r="K28" s="8" t="n">
        <v>36.23</v>
      </c>
      <c r="L28" s="12" t="inlineStr">
        <is>
          <t>giallo</t>
        </is>
      </c>
      <c r="M28" s="8" t="n">
        <v>25</v>
      </c>
      <c r="N28" s="8" t="n">
        <v>33.93</v>
      </c>
      <c r="O28" s="9" t="inlineStr">
        <is>
          <t>disaccordo</t>
        </is>
      </c>
      <c r="P28" s="8" t="n">
        <v>0</v>
      </c>
      <c r="Q28" s="8" t="n">
        <v>0.25</v>
      </c>
      <c r="R28" s="8" t="n">
        <v>0.5</v>
      </c>
      <c r="S28" s="8" t="n">
        <v>0</v>
      </c>
      <c r="T28" s="8" t="n">
        <v>0.25</v>
      </c>
      <c r="U28" s="8" t="n">
        <v>0.25</v>
      </c>
      <c r="V28" s="8" t="n">
        <v>0.25</v>
      </c>
    </row>
    <row r="29" ht="34" customHeight="1">
      <c r="A29" s="8" t="n">
        <v>27</v>
      </c>
      <c r="B29" s="8" t="n">
        <v>54</v>
      </c>
      <c r="C29" s="8" t="n">
        <v>58</v>
      </c>
      <c r="D29" s="8" t="n">
        <v>4</v>
      </c>
      <c r="E29" s="8" t="n">
        <v>50</v>
      </c>
      <c r="F29" s="8" t="inlineStr">
        <is>
          <t>Il punteggio di 50 indica un livello di rischio moderato. Pur non essendoci un incidente imminente, si rilevano diverse criticità per la sicurezza: l'area di lavoro è parzialmente ingombra di materiali che limitano le vie di transito e di fuga (rischio inciampo), si nota una carenza di DPI essenziali (mancanza di elmetti e protezioni oculari/acustiche visibili) e la movimentazione manuale del carrello avviene in uno spazio ristretto a ridosso di un altro operatore, aumentando il rischio di collisione o schiacciamento.</t>
        </is>
      </c>
      <c r="G29" s="8" t="n">
        <v>58.06</v>
      </c>
      <c r="H29" s="10" t="inlineStr">
        <is>
          <t>arancione</t>
        </is>
      </c>
      <c r="I29" s="8" t="n">
        <v>35</v>
      </c>
      <c r="J29" s="8" t="inlineStr">
        <is>
          <t>Il rischio è moderato a causa della presenza di ostacoli nell'area di lavoro e della movimentazione manuale di un carrello vicino a pedoni privi di DPI visibili. L'assenza di pericoli imminenti ad alta energia o di mezzi semoventi in transito evita una classificazione di rischio superiore.</t>
        </is>
      </c>
      <c r="K29" s="8" t="n">
        <v>35.49</v>
      </c>
      <c r="L29" s="12" t="inlineStr">
        <is>
          <t>giallo</t>
        </is>
      </c>
      <c r="M29" s="8" t="n">
        <v>15</v>
      </c>
      <c r="N29" s="8" t="n">
        <v>22.57</v>
      </c>
      <c r="O29" s="9" t="inlineStr">
        <is>
          <t>disaccordo</t>
        </is>
      </c>
      <c r="P29" s="8" t="n">
        <v>0.25</v>
      </c>
      <c r="Q29" s="8" t="n">
        <v>0.25</v>
      </c>
      <c r="R29" s="8" t="n">
        <v>0.5</v>
      </c>
      <c r="S29" s="8" t="n">
        <v>0</v>
      </c>
      <c r="T29" s="8" t="n">
        <v>0.25</v>
      </c>
      <c r="U29" s="8" t="n">
        <v>0</v>
      </c>
      <c r="V29" s="8" t="n">
        <v>0.25</v>
      </c>
    </row>
    <row r="30" ht="34" customHeight="1">
      <c r="A30" s="8" t="n">
        <v>28</v>
      </c>
      <c r="B30" s="8" t="n">
        <v>56</v>
      </c>
      <c r="C30" s="8" t="n">
        <v>60</v>
      </c>
      <c r="D30" s="8" t="n">
        <v>4</v>
      </c>
      <c r="E30" s="8" t="n">
        <v>50</v>
      </c>
      <c r="F30" s="8" t="inlineStr">
        <is>
          <t>Il punteggio riflette un rischio moderato dovuto alla presenza di ostacoli a terra (sacchi) e passaggi angusti in prossimità di una pressa ad iniezione attiva. La mancanza di DPI visibili (come indumenti ad alta visibilità) e la parziale ostruzione visiva aumentano il rischio di inciampo o urto accidentale per gli operatori nell'area.</t>
        </is>
      </c>
      <c r="G30" s="8" t="n">
        <v>53.22</v>
      </c>
      <c r="H30" s="10" t="inlineStr">
        <is>
          <t>arancione</t>
        </is>
      </c>
      <c r="I30" s="8" t="n">
        <v>30</v>
      </c>
      <c r="J30" s="8" t="inlineStr">
        <is>
          <t>Il rischio è moderato a causa del mancato utilizzo visibile di DPI in un reparto industriale e della visibilità parzialmente ostruita dal macchinario. Non si rilevano tuttavia interazioni dirette con organi in movimento o mezzi di trasporto che aumenterebbero la gravità.</t>
        </is>
      </c>
      <c r="K30" s="8" t="n">
        <v>32.2</v>
      </c>
      <c r="L30" s="12" t="inlineStr">
        <is>
          <t>giallo</t>
        </is>
      </c>
      <c r="M30" s="8" t="n">
        <v>20</v>
      </c>
      <c r="N30" s="8" t="n">
        <v>21.02</v>
      </c>
      <c r="O30" s="9" t="inlineStr">
        <is>
          <t>disaccordo</t>
        </is>
      </c>
      <c r="P30" s="8" t="n">
        <v>0</v>
      </c>
      <c r="Q30" s="8" t="n">
        <v>0.25</v>
      </c>
      <c r="R30" s="8" t="n">
        <v>0.25</v>
      </c>
      <c r="S30" s="8" t="n">
        <v>0</v>
      </c>
      <c r="T30" s="8" t="n">
        <v>0</v>
      </c>
      <c r="U30" s="8" t="n">
        <v>0</v>
      </c>
      <c r="V30" s="8" t="n">
        <v>0</v>
      </c>
    </row>
    <row r="31" ht="34" customHeight="1">
      <c r="A31" s="8" t="n">
        <v>29</v>
      </c>
      <c r="B31" s="8" t="n">
        <v>58</v>
      </c>
      <c r="C31" s="8" t="n">
        <v>62</v>
      </c>
      <c r="D31" s="8" t="n">
        <v>4</v>
      </c>
      <c r="E31" s="8" t="n">
        <v>45</v>
      </c>
      <c r="F31" s="8" t="inlineStr">
        <is>
          <t>Il punteggio di 45 indica un rischio moderato. La presenza di vie di passaggio ristrette e parzialmente ostruite da sacchi di materia prima e pile di sedie aumenta il rischio di inciampo o scivolamento per l'operatore. Inoltre, la potenziale instabilità dei materiali impilati e l'impossibilità di verificare l'uso di DPI adeguati (come scarpe antinfortunistiche o gilet ad alta visibilità) in un'area di produzione e stoccaggio rappresentano elementi di criticità per la sicurezza ordinaria sicurezza.</t>
        </is>
      </c>
      <c r="G31" s="8" t="n">
        <v>48.29</v>
      </c>
      <c r="H31" s="12" t="inlineStr">
        <is>
          <t>giallo</t>
        </is>
      </c>
      <c r="I31" s="8" t="n">
        <v>30</v>
      </c>
      <c r="J31" s="8" t="inlineStr">
        <is>
          <t>Il rischio è moderato a causa della movimentazione manuale di un carico ingombrante e potenzialmente instabile in presenza di ostacoli a terra come i sacchi bianchi. Inoltre, la distanza impedisce di verificare l'adozione dei dispositivi di protezione individuale idonei.</t>
        </is>
      </c>
      <c r="K31" s="8" t="n">
        <v>30.88</v>
      </c>
      <c r="L31" s="12" t="inlineStr">
        <is>
          <t>giallo</t>
        </is>
      </c>
      <c r="M31" s="8" t="n">
        <v>15</v>
      </c>
      <c r="N31" s="8" t="n">
        <v>17.41</v>
      </c>
      <c r="O31" s="11" t="inlineStr">
        <is>
          <t>accordo</t>
        </is>
      </c>
      <c r="P31" s="8" t="n">
        <v>0</v>
      </c>
      <c r="Q31" s="8" t="n">
        <v>0.25</v>
      </c>
      <c r="R31" s="8" t="n">
        <v>0.25</v>
      </c>
      <c r="S31" s="8" t="n">
        <v>0</v>
      </c>
      <c r="T31" s="8" t="n">
        <v>0.25</v>
      </c>
      <c r="U31" s="8" t="n">
        <v>0</v>
      </c>
      <c r="V31" s="8" t="n">
        <v>0.25</v>
      </c>
    </row>
    <row r="32" ht="34" customHeight="1">
      <c r="A32" s="8" t="n">
        <v>30</v>
      </c>
      <c r="B32" s="8" t="n">
        <v>60</v>
      </c>
      <c r="C32" s="8" t="n">
        <v>62.533</v>
      </c>
      <c r="D32" s="8" t="n">
        <v>2.533</v>
      </c>
      <c r="E32" s="8" t="n">
        <v>15</v>
      </c>
      <c r="F32" s="8" t="inlineStr">
        <is>
          <t>Il livello di rischio è basso (15) poiché non vi è presenza di personale nell'area e il macchinario è in uno stato statico, escludendo pericoli immediati di infortunio. Tuttavia, non è pari a zero a causa del disordine e dell'accumulo di materiali (sedie impilate e sacchi) in prossimità della pressa, che rappresentano un potenziale intralcio alle vie di fuga e di manovra per gli operatori.</t>
        </is>
      </c>
      <c r="G32" s="8" t="n">
        <v>28.32</v>
      </c>
      <c r="H32" s="12" t="inlineStr">
        <is>
          <t>giallo</t>
        </is>
      </c>
      <c r="I32" s="8" t="n">
        <v>0</v>
      </c>
      <c r="J32" s="8" t="inlineStr">
        <is>
          <t>L'area è completamente deserta e priva di attività lavorative o mezzi in movimento. Non si rilevano comportamenti non conformi o anomalie nello stoccaggio, mantenendo il livello di rischio a zero.</t>
        </is>
      </c>
      <c r="K32" s="8" t="n">
        <v>12.35</v>
      </c>
      <c r="L32" s="11" t="inlineStr">
        <is>
          <t>verde</t>
        </is>
      </c>
      <c r="M32" s="8" t="n">
        <v>15</v>
      </c>
      <c r="N32" s="8" t="n">
        <v>15.97</v>
      </c>
      <c r="O32" s="9" t="inlineStr">
        <is>
          <t>disaccordo</t>
        </is>
      </c>
      <c r="P32" s="8" t="n">
        <v>0</v>
      </c>
      <c r="Q32" s="8" t="n">
        <v>0</v>
      </c>
      <c r="R32" s="8" t="n">
        <v>0</v>
      </c>
      <c r="S32" s="8" t="n">
        <v>0</v>
      </c>
      <c r="T32" s="8" t="n">
        <v>0</v>
      </c>
      <c r="U32" s="8" t="n">
        <v>0</v>
      </c>
      <c r="V32" s="8" t="n">
        <v>0</v>
      </c>
    </row>
    <row r="33" ht="34" customHeight="1">
      <c r="A33" s="8" t="n">
        <v>31</v>
      </c>
      <c r="B33" s="8" t="n">
        <v>62</v>
      </c>
      <c r="C33" s="8" t="n">
        <v>62.533</v>
      </c>
      <c r="D33" s="8" t="n">
        <v>0.533</v>
      </c>
      <c r="E33" s="8" t="n">
        <v>25</v>
      </c>
      <c r="F33" s="8" t="inlineStr">
        <is>
          <t>Il punteggio riflette un rischio latente medio-basso. Non sono presenti operatori esposti a pericoli immediati né si registrano anomalie nel macchinario. Tuttavia, la presenza di ostacoli a terra (sacchi e scatole) in prossimità della pressa configura un rischio di inciampo e potenziale intralcio alle vie di fuga o ai comandi di emergenza.</t>
        </is>
      </c>
      <c r="G33" s="8" t="n">
        <v>28.83</v>
      </c>
      <c r="H33" s="12" t="inlineStr">
        <is>
          <t>giallo</t>
        </is>
      </c>
      <c r="I33" s="8" t="n">
        <v>0</v>
      </c>
      <c r="J33" s="8" t="inlineStr">
        <is>
          <t>La scena è completamente statica, priva di personale e di mezzi in movimento, con i macchinari in stato di sicurezza. Non si rileva alcuna situazione di pericolo o comportamento non conforme, giustificando un livello di rischio nullo.</t>
        </is>
      </c>
      <c r="K33" s="8" t="n">
        <v>4.94</v>
      </c>
      <c r="L33" s="11" t="inlineStr">
        <is>
          <t>verde</t>
        </is>
      </c>
      <c r="M33" s="8" t="n">
        <v>25</v>
      </c>
      <c r="N33" s="8" t="n">
        <v>23.89</v>
      </c>
      <c r="O33" s="9" t="inlineStr">
        <is>
          <t>disaccordo</t>
        </is>
      </c>
      <c r="P33" s="8" t="n">
        <v>0</v>
      </c>
      <c r="Q33" s="8" t="n">
        <v>0</v>
      </c>
      <c r="R33" s="8" t="n">
        <v>0</v>
      </c>
      <c r="S33" s="8" t="n">
        <v>0</v>
      </c>
      <c r="T33" s="8" t="n">
        <v>0</v>
      </c>
      <c r="U33" s="8" t="n">
        <v>0</v>
      </c>
      <c r="V33" s="8" t="n">
        <v>0</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2026-07-30T13:34:18Z</dcterms:created>
  <dcterms:modified xmlns:dcterms="http://purl.org/dc/terms/" xmlns:xsi="http://www.w3.org/2001/XMLSchema-instance" xsi:type="dcterms:W3CDTF">2026-07-30T13:34:18Z</dcterms:modified>
</cp:coreProperties>
</file>