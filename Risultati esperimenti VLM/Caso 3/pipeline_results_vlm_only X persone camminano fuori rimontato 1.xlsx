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lm_only_result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b val="1"/>
      <color rgb="00FFFFFF"/>
      <sz val="8"/>
    </font>
    <font>
      <sz val="7"/>
    </font>
    <font>
      <b val="1"/>
      <color rgb="00000000"/>
      <sz val="8"/>
    </font>
  </fonts>
  <fills count="11">
    <fill>
      <patternFill/>
    </fill>
    <fill>
      <patternFill patternType="gray125"/>
    </fill>
    <fill>
      <patternFill patternType="solid">
        <fgColor rgb="001F4E78"/>
      </patternFill>
    </fill>
    <fill>
      <patternFill patternType="solid">
        <fgColor rgb="00D9EAF7"/>
      </patternFill>
    </fill>
    <fill>
      <patternFill patternType="solid">
        <fgColor rgb="00E2F0D9"/>
      </patternFill>
    </fill>
    <fill>
      <patternFill patternType="solid">
        <fgColor rgb="00D9E1F2"/>
      </patternFill>
    </fill>
    <fill>
      <patternFill patternType="solid">
        <fgColor rgb="00FFF2CC"/>
      </patternFill>
    </fill>
    <fill>
      <patternFill patternType="solid">
        <fgColor rgb="00EADCF8"/>
      </patternFill>
    </fill>
    <fill>
      <patternFill patternType="solid">
        <fgColor rgb="00EDEDED"/>
      </patternFill>
    </fill>
    <fill>
      <patternFill patternType="solid">
        <fgColor rgb="00C6EFCE"/>
      </patternFill>
    </fill>
    <fill>
      <patternFill patternType="solid">
        <fgColor rgb="00F4CCCC"/>
      </patternFill>
    </fill>
  </fills>
  <borders count="3">
    <border>
      <left/>
      <right/>
      <top/>
      <bottom/>
      <diagonal/>
    </border>
    <border>
      <left style="thin"/>
      <right style="thin"/>
      <top style="thin"/>
      <bottom style="thin"/>
    </border>
    <border>
      <left style="thin">
        <color rgb="00D9D9D9"/>
      </left>
      <right style="thin">
        <color rgb="00D9D9D9"/>
      </right>
      <top style="thin">
        <color rgb="00D9D9D9"/>
      </top>
      <bottom style="thin">
        <color rgb="00D9D9D9"/>
      </bottom>
    </border>
  </borders>
  <cellStyleXfs count="1">
    <xf numFmtId="0" fontId="0" fillId="0" borderId="0"/>
  </cellStyleXfs>
  <cellXfs count="12">
    <xf numFmtId="0" fontId="0" fillId="0" borderId="0" pivotButton="0" quotePrefix="0" xfId="0"/>
    <xf numFmtId="0" fontId="1" fillId="0" borderId="1" applyAlignment="1" pivotButton="0" quotePrefix="0" xfId="0">
      <alignment horizontal="center" vertical="top"/>
    </xf>
    <xf numFmtId="0" fontId="4" fillId="3" borderId="2" applyAlignment="1" pivotButton="0" quotePrefix="0" xfId="0">
      <alignment horizontal="center" vertical="center" wrapText="1"/>
    </xf>
    <xf numFmtId="0" fontId="4" fillId="4" borderId="2" applyAlignment="1" pivotButton="0" quotePrefix="0" xfId="0">
      <alignment horizontal="center" vertical="center" wrapText="1"/>
    </xf>
    <xf numFmtId="0" fontId="4" fillId="5" borderId="2" applyAlignment="1" pivotButton="0" quotePrefix="0" xfId="0">
      <alignment horizontal="center" vertical="center" wrapText="1"/>
    </xf>
    <xf numFmtId="0" fontId="4" fillId="6" borderId="2" applyAlignment="1" pivotButton="0" quotePrefix="0" xfId="0">
      <alignment horizontal="center" vertical="center" wrapText="1"/>
    </xf>
    <xf numFmtId="0" fontId="4" fillId="7" borderId="2" applyAlignment="1" pivotButton="0" quotePrefix="0" xfId="0">
      <alignment horizontal="center" vertical="center" wrapText="1"/>
    </xf>
    <xf numFmtId="0" fontId="4" fillId="8" borderId="2" applyAlignment="1" pivotButton="0" quotePrefix="0" xfId="0">
      <alignment horizontal="center" vertical="center" wrapText="1"/>
    </xf>
    <xf numFmtId="0" fontId="3" fillId="0" borderId="2" applyAlignment="1" pivotButton="0" quotePrefix="0" xfId="0">
      <alignment horizontal="left" vertical="top" wrapText="1"/>
    </xf>
    <xf numFmtId="0" fontId="3" fillId="6" borderId="2" applyAlignment="1" pivotButton="0" quotePrefix="0" xfId="0">
      <alignment horizontal="left" vertical="top" wrapText="1"/>
    </xf>
    <xf numFmtId="0" fontId="3" fillId="9" borderId="2" applyAlignment="1" pivotButton="0" quotePrefix="0" xfId="0">
      <alignment horizontal="left" vertical="top" wrapText="1"/>
    </xf>
    <xf numFmtId="0" fontId="3" fillId="10" borderId="2"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Dynamic Risk Score - Solo rami VLM</a:t>
            </a:r>
          </a:p>
        </rich>
      </tx>
    </title>
    <plotArea>
      <lineChart>
        <grouping val="standard"/>
        <ser>
          <idx val="0"/>
          <order val="0"/>
          <tx>
            <strRef>
              <f>'vlm_only_results'!G1</f>
            </strRef>
          </tx>
          <spPr>
            <a:ln xmlns:a="http://schemas.openxmlformats.org/drawingml/2006/main" w="18000">
              <a:solidFill>
                <a:srgbClr val="70AD47"/>
              </a:solidFill>
              <a:prstDash val="solid"/>
            </a:ln>
          </spPr>
          <marker>
            <symbol val="none"/>
            <spPr>
              <a:ln xmlns:a="http://schemas.openxmlformats.org/drawingml/2006/main">
                <a:prstDash val="solid"/>
              </a:ln>
            </spPr>
          </marker>
          <cat>
            <numRef>
              <f>'vlm_only_results'!$A$2:$A$16</f>
            </numRef>
          </cat>
          <val>
            <numRef>
              <f>'vlm_only_results'!$G$2:$G$16</f>
            </numRef>
          </val>
        </ser>
        <ser>
          <idx val="1"/>
          <order val="1"/>
          <tx>
            <strRef>
              <f>'vlm_only_results'!K1</f>
            </strRef>
          </tx>
          <spPr>
            <a:ln xmlns:a="http://schemas.openxmlformats.org/drawingml/2006/main" w="18000">
              <a:solidFill>
                <a:srgbClr val="4472C4"/>
              </a:solidFill>
              <a:prstDash val="solid"/>
            </a:ln>
          </spPr>
          <marker>
            <symbol val="none"/>
            <spPr>
              <a:ln xmlns:a="http://schemas.openxmlformats.org/drawingml/2006/main">
                <a:prstDash val="solid"/>
              </a:ln>
            </spPr>
          </marker>
          <cat>
            <numRef>
              <f>'vlm_only_results'!$A$2:$A$16</f>
            </numRef>
          </cat>
          <val>
            <numRef>
              <f>'vlm_only_results'!$K$2:$K$16</f>
            </numRef>
          </val>
        </ser>
        <axId val="10"/>
        <axId val="100"/>
      </lineChart>
      <catAx>
        <axId val="10"/>
        <scaling>
          <orientation val="minMax"/>
        </scaling>
        <axPos val="l"/>
        <title>
          <tx>
            <rich>
              <a:bodyPr xmlns:a="http://schemas.openxmlformats.org/drawingml/2006/main"/>
              <a:p xmlns:a="http://schemas.openxmlformats.org/drawingml/2006/main">
                <a:pPr>
                  <a:defRPr/>
                </a:pPr>
                <a:r>
                  <a:t>Window ID</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Dynamic risk score</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23</col>
      <colOff>0</colOff>
      <row>1</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V16"/>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7" customWidth="1" min="4" max="4"/>
    <col width="8" customWidth="1" min="5" max="5"/>
    <col width="16" customWidth="1" min="6" max="6"/>
    <col width="8" customWidth="1" min="7" max="7"/>
    <col width="7" customWidth="1" min="8" max="8"/>
    <col width="8" customWidth="1" min="9" max="9"/>
    <col width="16" customWidth="1" min="10" max="10"/>
    <col width="8" customWidth="1" min="11" max="11"/>
    <col width="7" customWidth="1" min="12" max="12"/>
    <col width="12" customWidth="1" min="13" max="13"/>
    <col width="12" customWidth="1" min="14" max="14"/>
    <col width="12" customWidth="1" min="15" max="15"/>
    <col width="7" customWidth="1" min="16" max="16"/>
    <col width="7" customWidth="1" min="17" max="17"/>
    <col width="7" customWidth="1" min="18" max="18"/>
    <col width="7" customWidth="1" min="19" max="19"/>
    <col width="7" customWidth="1" min="20" max="20"/>
    <col width="7" customWidth="1" min="21" max="21"/>
    <col width="7" customWidth="1" min="22" max="22"/>
  </cols>
  <sheetData>
    <row r="1" ht="16" customHeight="1">
      <c r="A1" s="2" t="inlineStr">
        <is>
          <t>window_id</t>
        </is>
      </c>
      <c r="B1" s="2" t="inlineStr">
        <is>
          <t>start_time_s</t>
        </is>
      </c>
      <c r="C1" s="2" t="inlineStr">
        <is>
          <t>end_time_s</t>
        </is>
      </c>
      <c r="D1" s="2" t="inlineStr">
        <is>
          <t>window_duration_s</t>
        </is>
      </c>
      <c r="E1" s="3" t="inlineStr">
        <is>
          <t>instantaneous_risk_score_vlm_free</t>
        </is>
      </c>
      <c r="F1" s="3" t="inlineStr">
        <is>
          <t>score_rationale_vlm_free</t>
        </is>
      </c>
      <c r="G1" s="3" t="inlineStr">
        <is>
          <t>dynamic_risk_score_vlm_free</t>
        </is>
      </c>
      <c r="H1" s="3" t="inlineStr">
        <is>
          <t>traffic_light_color_vlm_free</t>
        </is>
      </c>
      <c r="I1" s="4" t="inlineStr">
        <is>
          <t>instantaneous_risk_score_vlm</t>
        </is>
      </c>
      <c r="J1" s="4" t="inlineStr">
        <is>
          <t>score_rationale_vlm</t>
        </is>
      </c>
      <c r="K1" s="4" t="inlineStr">
        <is>
          <t>dynamic_risk_score_vlm</t>
        </is>
      </c>
      <c r="L1" s="4" t="inlineStr">
        <is>
          <t>traffic_light_color_vlm</t>
        </is>
      </c>
      <c r="M1" s="5" t="inlineStr">
        <is>
          <t>diff_inst_vlm_free_vs_vlm_guided</t>
        </is>
      </c>
      <c r="N1" s="5" t="inlineStr">
        <is>
          <t>diff_dyn_vlm_free_vs_vlm_guided</t>
        </is>
      </c>
      <c r="O1" s="6" t="inlineStr">
        <is>
          <t>traffic_light_agreement_vlm_free_vs_vlm_guided</t>
        </is>
      </c>
      <c r="P1" s="7" t="inlineStr">
        <is>
          <t>S1_raw</t>
        </is>
      </c>
      <c r="Q1" s="7" t="inlineStr">
        <is>
          <t>S2_raw</t>
        </is>
      </c>
      <c r="R1" s="7" t="inlineStr">
        <is>
          <t>S3_raw</t>
        </is>
      </c>
      <c r="S1" s="7" t="inlineStr">
        <is>
          <t>S4_raw</t>
        </is>
      </c>
      <c r="T1" s="7" t="inlineStr">
        <is>
          <t>S5_raw</t>
        </is>
      </c>
      <c r="U1" s="7" t="inlineStr">
        <is>
          <t>S6_raw</t>
        </is>
      </c>
      <c r="V1" s="7" t="inlineStr">
        <is>
          <t>S7_raw</t>
        </is>
      </c>
    </row>
    <row r="2" ht="34" customHeight="1">
      <c r="A2" s="8" t="n">
        <v>0</v>
      </c>
      <c r="B2" s="8" t="n">
        <v>0</v>
      </c>
      <c r="C2" s="8" t="n">
        <v>4</v>
      </c>
      <c r="D2" s="8" t="n">
        <v>4</v>
      </c>
      <c r="E2" s="8" t="n">
        <v>30</v>
      </c>
      <c r="F2" s="8" t="inlineStr">
        <is>
          <t>Il punteggio di 30 riflette un livello di rischio basso-moderato. Sebbene gli operatori utilizzino i percorsi pedonali dedicati e indossino DPI di base, la presenza di pallet e di una bobina metallica a terra in prossimità delle linee di demarcazione gialle costituisce un potenziale rischio di inciampo o intralcio, richiedendo una migliore gestione dello stoccaggio temporaneo.</t>
        </is>
      </c>
      <c r="G2" s="8" t="n">
        <v>30</v>
      </c>
      <c r="H2" s="9" t="inlineStr">
        <is>
          <t>giallo</t>
        </is>
      </c>
      <c r="I2" s="8" t="n">
        <v>10</v>
      </c>
      <c r="J2" s="8" t="inlineStr">
        <is>
          <t>Il rischio è minimo poiché gli operatori rispettano rigorosamente i percorsi pedonali di sicurezza delimitati. Non si rilevano interferenze uomo-macchina, comportamenti non conformi o pericoli immediati nell'area di lavoro.</t>
        </is>
      </c>
      <c r="K2" s="8" t="n">
        <v>10</v>
      </c>
      <c r="L2" s="10" t="inlineStr">
        <is>
          <t>verde</t>
        </is>
      </c>
      <c r="M2" s="8" t="n">
        <v>20</v>
      </c>
      <c r="N2" s="8" t="n">
        <v>20</v>
      </c>
      <c r="O2" s="11" t="inlineStr">
        <is>
          <t>disaccordo</t>
        </is>
      </c>
      <c r="P2" s="8" t="n">
        <v>0</v>
      </c>
      <c r="Q2" s="8" t="n">
        <v>0</v>
      </c>
      <c r="R2" s="8" t="n">
        <v>0</v>
      </c>
      <c r="S2" s="8" t="n">
        <v>0</v>
      </c>
      <c r="T2" s="8" t="n">
        <v>0.1</v>
      </c>
      <c r="U2" s="8" t="n">
        <v>0</v>
      </c>
      <c r="V2" s="8" t="n">
        <v>0</v>
      </c>
    </row>
    <row r="3" ht="34" customHeight="1">
      <c r="A3" s="8" t="n">
        <v>1</v>
      </c>
      <c r="B3" s="8" t="n">
        <v>2</v>
      </c>
      <c r="C3" s="8" t="n">
        <v>6</v>
      </c>
      <c r="D3" s="8" t="n">
        <v>4</v>
      </c>
      <c r="E3" s="8" t="n">
        <v>35</v>
      </c>
      <c r="F3" s="8" t="inlineStr">
        <is>
          <t>Il punteggio di 35 riflette un rischio medio-basso. I lavoratori seguono i percorsi delimitati e indossano elementi ad alta visibilità, ma lo stoccaggio di pallet vicino alle linee di transito riduce lo spazio di manovra, creando un potenziale rischio di inciampo o di deviazione verso le aree operative dei macchinari pesanti.</t>
        </is>
      </c>
      <c r="G3" s="8" t="n">
        <v>34.25</v>
      </c>
      <c r="H3" s="9" t="inlineStr">
        <is>
          <t>giallo</t>
        </is>
      </c>
      <c r="I3" s="8" t="n">
        <v>15</v>
      </c>
      <c r="J3" s="8" t="inlineStr">
        <is>
          <t>Il rischio è basso poiché i pedoni rispettano le vie di transito segnalate e i macchinari pesanti sono momentaneamente statici. L'unico elemento di attenzione è la bobina di metallo a terra, che richiede monitoraggio per evitare potenziali intralci o rotolamenti.</t>
        </is>
      </c>
      <c r="K3" s="8" t="n">
        <v>14.25</v>
      </c>
      <c r="L3" s="10" t="inlineStr">
        <is>
          <t>verde</t>
        </is>
      </c>
      <c r="M3" s="8" t="n">
        <v>20</v>
      </c>
      <c r="N3" s="8" t="n">
        <v>20</v>
      </c>
      <c r="O3" s="11" t="inlineStr">
        <is>
          <t>disaccordo</t>
        </is>
      </c>
      <c r="P3" s="8" t="n">
        <v>0</v>
      </c>
      <c r="Q3" s="8" t="n">
        <v>0</v>
      </c>
      <c r="R3" s="8" t="n">
        <v>0</v>
      </c>
      <c r="S3" s="8" t="n">
        <v>0</v>
      </c>
      <c r="T3" s="8" t="n">
        <v>0.25</v>
      </c>
      <c r="U3" s="8" t="n">
        <v>0</v>
      </c>
      <c r="V3" s="8" t="n">
        <v>0</v>
      </c>
    </row>
    <row r="4" ht="34" customHeight="1">
      <c r="A4" s="8" t="n">
        <v>2</v>
      </c>
      <c r="B4" s="8" t="n">
        <v>4</v>
      </c>
      <c r="C4" s="8" t="n">
        <v>8</v>
      </c>
      <c r="D4" s="8" t="n">
        <v>4</v>
      </c>
      <c r="E4" s="8" t="n">
        <v>25</v>
      </c>
      <c r="F4" s="8" t="inlineStr">
        <is>
          <t>Il rischio è basso (25) poiché gli operatori rispettano la corsia pedonale delimitata. Permane un rischio residuo dovuto alla vicinanza a macchinari pesanti e alla presenza di un carroponte, con l'impossibilità di verificare con certezza i DPI a causa della distanza.</t>
        </is>
      </c>
      <c r="G4" s="8" t="n">
        <v>28.7</v>
      </c>
      <c r="H4" s="9" t="inlineStr">
        <is>
          <t>giallo</t>
        </is>
      </c>
      <c r="I4" s="8" t="n">
        <v>25</v>
      </c>
      <c r="J4" s="8" t="inlineStr">
        <is>
          <t>Il rischio è valutato come moderato a causa della presenza di una bobina di lamiera a terra vicino al corridoio, che rappresenta un potenziale ostacolo di inciampo. Inoltre, la distanza della telecamera non consente di verificare con certezza l'effettivo utilizzo dell'elmetto protettivo da parte degli operatori.</t>
        </is>
      </c>
      <c r="K4" s="8" t="n">
        <v>23.2</v>
      </c>
      <c r="L4" s="10" t="inlineStr">
        <is>
          <t>verde</t>
        </is>
      </c>
      <c r="M4" s="8" t="n">
        <v>0</v>
      </c>
      <c r="N4" s="8" t="n">
        <v>5.5</v>
      </c>
      <c r="O4" s="11" t="inlineStr">
        <is>
          <t>disaccordo</t>
        </is>
      </c>
      <c r="P4" s="8" t="n">
        <v>0</v>
      </c>
      <c r="Q4" s="8" t="n">
        <v>0</v>
      </c>
      <c r="R4" s="8" t="n">
        <v>0.25</v>
      </c>
      <c r="S4" s="8" t="n">
        <v>0</v>
      </c>
      <c r="T4" s="8" t="n">
        <v>0.25</v>
      </c>
      <c r="U4" s="8" t="n">
        <v>0</v>
      </c>
      <c r="V4" s="8" t="n">
        <v>0</v>
      </c>
    </row>
    <row r="5" ht="34" customHeight="1">
      <c r="A5" s="8" t="n">
        <v>3</v>
      </c>
      <c r="B5" s="8" t="n">
        <v>6</v>
      </c>
      <c r="C5" s="8" t="n">
        <v>10</v>
      </c>
      <c r="D5" s="8" t="n">
        <v>4</v>
      </c>
      <c r="E5" s="8" t="n">
        <v>20</v>
      </c>
      <c r="F5" s="8" t="inlineStr">
        <is>
          <t>Il rischio è basso e controllato. L'operatore rispetta correttamente il percorso pedonale delimitato dalle linee gialle, riducendo al minimo il rischio di interferenza con i macchinari pesanti. Sebbene l'ambiente presenti pericoli intrinseci dovuti alla presenza di presse e bobine metalliche, la segnaletica visibile, le barriere fisiche e le vie di transito sgombre mantengono la situazione in sicurezza.</t>
        </is>
      </c>
      <c r="G5" s="8" t="n">
        <v>23.48</v>
      </c>
      <c r="H5" s="10" t="inlineStr">
        <is>
          <t>verde</t>
        </is>
      </c>
      <c r="I5" s="8" t="n">
        <v>10</v>
      </c>
      <c r="J5" s="8" t="inlineStr">
        <is>
          <t>Il rischio è basso poiché l'operatore transita correttamente all'interno del corridoio pedonale delimitato e non si rilevano mezzi in movimento o altre fonti di pericolo immediato. La situazione rispetta le misure di sicurezza standard per la segregazione dei flussi.</t>
        </is>
      </c>
      <c r="K5" s="8" t="n">
        <v>15.28</v>
      </c>
      <c r="L5" s="10" t="inlineStr">
        <is>
          <t>verde</t>
        </is>
      </c>
      <c r="M5" s="8" t="n">
        <v>10</v>
      </c>
      <c r="N5" s="8" t="n">
        <v>8.199999999999999</v>
      </c>
      <c r="O5" s="10" t="inlineStr">
        <is>
          <t>accordo</t>
        </is>
      </c>
      <c r="P5" s="8" t="n">
        <v>0</v>
      </c>
      <c r="Q5" s="8" t="n">
        <v>0</v>
      </c>
      <c r="R5" s="8" t="n">
        <v>0</v>
      </c>
      <c r="S5" s="8" t="n">
        <v>0</v>
      </c>
      <c r="T5" s="8" t="n">
        <v>0</v>
      </c>
      <c r="U5" s="8" t="n">
        <v>0</v>
      </c>
      <c r="V5" s="8" t="n">
        <v>0</v>
      </c>
    </row>
    <row r="6" ht="34" customHeight="1">
      <c r="A6" s="8" t="n">
        <v>4</v>
      </c>
      <c r="B6" s="8" t="n">
        <v>8</v>
      </c>
      <c r="C6" s="8" t="n">
        <v>12</v>
      </c>
      <c r="D6" s="8" t="n">
        <v>4</v>
      </c>
      <c r="E6" s="8" t="n">
        <v>40</v>
      </c>
      <c r="F6" s="8" t="inlineStr">
        <is>
          <t>Il punteggio di 40 indica un rischio moderato. L'operatore transita correttamente nel corridoio pedonale delimitato, riducendo l'interazione uomo-macchina. Tuttavia, la presenza di una bobina metallica a terra vicino alla linea di transito costituisce un potenziale rischio di inciampo, e la distanza impedisce la verifica completa dei DPI dell'operatore.</t>
        </is>
      </c>
      <c r="G6" s="8" t="n">
        <v>38.39</v>
      </c>
      <c r="H6" s="9" t="inlineStr">
        <is>
          <t>giallo</t>
        </is>
      </c>
      <c r="I6" s="8" t="n">
        <v>10</v>
      </c>
      <c r="J6" s="8" t="inlineStr">
        <is>
          <t>Il livello di rischio è basso poiché i lavoratori transitano correttamente all'interno del percorso pedonale delimitato, senza interferenze con mezzi o macchinari. Non si evidenziano comportamenti non conformi o pericoli immediati nella scena.</t>
        </is>
      </c>
      <c r="K6" s="8" t="n">
        <v>12.11</v>
      </c>
      <c r="L6" s="10" t="inlineStr">
        <is>
          <t>verde</t>
        </is>
      </c>
      <c r="M6" s="8" t="n">
        <v>30</v>
      </c>
      <c r="N6" s="8" t="n">
        <v>26.28</v>
      </c>
      <c r="O6" s="11" t="inlineStr">
        <is>
          <t>disaccordo</t>
        </is>
      </c>
      <c r="P6" s="8" t="n">
        <v>0</v>
      </c>
      <c r="Q6" s="8" t="n">
        <v>0</v>
      </c>
      <c r="R6" s="8" t="n">
        <v>0</v>
      </c>
      <c r="S6" s="8" t="n">
        <v>0</v>
      </c>
      <c r="T6" s="8" t="n">
        <v>0.1</v>
      </c>
      <c r="U6" s="8" t="n">
        <v>0</v>
      </c>
      <c r="V6" s="8" t="n">
        <v>0</v>
      </c>
    </row>
    <row r="7" ht="34" customHeight="1">
      <c r="A7" s="8" t="n">
        <v>5</v>
      </c>
      <c r="B7" s="8" t="n">
        <v>10</v>
      </c>
      <c r="C7" s="8" t="n">
        <v>14</v>
      </c>
      <c r="D7" s="8" t="n">
        <v>4</v>
      </c>
      <c r="E7" s="8" t="n">
        <v>25</v>
      </c>
      <c r="F7" s="8" t="inlineStr">
        <is>
          <t>Il rischio è stimato a 25 (basso) poiché gli operatori seguono correttamente il percorso pedonale delimitato dalle linee gialle, riducendo il rischio di contatto con i macchinari. Tuttavia, la presenza di pallet e materiali vicino al corridoio rappresenta un potenziale rischio di inciampo, e la distanza non consente di verificare l'uso completo dei DPI necessari.</t>
        </is>
      </c>
      <c r="G7" s="8" t="n">
        <v>30.36</v>
      </c>
      <c r="H7" s="9" t="inlineStr">
        <is>
          <t>giallo</t>
        </is>
      </c>
      <c r="I7" s="8" t="n">
        <v>15</v>
      </c>
      <c r="J7" s="8" t="inlineStr">
        <is>
          <t>Il rischio è basso poiché i lavoratori transitano correttamente lungo il percorso pedonale delimitato e non si rilevano pericoli immediati o interferenze con mezzi. L'unica limitazione risiede nell'impossibilità di verificare l'uso dei DPI a causa della distanza della telecamera.</t>
        </is>
      </c>
      <c r="K7" s="8" t="n">
        <v>15.09</v>
      </c>
      <c r="L7" s="10" t="inlineStr">
        <is>
          <t>verde</t>
        </is>
      </c>
      <c r="M7" s="8" t="n">
        <v>10</v>
      </c>
      <c r="N7" s="8" t="n">
        <v>15.27</v>
      </c>
      <c r="O7" s="11" t="inlineStr">
        <is>
          <t>disaccordo</t>
        </is>
      </c>
      <c r="P7" s="8" t="n">
        <v>0</v>
      </c>
      <c r="Q7" s="8" t="n">
        <v>0</v>
      </c>
      <c r="R7" s="8" t="n">
        <v>0</v>
      </c>
      <c r="S7" s="8" t="n">
        <v>0</v>
      </c>
      <c r="T7" s="8" t="n">
        <v>0</v>
      </c>
      <c r="U7" s="8" t="n">
        <v>0</v>
      </c>
      <c r="V7" s="8" t="n">
        <v>0</v>
      </c>
    </row>
    <row r="8" ht="34" customHeight="1">
      <c r="A8" s="8" t="n">
        <v>6</v>
      </c>
      <c r="B8" s="8" t="n">
        <v>12</v>
      </c>
      <c r="C8" s="8" t="n">
        <v>16</v>
      </c>
      <c r="D8" s="8" t="n">
        <v>4</v>
      </c>
      <c r="E8" s="8" t="n">
        <v>25</v>
      </c>
      <c r="F8" s="8" t="inlineStr">
        <is>
          <t>Il punteggio di 25 indica un livello di rischio basso ma meritevole di attenzione. Sebbene gli operatori utilizzino le corsie pedonali dedicate, la presenza di pallet posizionati vicino alla linea di transito configura un potenziale rischio di inciampo o deviazione. Inoltre, l'impossibilità di verificare l'uso di DPI specifici (come calzature di sicurezza e protezioni acustiche) a causa della distanza rappresenta un fattore di incertezza preventiva.</t>
        </is>
      </c>
      <c r="G8" s="8" t="n">
        <v>27.14</v>
      </c>
      <c r="H8" s="9" t="inlineStr">
        <is>
          <t>giallo</t>
        </is>
      </c>
      <c r="I8" s="8" t="n">
        <v>10</v>
      </c>
      <c r="J8" s="8" t="inlineStr">
        <is>
          <t>Il punteggio riflette un livello di rischio molto basso grazie all'elevata conformità rilevata, con gli operatori che utilizzano correttamente i percorsi pedonali dedicati e presidiano le postazioni. Non si registrano comportamenti non conformi, interferenze con mezzi in movimento o pericoli immediati.</t>
        </is>
      </c>
      <c r="K8" s="8" t="n">
        <v>12.04</v>
      </c>
      <c r="L8" s="10" t="inlineStr">
        <is>
          <t>verde</t>
        </is>
      </c>
      <c r="M8" s="8" t="n">
        <v>15</v>
      </c>
      <c r="N8" s="8" t="n">
        <v>15.1</v>
      </c>
      <c r="O8" s="11" t="inlineStr">
        <is>
          <t>disaccordo</t>
        </is>
      </c>
      <c r="P8" s="8" t="n">
        <v>0</v>
      </c>
      <c r="Q8" s="8" t="n">
        <v>0</v>
      </c>
      <c r="R8" s="8" t="n">
        <v>0</v>
      </c>
      <c r="S8" s="8" t="n">
        <v>0</v>
      </c>
      <c r="T8" s="8" t="n">
        <v>0</v>
      </c>
      <c r="U8" s="8" t="n">
        <v>0</v>
      </c>
      <c r="V8" s="8" t="n">
        <v>0</v>
      </c>
    </row>
    <row r="9" ht="34" customHeight="1">
      <c r="A9" s="8" t="n">
        <v>7</v>
      </c>
      <c r="B9" s="8" t="n">
        <v>14</v>
      </c>
      <c r="C9" s="8" t="n">
        <v>18</v>
      </c>
      <c r="D9" s="8" t="n">
        <v>4</v>
      </c>
      <c r="E9" s="8" t="n">
        <v>35</v>
      </c>
      <c r="F9" s="8" t="inlineStr">
        <is>
          <t>Il punteggio di 35 riflette una situazione di rischio moderato. Sebbene gli operatori rispettino generalmente i percorsi pedonali segnalati, si riscontrano alcuni fattori di attenzione: la presenza di una bobina metallica a terra vicino alle linee di transito rappresenta un rischio di inciampo, non è possibile verificare con certezza alcuni DPI fondamentali (come l'elmetto dell'operatore in primo piano) e vi è una potenziale vicinanza a macchinari pesanti senza barriere fisiche complete.</t>
        </is>
      </c>
      <c r="G9" s="8" t="n">
        <v>34.36</v>
      </c>
      <c r="H9" s="9" t="inlineStr">
        <is>
          <t>giallo</t>
        </is>
      </c>
      <c r="I9" s="8" t="n">
        <v>35</v>
      </c>
      <c r="J9" s="8" t="inlineStr">
        <is>
          <t>Il rischio è moderato a causa della ridotta attenzione situazionale dell'operatore concentrato sul dispositivo in prossimità di una bobina metallica a terra. La corretta segregazione dei flussi pedonali e l'assenza di pericoli imminenti prevengono scenari di rischio più elevati.</t>
        </is>
      </c>
      <c r="K9" s="8" t="n">
        <v>32.07</v>
      </c>
      <c r="L9" s="9" t="inlineStr">
        <is>
          <t>giallo</t>
        </is>
      </c>
      <c r="M9" s="8" t="n">
        <v>0</v>
      </c>
      <c r="N9" s="8" t="n">
        <v>2.29</v>
      </c>
      <c r="O9" s="10" t="inlineStr">
        <is>
          <t>accordo</t>
        </is>
      </c>
      <c r="P9" s="8" t="n">
        <v>0</v>
      </c>
      <c r="Q9" s="8" t="n">
        <v>0.5</v>
      </c>
      <c r="R9" s="8" t="n">
        <v>0.25</v>
      </c>
      <c r="S9" s="8" t="n">
        <v>0</v>
      </c>
      <c r="T9" s="8" t="n">
        <v>0.25</v>
      </c>
      <c r="U9" s="8" t="n">
        <v>0.25</v>
      </c>
      <c r="V9" s="8" t="n">
        <v>0</v>
      </c>
    </row>
    <row r="10" ht="34" customHeight="1">
      <c r="A10" s="8" t="n">
        <v>8</v>
      </c>
      <c r="B10" s="8" t="n">
        <v>16</v>
      </c>
      <c r="C10" s="8" t="n">
        <v>20</v>
      </c>
      <c r="D10" s="8" t="n">
        <v>4</v>
      </c>
      <c r="E10" s="8" t="n">
        <v>50</v>
      </c>
      <c r="F10" s="8" t="inlineStr">
        <is>
          <t>Il punteggio riflette un rischio moderato dovuto principalmente alla distrazione dell'operatore in primo piano, che consulta un dispositivo/documento vicino a macchinari pesanti attivi, riducendo la sua consapevolezza situazionale. Inoltre, la protezione della testa (elmetto) non è chiaramente visibile e la presenza di un pallet nel corridoio rappresenta un potenziale pericolo di inciampo.</t>
        </is>
      </c>
      <c r="G10" s="8" t="n">
        <v>47.49</v>
      </c>
      <c r="H10" s="9" t="inlineStr">
        <is>
          <t>giallo</t>
        </is>
      </c>
      <c r="I10" s="8" t="n">
        <v>35</v>
      </c>
      <c r="J10" s="8" t="inlineStr">
        <is>
          <t>Il rischio è moderato a causa della distrazione dell'operatore in primo piano che consulta un documento in un'area operativa, aumentando il rischio di inciampo sugli ostacoli a terra. Inoltre, il possibile mancato utilizzo del casco protettivo aggrava le conseguenze di un'eventuale caduta o urto contro i macchinari.</t>
        </is>
      </c>
      <c r="K10" s="8" t="n">
        <v>33.83</v>
      </c>
      <c r="L10" s="9" t="inlineStr">
        <is>
          <t>giallo</t>
        </is>
      </c>
      <c r="M10" s="8" t="n">
        <v>15</v>
      </c>
      <c r="N10" s="8" t="n">
        <v>13.66</v>
      </c>
      <c r="O10" s="10" t="inlineStr">
        <is>
          <t>accordo</t>
        </is>
      </c>
      <c r="P10" s="8" t="n">
        <v>0</v>
      </c>
      <c r="Q10" s="8" t="n">
        <v>0.5</v>
      </c>
      <c r="R10" s="8" t="n">
        <v>0.25</v>
      </c>
      <c r="S10" s="8" t="n">
        <v>0</v>
      </c>
      <c r="T10" s="8" t="n">
        <v>0</v>
      </c>
      <c r="U10" s="8" t="n">
        <v>0</v>
      </c>
      <c r="V10" s="8" t="n">
        <v>0</v>
      </c>
    </row>
    <row r="11" ht="34" customHeight="1">
      <c r="A11" s="8" t="n">
        <v>9</v>
      </c>
      <c r="B11" s="8" t="n">
        <v>18</v>
      </c>
      <c r="C11" s="8" t="n">
        <v>22</v>
      </c>
      <c r="D11" s="8" t="n">
        <v>4</v>
      </c>
      <c r="E11" s="8" t="n">
        <v>50</v>
      </c>
      <c r="F11" s="8" t="inlineStr">
        <is>
          <t>Il punteggio di 50 indica un rischio moderato ma significativo. Un operatore in primo piano è distratto dalla consultazione di un dispositivo o documento mentre si trova vicino a macchinari pesanti in funzione (presse e sistemi a rulli) e a una bobina metallica a terra, che costituisce un immediato pericolo di inciampo. Inoltre, l'operatore indossa abiti scuri anziché ad alta visibilità, riducendo la sua percezione visiva da parte di altri o dei sistemi di sicurezza, compromettendo la consapevolezza situazionale in un'area operativa complessa.</t>
        </is>
      </c>
      <c r="G11" s="8" t="n">
        <v>49</v>
      </c>
      <c r="H11" s="9" t="inlineStr">
        <is>
          <t>giallo</t>
        </is>
      </c>
      <c r="I11" s="8" t="n">
        <v>35</v>
      </c>
      <c r="J11" s="8" t="inlineStr">
        <is>
          <t>Il rischio è moderato a causa della distrazione dell'operatore che utilizza un dispositivo palmare in un'area di lavoro attiva con ostacoli a terra e macchinari pesanti. Tuttavia, non si rilevano mezzi in movimento o pericoli imminenti che giustifichino un livello di rischio superiore.</t>
        </is>
      </c>
      <c r="K11" s="8" t="n">
        <v>34.53</v>
      </c>
      <c r="L11" s="9" t="inlineStr">
        <is>
          <t>giallo</t>
        </is>
      </c>
      <c r="M11" s="8" t="n">
        <v>15</v>
      </c>
      <c r="N11" s="8" t="n">
        <v>14.47</v>
      </c>
      <c r="O11" s="10" t="inlineStr">
        <is>
          <t>accordo</t>
        </is>
      </c>
      <c r="P11" s="8" t="n">
        <v>0</v>
      </c>
      <c r="Q11" s="8" t="n">
        <v>0.5</v>
      </c>
      <c r="R11" s="8" t="n">
        <v>0.25</v>
      </c>
      <c r="S11" s="8" t="n">
        <v>0</v>
      </c>
      <c r="T11" s="8" t="n">
        <v>0</v>
      </c>
      <c r="U11" s="8" t="n">
        <v>0</v>
      </c>
      <c r="V11" s="8" t="n">
        <v>0</v>
      </c>
    </row>
    <row r="12" ht="34" customHeight="1">
      <c r="A12" s="8" t="n">
        <v>10</v>
      </c>
      <c r="B12" s="8" t="n">
        <v>20</v>
      </c>
      <c r="C12" s="8" t="n">
        <v>24</v>
      </c>
      <c r="D12" s="8" t="n">
        <v>4</v>
      </c>
      <c r="E12" s="8" t="n">
        <v>30</v>
      </c>
      <c r="F12" s="8" t="inlineStr">
        <is>
          <t>Il punteggio riflette una situazione operativa standard e controllata. Gli operatori utilizzano i DPI previsti (casco, alta visibilità) e rispettano i percorsi pedonali delimitati. Permane un rischio intrinseco moderato dovuto alla vicinanza dell'operatore in primo piano a macchinari pesanti (pressa e svolgitore) e alla presenza di carichi a terra con parziali occlusioni visive.</t>
        </is>
      </c>
      <c r="G12" s="8" t="n">
        <v>37.6</v>
      </c>
      <c r="H12" s="9" t="inlineStr">
        <is>
          <t>giallo</t>
        </is>
      </c>
      <c r="I12" s="8" t="n">
        <v>30</v>
      </c>
      <c r="J12" s="8" t="inlineStr">
        <is>
          <t>Il rischio è moderato a causa della ridotta consapevolezza situazionale dell'operatore che lavora di spalle al corridoio e della presenza di materiali a terra vicino alle aree di transito. Non si rilevano comunque comportamenti gravemente non conformi o interferenze immediate con mezzi in movimento.</t>
        </is>
      </c>
      <c r="K12" s="8" t="n">
        <v>31.81</v>
      </c>
      <c r="L12" s="9" t="inlineStr">
        <is>
          <t>giallo</t>
        </is>
      </c>
      <c r="M12" s="8" t="n">
        <v>0</v>
      </c>
      <c r="N12" s="8" t="n">
        <v>5.79</v>
      </c>
      <c r="O12" s="10" t="inlineStr">
        <is>
          <t>accordo</t>
        </is>
      </c>
      <c r="P12" s="8" t="n">
        <v>0</v>
      </c>
      <c r="Q12" s="8" t="n">
        <v>0.25</v>
      </c>
      <c r="R12" s="8" t="n">
        <v>0</v>
      </c>
      <c r="S12" s="8" t="n">
        <v>0</v>
      </c>
      <c r="T12" s="8" t="n">
        <v>0.25</v>
      </c>
      <c r="U12" s="8" t="n">
        <v>0.25</v>
      </c>
      <c r="V12" s="8" t="n">
        <v>0</v>
      </c>
    </row>
    <row r="13" ht="34" customHeight="1">
      <c r="A13" s="8" t="n">
        <v>11</v>
      </c>
      <c r="B13" s="8" t="n">
        <v>22</v>
      </c>
      <c r="C13" s="8" t="n">
        <v>26</v>
      </c>
      <c r="D13" s="8" t="n">
        <v>4</v>
      </c>
      <c r="E13" s="8" t="n">
        <v>25</v>
      </c>
      <c r="F13" s="8" t="inlineStr">
        <is>
          <t>Il punteggio di 25 riflette un rischio basso-moderato, intrinseco a un'area industriale con carichi pesanti e macchinari in funzione. Le dinamiche sono regolari: i pedoni rispettano le corsie di sicurezza e indossano elementi ad alta visibilità. La presenza di bobine a terra vicino ai passaggi e la parziale visibilità dei DPI dell'operatore in primo piano richiedono il mantenimento della soglia di attenzione.</t>
        </is>
      </c>
      <c r="G13" s="8" t="n">
        <v>30.04</v>
      </c>
      <c r="H13" s="9" t="inlineStr">
        <is>
          <t>giallo</t>
        </is>
      </c>
      <c r="I13" s="8" t="n">
        <v>15</v>
      </c>
      <c r="J13" s="8" t="inlineStr">
        <is>
          <t>Il livello di rischio è basso poiché l'attività si svolge in condizioni di normale operatività e nel rispetto delle corsie pedonali. L'unica nota di attenzione riguarda l'operatore chinato sul pannello, che presenta una fisiologica riduzione dell'attenzione visiva senza tuttavia esporre a pericoli immediati.</t>
        </is>
      </c>
      <c r="K13" s="8" t="n">
        <v>21.72</v>
      </c>
      <c r="L13" s="10" t="inlineStr">
        <is>
          <t>verde</t>
        </is>
      </c>
      <c r="M13" s="8" t="n">
        <v>10</v>
      </c>
      <c r="N13" s="8" t="n">
        <v>8.32</v>
      </c>
      <c r="O13" s="11" t="inlineStr">
        <is>
          <t>disaccordo</t>
        </is>
      </c>
      <c r="P13" s="8" t="n">
        <v>0</v>
      </c>
      <c r="Q13" s="8" t="n">
        <v>0.25</v>
      </c>
      <c r="R13" s="8" t="n">
        <v>0</v>
      </c>
      <c r="S13" s="8" t="n">
        <v>0</v>
      </c>
      <c r="T13" s="8" t="n">
        <v>0</v>
      </c>
      <c r="U13" s="8" t="n">
        <v>0.25</v>
      </c>
      <c r="V13" s="8" t="n">
        <v>0</v>
      </c>
    </row>
    <row r="14" ht="34" customHeight="1">
      <c r="A14" s="8" t="n">
        <v>12</v>
      </c>
      <c r="B14" s="8" t="n">
        <v>24</v>
      </c>
      <c r="C14" s="8" t="n">
        <v>28</v>
      </c>
      <c r="D14" s="8" t="n">
        <v>4</v>
      </c>
      <c r="E14" s="8" t="n">
        <v>50</v>
      </c>
      <c r="F14" s="8" t="inlineStr">
        <is>
          <t>Il punteggio di 50 indica un rischio moderato. Sebbene l'area presenti elementi di sicurezza come percorsi pedonali delimitati, si rileva un potenziale rischio di inciampo dovuto alla bobina di lamiera a terra vicino all'operatore. La prossimità a presse industriali pesanti e l'impossibilità di verificare con certezza l'uso dei DPI raccomandati (elmetto, calzature) a causa della distanza aumentano il livello di attenzione richiesto, pur in assenza di pericoli imminenti.</t>
        </is>
      </c>
      <c r="G14" s="8" t="n">
        <v>48.27</v>
      </c>
      <c r="H14" s="9" t="inlineStr">
        <is>
          <t>giallo</t>
        </is>
      </c>
      <c r="I14" s="8" t="n">
        <v>25</v>
      </c>
      <c r="J14" s="8" t="inlineStr">
        <is>
          <t>Il livello di rischio è moderato poiché l'operatore in primo piano, concentrato sull'ispezione, presenta una ridotta consapevolezza periferica vicino a potenziali ostacoli come la bobina e il pallet. L'ambiente si presenta comunque ordinato e conforme, con i pedoni che rispettano le vie di transito dedicate.</t>
        </is>
      </c>
      <c r="K14" s="8" t="n">
        <v>26.19</v>
      </c>
      <c r="L14" s="9" t="inlineStr">
        <is>
          <t>giallo</t>
        </is>
      </c>
      <c r="M14" s="8" t="n">
        <v>25</v>
      </c>
      <c r="N14" s="8" t="n">
        <v>22.08</v>
      </c>
      <c r="O14" s="10" t="inlineStr">
        <is>
          <t>accordo</t>
        </is>
      </c>
      <c r="P14" s="8" t="n">
        <v>0</v>
      </c>
      <c r="Q14" s="8" t="n">
        <v>0.25</v>
      </c>
      <c r="R14" s="8" t="n">
        <v>0</v>
      </c>
      <c r="S14" s="8" t="n">
        <v>0</v>
      </c>
      <c r="T14" s="8" t="n">
        <v>0</v>
      </c>
      <c r="U14" s="8" t="n">
        <v>0.25</v>
      </c>
      <c r="V14" s="8" t="n">
        <v>0</v>
      </c>
    </row>
    <row r="15" ht="34" customHeight="1">
      <c r="A15" s="8" t="n">
        <v>13</v>
      </c>
      <c r="B15" s="8" t="n">
        <v>26</v>
      </c>
      <c r="C15" s="8" t="n">
        <v>30</v>
      </c>
      <c r="D15" s="8" t="n">
        <v>4</v>
      </c>
      <c r="E15" s="8" t="n">
        <v>35</v>
      </c>
      <c r="F15" s="8" t="inlineStr">
        <is>
          <t>Il punteggio di 35 riflette una situazione di normale operatività industriale con rischi latenti ma controllati. I pedoni utilizzano le corsie di transito delimitate da linee gialle e l'operatore è attivo presso il quadro di comando. Tuttavia, la presenza di carichi pesanti a terra (bobine metalliche) e l'impossibilità di verificare con certezza l'uso dei DPI specifici a causa della distanza mantengono un livello di attenzione moderato per prevenire potenziali rischi di schiacciamento o interferenze.</t>
        </is>
      </c>
      <c r="G15" s="8" t="n">
        <v>40.31</v>
      </c>
      <c r="H15" s="9" t="inlineStr">
        <is>
          <t>giallo</t>
        </is>
      </c>
      <c r="I15" s="8" t="n">
        <v>40</v>
      </c>
      <c r="J15" s="8" t="inlineStr">
        <is>
          <t>Il rischio è moderato poiché l'operatore lavora di spalle vicino a organi meccanici in movimento, riducendo la propria consapevolezza situazionale. Tuttavia, i pedoni rispettano le corsie di sicurezza delimitate e non si registrano interferenze immediate con veicoli o carichi instabili.</t>
        </is>
      </c>
      <c r="K15" s="8" t="n">
        <v>38.23</v>
      </c>
      <c r="L15" s="9" t="inlineStr">
        <is>
          <t>giallo</t>
        </is>
      </c>
      <c r="M15" s="8" t="n">
        <v>5</v>
      </c>
      <c r="N15" s="8" t="n">
        <v>2.08</v>
      </c>
      <c r="O15" s="10" t="inlineStr">
        <is>
          <t>accordo</t>
        </is>
      </c>
      <c r="P15" s="8" t="n">
        <v>0</v>
      </c>
      <c r="Q15" s="8" t="n">
        <v>0.5</v>
      </c>
      <c r="R15" s="8" t="n">
        <v>0</v>
      </c>
      <c r="S15" s="8" t="n">
        <v>0</v>
      </c>
      <c r="T15" s="8" t="n">
        <v>0.25</v>
      </c>
      <c r="U15" s="8" t="n">
        <v>0.5</v>
      </c>
      <c r="V15" s="8" t="n">
        <v>0</v>
      </c>
    </row>
    <row r="16" ht="34" customHeight="1">
      <c r="A16" s="8" t="n">
        <v>14</v>
      </c>
      <c r="B16" s="8" t="n">
        <v>28</v>
      </c>
      <c r="C16" s="8" t="n">
        <v>30.067</v>
      </c>
      <c r="D16" s="8" t="n">
        <v>2.067</v>
      </c>
      <c r="E16" s="8" t="n">
        <v>30</v>
      </c>
      <c r="F16" s="8" t="inlineStr">
        <is>
          <t>Il punteggio di 30 indica un livello di rischio moderato, tipico di un'area industriale con macchinari pesanti in funzione. Sebbene vi sia un potenziale rischio di inciampo dovuto alla bobina metallica posata a terra vicino all'operatore, le misure di mitigazione sono attive ed efficaci: i pedoni rispettano la segnaletica orizzontale utilizzando i percorsi dedicati e indossano DPI ad alta visibilita, mantenendo la situazione sotto controllo.</t>
        </is>
      </c>
      <c r="G16" s="8" t="n">
        <v>34.12</v>
      </c>
      <c r="H16" s="9" t="inlineStr">
        <is>
          <t>giallo</t>
        </is>
      </c>
      <c r="I16" s="8" t="n">
        <v>38</v>
      </c>
      <c r="J16" s="8" t="inlineStr">
        <is>
          <t>Il rischio è moderato a causa della stretta prossimità dell'operatore a macchinari in movimento come lo svolgitore di bobine e la rulliera. Sebbene non si osservino comportamenti scorretti immediati, l'interazione ravvicinata con la strumentazione comporta un potenziale rischio di contatto accidentale.</t>
        </is>
      </c>
      <c r="K16" s="8" t="n">
        <v>38.09</v>
      </c>
      <c r="L16" s="9" t="inlineStr">
        <is>
          <t>giallo</t>
        </is>
      </c>
      <c r="M16" s="8" t="n">
        <v>8</v>
      </c>
      <c r="N16" s="8" t="n">
        <v>3.97</v>
      </c>
      <c r="O16" s="10" t="inlineStr">
        <is>
          <t>accordo</t>
        </is>
      </c>
      <c r="P16" s="8" t="n">
        <v>0</v>
      </c>
      <c r="Q16" s="8" t="n">
        <v>0.25</v>
      </c>
      <c r="R16" s="8" t="n">
        <v>0.25</v>
      </c>
      <c r="S16" s="8" t="n">
        <v>0</v>
      </c>
      <c r="T16" s="8" t="n">
        <v>0.25</v>
      </c>
      <c r="U16" s="8" t="n">
        <v>0.5</v>
      </c>
      <c r="V16" s="8" t="n">
        <v>0</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2026-07-30T11:28:14Z</dcterms:created>
  <dcterms:modified xmlns:dcterms="http://purl.org/dc/terms/" xmlns:xsi="http://www.w3.org/2001/XMLSchema-instance" xsi:type="dcterms:W3CDTF">2026-07-30T11:28:15Z</dcterms:modified>
</cp:coreProperties>
</file>