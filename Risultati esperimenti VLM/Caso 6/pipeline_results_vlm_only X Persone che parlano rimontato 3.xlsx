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_only_results"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b val="1"/>
      <color rgb="00FFFFFF"/>
      <sz val="8"/>
    </font>
    <font>
      <sz val="7"/>
    </font>
    <font>
      <b val="1"/>
      <color rgb="00000000"/>
      <sz val="8"/>
    </font>
  </fonts>
  <fills count="11">
    <fill>
      <patternFill/>
    </fill>
    <fill>
      <patternFill patternType="gray125"/>
    </fill>
    <fill>
      <patternFill patternType="solid">
        <fgColor rgb="001F4E78"/>
      </patternFill>
    </fill>
    <fill>
      <patternFill patternType="solid">
        <fgColor rgb="00D9EAF7"/>
      </patternFill>
    </fill>
    <fill>
      <patternFill patternType="solid">
        <fgColor rgb="00E2F0D9"/>
      </patternFill>
    </fill>
    <fill>
      <patternFill patternType="solid">
        <fgColor rgb="00D9E1F2"/>
      </patternFill>
    </fill>
    <fill>
      <patternFill patternType="solid">
        <fgColor rgb="00FFF2CC"/>
      </patternFill>
    </fill>
    <fill>
      <patternFill patternType="solid">
        <fgColor rgb="00EADCF8"/>
      </patternFill>
    </fill>
    <fill>
      <patternFill patternType="solid">
        <fgColor rgb="00EDEDED"/>
      </patternFill>
    </fill>
    <fill>
      <patternFill patternType="solid">
        <fgColor rgb="00C6EFCE"/>
      </patternFill>
    </fill>
    <fill>
      <patternFill patternType="solid">
        <fgColor rgb="00F4CCCC"/>
      </patternFill>
    </fill>
  </fills>
  <borders count="3">
    <border>
      <left/>
      <right/>
      <top/>
      <bottom/>
      <diagonal/>
    </border>
    <border>
      <left style="thin"/>
      <right style="thin"/>
      <top style="thin"/>
      <bottom style="thin"/>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1" applyAlignment="1" pivotButton="0" quotePrefix="0" xfId="0">
      <alignment horizontal="center" vertical="top"/>
    </xf>
    <xf numFmtId="0" fontId="4" fillId="3" borderId="2" applyAlignment="1" pivotButton="0" quotePrefix="0" xfId="0">
      <alignment horizontal="center" vertical="center" wrapText="1"/>
    </xf>
    <xf numFmtId="0" fontId="4" fillId="4" borderId="2" applyAlignment="1" pivotButton="0" quotePrefix="0" xfId="0">
      <alignment horizontal="center" vertical="center" wrapText="1"/>
    </xf>
    <xf numFmtId="0" fontId="4" fillId="5" borderId="2" applyAlignment="1" pivotButton="0" quotePrefix="0" xfId="0">
      <alignment horizontal="center" vertical="center" wrapText="1"/>
    </xf>
    <xf numFmtId="0" fontId="4" fillId="6" borderId="2" applyAlignment="1" pivotButton="0" quotePrefix="0" xfId="0">
      <alignment horizontal="center" vertical="center" wrapText="1"/>
    </xf>
    <xf numFmtId="0" fontId="4" fillId="7" borderId="2" applyAlignment="1" pivotButton="0" quotePrefix="0" xfId="0">
      <alignment horizontal="center" vertical="center" wrapText="1"/>
    </xf>
    <xf numFmtId="0" fontId="4" fillId="8" borderId="2" applyAlignment="1" pivotButton="0" quotePrefix="0" xfId="0">
      <alignment horizontal="center" vertical="center" wrapText="1"/>
    </xf>
    <xf numFmtId="0" fontId="3" fillId="0" borderId="2" applyAlignment="1" pivotButton="0" quotePrefix="0" xfId="0">
      <alignment horizontal="left" vertical="top" wrapText="1"/>
    </xf>
    <xf numFmtId="0" fontId="3" fillId="9" borderId="2" applyAlignment="1" pivotButton="0" quotePrefix="0" xfId="0">
      <alignment horizontal="left" vertical="top" wrapText="1"/>
    </xf>
    <xf numFmtId="0" fontId="3" fillId="6" borderId="2" applyAlignment="1" pivotButton="0" quotePrefix="0" xfId="0">
      <alignment horizontal="left" vertical="top" wrapText="1"/>
    </xf>
    <xf numFmtId="0" fontId="3" fillId="1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Dynamic Risk Score - Solo rami VLM</a:t>
            </a:r>
          </a:p>
        </rich>
      </tx>
    </title>
    <plotArea>
      <lineChart>
        <grouping val="standard"/>
        <ser>
          <idx val="0"/>
          <order val="0"/>
          <tx>
            <strRef>
              <f>'vlm_only_results'!G1</f>
            </strRef>
          </tx>
          <spPr>
            <a:ln xmlns:a="http://schemas.openxmlformats.org/drawingml/2006/main" w="18000">
              <a:solidFill>
                <a:srgbClr val="70AD47"/>
              </a:solidFill>
              <a:prstDash val="solid"/>
            </a:ln>
          </spPr>
          <marker>
            <symbol val="none"/>
            <spPr>
              <a:ln xmlns:a="http://schemas.openxmlformats.org/drawingml/2006/main">
                <a:prstDash val="solid"/>
              </a:ln>
            </spPr>
          </marker>
          <cat>
            <numRef>
              <f>'vlm_only_results'!$A$2:$A$19</f>
            </numRef>
          </cat>
          <val>
            <numRef>
              <f>'vlm_only_results'!$G$2:$G$19</f>
            </numRef>
          </val>
        </ser>
        <ser>
          <idx val="1"/>
          <order val="1"/>
          <tx>
            <strRef>
              <f>'vlm_only_results'!K1</f>
            </strRef>
          </tx>
          <spPr>
            <a:ln xmlns:a="http://schemas.openxmlformats.org/drawingml/2006/main" w="18000">
              <a:solidFill>
                <a:srgbClr val="4472C4"/>
              </a:solidFill>
              <a:prstDash val="solid"/>
            </a:ln>
          </spPr>
          <marker>
            <symbol val="none"/>
            <spPr>
              <a:ln xmlns:a="http://schemas.openxmlformats.org/drawingml/2006/main">
                <a:prstDash val="solid"/>
              </a:ln>
            </spPr>
          </marker>
          <cat>
            <numRef>
              <f>'vlm_only_results'!$A$2:$A$19</f>
            </numRef>
          </cat>
          <val>
            <numRef>
              <f>'vlm_only_results'!$K$2:$K$19</f>
            </numRef>
          </val>
        </ser>
        <axId val="10"/>
        <axId val="100"/>
      </lineChart>
      <catAx>
        <axId val="10"/>
        <scaling>
          <orientation val="minMax"/>
        </scaling>
        <axPos val="l"/>
        <title>
          <tx>
            <rich>
              <a:bodyPr xmlns:a="http://schemas.openxmlformats.org/drawingml/2006/main"/>
              <a:p xmlns:a="http://schemas.openxmlformats.org/drawingml/2006/main">
                <a:pPr>
                  <a:defRPr/>
                </a:pPr>
                <a:r>
                  <a:t>Window ID</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Dynamic risk score</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23</col>
      <colOff>0</colOff>
      <row>1</row>
      <rowOff>0</rowOff>
    </from>
    <ext cx="504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V19"/>
  <sheetViews>
    <sheetView showGridLines="1" zoomScale="80" workbookViewId="0">
      <pane ySplit="1" topLeftCell="A2" activePane="bottomLeft" state="frozen"/>
      <selection pane="bottomLeft" activeCell="A1" sqref="A1"/>
    </sheetView>
  </sheetViews>
  <sheetFormatPr baseColWidth="8" defaultRowHeight="15"/>
  <cols>
    <col width="6" customWidth="1" min="1" max="1"/>
    <col width="7" customWidth="1" min="2" max="2"/>
    <col width="7" customWidth="1" min="3" max="3"/>
    <col width="7" customWidth="1" min="4" max="4"/>
    <col width="8" customWidth="1" min="5" max="5"/>
    <col width="16" customWidth="1" min="6" max="6"/>
    <col width="8" customWidth="1" min="7" max="7"/>
    <col width="7" customWidth="1" min="8" max="8"/>
    <col width="8" customWidth="1" min="9" max="9"/>
    <col width="16" customWidth="1" min="10" max="10"/>
    <col width="8" customWidth="1" min="11" max="11"/>
    <col width="7" customWidth="1" min="12" max="12"/>
    <col width="12" customWidth="1" min="13" max="13"/>
    <col width="12" customWidth="1" min="14" max="14"/>
    <col width="12" customWidth="1" min="15" max="15"/>
    <col width="7" customWidth="1" min="16" max="16"/>
    <col width="7" customWidth="1" min="17" max="17"/>
    <col width="7" customWidth="1" min="18" max="18"/>
    <col width="7" customWidth="1" min="19" max="19"/>
    <col width="7" customWidth="1" min="20" max="20"/>
    <col width="7" customWidth="1" min="21" max="21"/>
    <col width="7" customWidth="1" min="22" max="22"/>
  </cols>
  <sheetData>
    <row r="1" ht="16" customHeight="1">
      <c r="A1" s="2" t="inlineStr">
        <is>
          <t>window_id</t>
        </is>
      </c>
      <c r="B1" s="2" t="inlineStr">
        <is>
          <t>start_time_s</t>
        </is>
      </c>
      <c r="C1" s="2" t="inlineStr">
        <is>
          <t>end_time_s</t>
        </is>
      </c>
      <c r="D1" s="2" t="inlineStr">
        <is>
          <t>window_duration_s</t>
        </is>
      </c>
      <c r="E1" s="3" t="inlineStr">
        <is>
          <t>instantaneous_risk_score_vlm_free</t>
        </is>
      </c>
      <c r="F1" s="3" t="inlineStr">
        <is>
          <t>score_rationale_vlm_free</t>
        </is>
      </c>
      <c r="G1" s="3" t="inlineStr">
        <is>
          <t>dynamic_risk_score_vlm_free</t>
        </is>
      </c>
      <c r="H1" s="3" t="inlineStr">
        <is>
          <t>traffic_light_color_vlm_free</t>
        </is>
      </c>
      <c r="I1" s="4" t="inlineStr">
        <is>
          <t>instantaneous_risk_score_vlm</t>
        </is>
      </c>
      <c r="J1" s="4" t="inlineStr">
        <is>
          <t>score_rationale_vlm</t>
        </is>
      </c>
      <c r="K1" s="4" t="inlineStr">
        <is>
          <t>dynamic_risk_score_vlm</t>
        </is>
      </c>
      <c r="L1" s="4" t="inlineStr">
        <is>
          <t>traffic_light_color_vlm</t>
        </is>
      </c>
      <c r="M1" s="5" t="inlineStr">
        <is>
          <t>diff_inst_vlm_free_vs_vlm_guided</t>
        </is>
      </c>
      <c r="N1" s="5" t="inlineStr">
        <is>
          <t>diff_dyn_vlm_free_vs_vlm_guided</t>
        </is>
      </c>
      <c r="O1" s="6" t="inlineStr">
        <is>
          <t>traffic_light_agreement_vlm_free_vs_vlm_guided</t>
        </is>
      </c>
      <c r="P1" s="7" t="inlineStr">
        <is>
          <t>S1_raw</t>
        </is>
      </c>
      <c r="Q1" s="7" t="inlineStr">
        <is>
          <t>S2_raw</t>
        </is>
      </c>
      <c r="R1" s="7" t="inlineStr">
        <is>
          <t>S3_raw</t>
        </is>
      </c>
      <c r="S1" s="7" t="inlineStr">
        <is>
          <t>S4_raw</t>
        </is>
      </c>
      <c r="T1" s="7" t="inlineStr">
        <is>
          <t>S5_raw</t>
        </is>
      </c>
      <c r="U1" s="7" t="inlineStr">
        <is>
          <t>S6_raw</t>
        </is>
      </c>
      <c r="V1" s="7" t="inlineStr">
        <is>
          <t>S7_raw</t>
        </is>
      </c>
    </row>
    <row r="2" ht="34" customHeight="1">
      <c r="A2" s="8" t="n">
        <v>0</v>
      </c>
      <c r="B2" s="8" t="n">
        <v>0</v>
      </c>
      <c r="C2" s="8" t="n">
        <v>4</v>
      </c>
      <c r="D2" s="8" t="n">
        <v>4</v>
      </c>
      <c r="E2" s="8" t="n">
        <v>15</v>
      </c>
      <c r="F2" s="8" t="inlineStr">
        <is>
          <t>Il rischio è basso (15) poiché l'ambiente è ordinato, ben illuminato e provvisto di segnaletica adeguata. Il pedone rispetta rigorosamente la corsia di sicurezza delimitata. Il punteggio non è zero solo per il rischio intrinseco legato alla presenza di macchinari pesanti attivi e alla mancata visibilità di alcuni DPI specifici (es. protezioni acustiche).</t>
        </is>
      </c>
      <c r="G2" s="8" t="n">
        <v>15</v>
      </c>
      <c r="H2" s="9" t="inlineStr">
        <is>
          <t>verde</t>
        </is>
      </c>
      <c r="I2" s="8" t="n">
        <v>10</v>
      </c>
      <c r="J2" s="8" t="inlineStr">
        <is>
          <t>Il rischio è minimo poiché l'operatore rispetta correttamente il percorso pedonale sicuro e non si rilevano interferenze con macchinari o mezzi in movimento. L'unica potenziale criticità è legata allo stoccaggio sullo sfondo, che tuttavia non mostra segni di instabilità.</t>
        </is>
      </c>
      <c r="K2" s="8" t="n">
        <v>10</v>
      </c>
      <c r="L2" s="9" t="inlineStr">
        <is>
          <t>verde</t>
        </is>
      </c>
      <c r="M2" s="8" t="n">
        <v>5</v>
      </c>
      <c r="N2" s="8" t="n">
        <v>5</v>
      </c>
      <c r="O2" s="9" t="inlineStr">
        <is>
          <t>accordo</t>
        </is>
      </c>
      <c r="P2" s="8" t="n">
        <v>0</v>
      </c>
      <c r="Q2" s="8" t="n">
        <v>0</v>
      </c>
      <c r="R2" s="8" t="n">
        <v>0</v>
      </c>
      <c r="S2" s="8" t="n">
        <v>0</v>
      </c>
      <c r="T2" s="8" t="n">
        <v>0.1</v>
      </c>
      <c r="U2" s="8" t="n">
        <v>0</v>
      </c>
      <c r="V2" s="8" t="n">
        <v>0</v>
      </c>
    </row>
    <row r="3" ht="34" customHeight="1">
      <c r="A3" s="8" t="n">
        <v>1</v>
      </c>
      <c r="B3" s="8" t="n">
        <v>2</v>
      </c>
      <c r="C3" s="8" t="n">
        <v>6</v>
      </c>
      <c r="D3" s="8" t="n">
        <v>4</v>
      </c>
      <c r="E3" s="8" t="n">
        <v>20</v>
      </c>
      <c r="F3" s="8" t="inlineStr">
        <is>
          <t>Il livello di rischio è basso (20) in quanto l'operatore segue correttamente la corsia pedonale delimitata e la segnaletica è ben visibile. La presenza di macchinari pesanti e di una bobina metallica a terra vicino al percorso rappresenta un rischio intrinseco minimo, gestito adeguatamente dal rispetto delle procedure di transito.</t>
        </is>
      </c>
      <c r="G3" s="8" t="n">
        <v>19.25</v>
      </c>
      <c r="H3" s="9" t="inlineStr">
        <is>
          <t>verde</t>
        </is>
      </c>
      <c r="I3" s="8" t="n">
        <v>10</v>
      </c>
      <c r="J3" s="8" t="inlineStr">
        <is>
          <t>Il punteggio riflette una situazione di rischio basso, in quanto i lavoratori rispettano i percorsi pedonali delimitati e non si rilevano interferenze con mezzi in movimento o comportamenti non conformi. L'ambiente di lavoro risulta ordinato e sotto controllo durante l'intervallo analizzato.</t>
        </is>
      </c>
      <c r="K3" s="8" t="n">
        <v>10</v>
      </c>
      <c r="L3" s="9" t="inlineStr">
        <is>
          <t>verde</t>
        </is>
      </c>
      <c r="M3" s="8" t="n">
        <v>10</v>
      </c>
      <c r="N3" s="8" t="n">
        <v>9.25</v>
      </c>
      <c r="O3" s="9" t="inlineStr">
        <is>
          <t>accordo</t>
        </is>
      </c>
      <c r="P3" s="8" t="n">
        <v>0</v>
      </c>
      <c r="Q3" s="8" t="n">
        <v>0</v>
      </c>
      <c r="R3" s="8" t="n">
        <v>0</v>
      </c>
      <c r="S3" s="8" t="n">
        <v>0</v>
      </c>
      <c r="T3" s="8" t="n">
        <v>0</v>
      </c>
      <c r="U3" s="8" t="n">
        <v>0</v>
      </c>
      <c r="V3" s="8" t="n">
        <v>0</v>
      </c>
    </row>
    <row r="4" ht="34" customHeight="1">
      <c r="A4" s="8" t="n">
        <v>2</v>
      </c>
      <c r="B4" s="8" t="n">
        <v>4</v>
      </c>
      <c r="C4" s="8" t="n">
        <v>8</v>
      </c>
      <c r="D4" s="8" t="n">
        <v>4</v>
      </c>
      <c r="E4" s="8" t="n">
        <v>40</v>
      </c>
      <c r="F4" s="8" t="inlineStr">
        <is>
          <t>Il punteggio di 40 riflette un livello di rischio moderato. Sebbene il pedone segua correttamente il percorso di sicurezza delimitato in giallo, si riscontra la presenza di una bobina metallica a terra nelle immediate vicinanze del tracciato e la mancanza di DPI chiaramente visibili (come l'elmetto protettivo) in un'area con macchinari pesanti potenzialmente attivi.</t>
        </is>
      </c>
      <c r="G4" s="8" t="n">
        <v>36.7</v>
      </c>
      <c r="H4" s="10" t="inlineStr">
        <is>
          <t>giallo</t>
        </is>
      </c>
      <c r="I4" s="8" t="n">
        <v>35</v>
      </c>
      <c r="J4" s="8" t="inlineStr">
        <is>
          <t>Il rischio è moderato poiché la pedona rispetta il percorso delimitato, ma vi è il sospetto di mancato utilizzo dei DPI obbligatori (elmetto e gilet) in prossimità di macchinari pesanti. Non si rilevano pericoli immediati o mezzi in movimento nell'area.</t>
        </is>
      </c>
      <c r="K4" s="8" t="n">
        <v>31.25</v>
      </c>
      <c r="L4" s="10" t="inlineStr">
        <is>
          <t>giallo</t>
        </is>
      </c>
      <c r="M4" s="8" t="n">
        <v>5</v>
      </c>
      <c r="N4" s="8" t="n">
        <v>5.45</v>
      </c>
      <c r="O4" s="9" t="inlineStr">
        <is>
          <t>accordo</t>
        </is>
      </c>
      <c r="P4" s="8" t="n">
        <v>0</v>
      </c>
      <c r="Q4" s="8" t="n">
        <v>0</v>
      </c>
      <c r="R4" s="8" t="n">
        <v>0.5</v>
      </c>
      <c r="S4" s="8" t="n">
        <v>0</v>
      </c>
      <c r="T4" s="8" t="n">
        <v>0</v>
      </c>
      <c r="U4" s="8" t="n">
        <v>0</v>
      </c>
      <c r="V4" s="8" t="n">
        <v>0</v>
      </c>
    </row>
    <row r="5" ht="34" customHeight="1">
      <c r="A5" s="8" t="n">
        <v>3</v>
      </c>
      <c r="B5" s="8" t="n">
        <v>6</v>
      </c>
      <c r="C5" s="8" t="n">
        <v>10</v>
      </c>
      <c r="D5" s="8" t="n">
        <v>4</v>
      </c>
      <c r="E5" s="8" t="n">
        <v>30</v>
      </c>
      <c r="F5" s="8" t="inlineStr">
        <is>
          <t>Il punteggio di 30 indica un rischio medio-basso. Il pedone rispetta la segnaletica orizzontale camminando nella corsia delimitata, riducendo l'interferenza con i macchinari. Tuttavia, si riscontra la mancata evidenza di DPI chiave (elmetto, gilet alta visibilità) e la presenza di materiale ingombrante (bobina metallica) stoccato a terra vicino al percorso pedonale, che rappresenta un potenziale rischio di inciampo.</t>
        </is>
      </c>
      <c r="G5" s="8" t="n">
        <v>32.68</v>
      </c>
      <c r="H5" s="10" t="inlineStr">
        <is>
          <t>giallo</t>
        </is>
      </c>
      <c r="I5" s="8" t="n">
        <v>40</v>
      </c>
      <c r="J5" s="8" t="inlineStr">
        <is>
          <t>Il rischio è moderato poiché la pedona rispetta il percorso delimitato, riducendo il rischio di investimento. Tuttavia, l'assenza di DPI visibili in un'area con presse attive e la presenza di una bobina a terra rappresentano non conformità e potenziali pericoli di inciampo.</t>
        </is>
      </c>
      <c r="K5" s="8" t="n">
        <v>37.75</v>
      </c>
      <c r="L5" s="10" t="inlineStr">
        <is>
          <t>giallo</t>
        </is>
      </c>
      <c r="M5" s="8" t="n">
        <v>10</v>
      </c>
      <c r="N5" s="8" t="n">
        <v>5.07</v>
      </c>
      <c r="O5" s="9" t="inlineStr">
        <is>
          <t>accordo</t>
        </is>
      </c>
      <c r="P5" s="8" t="n">
        <v>0</v>
      </c>
      <c r="Q5" s="8" t="n">
        <v>0</v>
      </c>
      <c r="R5" s="8" t="n">
        <v>0.5</v>
      </c>
      <c r="S5" s="8" t="n">
        <v>0</v>
      </c>
      <c r="T5" s="8" t="n">
        <v>0.25</v>
      </c>
      <c r="U5" s="8" t="n">
        <v>0</v>
      </c>
      <c r="V5" s="8" t="n">
        <v>0</v>
      </c>
    </row>
    <row r="6" ht="34" customHeight="1">
      <c r="A6" s="8" t="n">
        <v>4</v>
      </c>
      <c r="B6" s="8" t="n">
        <v>8</v>
      </c>
      <c r="C6" s="8" t="n">
        <v>12</v>
      </c>
      <c r="D6" s="8" t="n">
        <v>4</v>
      </c>
      <c r="E6" s="8" t="n">
        <v>45</v>
      </c>
      <c r="F6" s="8" t="inlineStr">
        <is>
          <t>Il punteggio di 45 riflette un rischio moderato. Sebbene il pedone segua la linea verde di sicurezza, la presenza di una bobina metallica a terra vicino al percorso pedonale costituisce un potenziale pericolo di inciampo. Inoltre, la mancanza di indumenti ad alta visibilità sul pedone e la visibilità parzialmente ostruita dai grandi macchinari aumentano il rischio di collisione.</t>
        </is>
      </c>
      <c r="G6" s="8" t="n">
        <v>43.82</v>
      </c>
      <c r="H6" s="10" t="inlineStr">
        <is>
          <t>giallo</t>
        </is>
      </c>
      <c r="I6" s="8" t="n">
        <v>15</v>
      </c>
      <c r="J6" s="8" t="inlineStr">
        <is>
          <t>Il rischio è basso poiché la situazione di transito pedonale è ordinaria e non vi sono mezzi in movimento o comportamenti scorretti. Tuttavia, la presenza di materiali a terra come la bobina e il pallet richiede attenzione per evitare potenziali rischi di inciampo.</t>
        </is>
      </c>
      <c r="K6" s="8" t="n">
        <v>24.1</v>
      </c>
      <c r="L6" s="10" t="inlineStr">
        <is>
          <t>giallo</t>
        </is>
      </c>
      <c r="M6" s="8" t="n">
        <v>30</v>
      </c>
      <c r="N6" s="8" t="n">
        <v>19.72</v>
      </c>
      <c r="O6" s="9" t="inlineStr">
        <is>
          <t>accordo</t>
        </is>
      </c>
      <c r="P6" s="8" t="n">
        <v>0</v>
      </c>
      <c r="Q6" s="8" t="n">
        <v>0</v>
      </c>
      <c r="R6" s="8" t="n">
        <v>0</v>
      </c>
      <c r="S6" s="8" t="n">
        <v>0</v>
      </c>
      <c r="T6" s="8" t="n">
        <v>0.25</v>
      </c>
      <c r="U6" s="8" t="n">
        <v>0</v>
      </c>
      <c r="V6" s="8" t="n">
        <v>0</v>
      </c>
    </row>
    <row r="7" ht="34" customHeight="1">
      <c r="A7" s="8" t="n">
        <v>5</v>
      </c>
      <c r="B7" s="8" t="n">
        <v>10</v>
      </c>
      <c r="C7" s="8" t="n">
        <v>14</v>
      </c>
      <c r="D7" s="8" t="n">
        <v>4</v>
      </c>
      <c r="E7" s="8" t="n">
        <v>20</v>
      </c>
      <c r="F7" s="8" t="inlineStr">
        <is>
          <t>Il rischio è basso poiché l'operatore in primo piano rispetta la corsia pedonale delimitata, riducendo il pericolo di investimento. Il punteggio riflette unicamente il rischio intrinseco dell'ambiente industriale con macchinari pesanti e l'impossibilità di verificare con certezza l'uso di tutti i DPI necessari (come scarpe antinfortunistiche e otoprotettori).</t>
        </is>
      </c>
      <c r="G7" s="8" t="n">
        <v>29.53</v>
      </c>
      <c r="H7" s="10" t="inlineStr">
        <is>
          <t>giallo</t>
        </is>
      </c>
      <c r="I7" s="8" t="n">
        <v>30</v>
      </c>
      <c r="J7" s="8" t="inlineStr">
        <is>
          <t>Il rischio è moderato a causa dell'ingresso di un operatore nell'area delle presse pesanti senza la certezza dell'uso dei DPI necessari, come il caschetto protettivo. La presenza di ostacoli a terra come la bobina metallica aumenta il pericolo di inciampo e urto accidentale.</t>
        </is>
      </c>
      <c r="K7" s="8" t="n">
        <v>31.39</v>
      </c>
      <c r="L7" s="10" t="inlineStr">
        <is>
          <t>giallo</t>
        </is>
      </c>
      <c r="M7" s="8" t="n">
        <v>10</v>
      </c>
      <c r="N7" s="8" t="n">
        <v>1.86</v>
      </c>
      <c r="O7" s="9" t="inlineStr">
        <is>
          <t>accordo</t>
        </is>
      </c>
      <c r="P7" s="8" t="n">
        <v>0</v>
      </c>
      <c r="Q7" s="8" t="n">
        <v>0.25</v>
      </c>
      <c r="R7" s="8" t="n">
        <v>0.25</v>
      </c>
      <c r="S7" s="8" t="n">
        <v>0</v>
      </c>
      <c r="T7" s="8" t="n">
        <v>0</v>
      </c>
      <c r="U7" s="8" t="n">
        <v>0</v>
      </c>
      <c r="V7" s="8" t="n">
        <v>0</v>
      </c>
    </row>
    <row r="8" ht="34" customHeight="1">
      <c r="A8" s="8" t="n">
        <v>6</v>
      </c>
      <c r="B8" s="8" t="n">
        <v>12</v>
      </c>
      <c r="C8" s="8" t="n">
        <v>16</v>
      </c>
      <c r="D8" s="8" t="n">
        <v>4</v>
      </c>
      <c r="E8" s="8" t="n">
        <v>25</v>
      </c>
      <c r="F8" s="8" t="inlineStr">
        <is>
          <t>Il punteggio di 25 indica un livello di rischio basso-moderato, tipico di un ambiente industriale attivo ma regolamentato. L'operatore cammina correttamente lungo la corsia di transito delimitata da linee gialle e indossa i DPI base visibili (calzature di sicurezza). La presenza di materiali ingombranti come la bobina metallica a terra vicino alle aree di passaggio e l'impossibilità di verificare i DPI minori (occhiali, tappi) a causa della distanza rappresentano fattori di attenzione generici, ma non si registrano comportamenti scorretti o pericoli imminenti.</t>
        </is>
      </c>
      <c r="G8" s="8" t="n">
        <v>28.06</v>
      </c>
      <c r="H8" s="10" t="inlineStr">
        <is>
          <t>giallo</t>
        </is>
      </c>
      <c r="I8" s="8" t="n">
        <v>20</v>
      </c>
      <c r="J8" s="8" t="inlineStr">
        <is>
          <t>Il rischio è basso poiché l'operatore rispetta correttamente il percorso pedonale segnato e non vi sono mezzi in movimento. Tuttavia, la presenza di materiali a terra vicino alle linee di transito richiede attenzione per prevenire potenziali inciampi.</t>
        </is>
      </c>
      <c r="K8" s="8" t="n">
        <v>24.56</v>
      </c>
      <c r="L8" s="10" t="inlineStr">
        <is>
          <t>giallo</t>
        </is>
      </c>
      <c r="M8" s="8" t="n">
        <v>5</v>
      </c>
      <c r="N8" s="8" t="n">
        <v>3.5</v>
      </c>
      <c r="O8" s="9" t="inlineStr">
        <is>
          <t>accordo</t>
        </is>
      </c>
      <c r="P8" s="8" t="n">
        <v>0</v>
      </c>
      <c r="Q8" s="8" t="n">
        <v>0.25</v>
      </c>
      <c r="R8" s="8" t="n">
        <v>0</v>
      </c>
      <c r="S8" s="8" t="n">
        <v>0</v>
      </c>
      <c r="T8" s="8" t="n">
        <v>0.25</v>
      </c>
      <c r="U8" s="8" t="n">
        <v>0</v>
      </c>
      <c r="V8" s="8" t="n">
        <v>0</v>
      </c>
    </row>
    <row r="9" ht="34" customHeight="1">
      <c r="A9" s="8" t="n">
        <v>7</v>
      </c>
      <c r="B9" s="8" t="n">
        <v>14</v>
      </c>
      <c r="C9" s="8" t="n">
        <v>18</v>
      </c>
      <c r="D9" s="8" t="n">
        <v>4</v>
      </c>
      <c r="E9" s="8" t="n">
        <v>20</v>
      </c>
      <c r="F9" s="8" t="inlineStr">
        <is>
          <t>L'operatore transita correttamente all'interno del percorso pedonale delimitato in verde, riducendo al minimo il rischio di interferenza con i macchinari attivi. Il punteggio di rischio è basso poiché non si registrano violazioni o pericoli imminenti; tuttavia, rimane una minima quota di rischio intrinseco legato alla presenza di bobine metalliche e attrezzature stoccate nelle aree adiacenti al passaggio.</t>
        </is>
      </c>
      <c r="G9" s="8" t="n">
        <v>23.22</v>
      </c>
      <c r="H9" s="9" t="inlineStr">
        <is>
          <t>verde</t>
        </is>
      </c>
      <c r="I9" s="8" t="n">
        <v>5</v>
      </c>
      <c r="J9" s="8" t="inlineStr">
        <is>
          <t>Il punteggio riflette un livello di rischio minimo, in quanto gli operatori rispettano i percorsi pedonali delimitati e non vi sono mezzi in movimento o comportamenti non conformi rilevabili. L'ambiente si presenta ordinato e conforme alle norme di sicurezza vigenti.</t>
        </is>
      </c>
      <c r="K9" s="8" t="n">
        <v>12.82</v>
      </c>
      <c r="L9" s="9" t="inlineStr">
        <is>
          <t>verde</t>
        </is>
      </c>
      <c r="M9" s="8" t="n">
        <v>15</v>
      </c>
      <c r="N9" s="8" t="n">
        <v>10.4</v>
      </c>
      <c r="O9" s="9" t="inlineStr">
        <is>
          <t>accordo</t>
        </is>
      </c>
      <c r="P9" s="8" t="n">
        <v>0</v>
      </c>
      <c r="Q9" s="8" t="n">
        <v>0</v>
      </c>
      <c r="R9" s="8" t="n">
        <v>0</v>
      </c>
      <c r="S9" s="8" t="n">
        <v>0</v>
      </c>
      <c r="T9" s="8" t="n">
        <v>0</v>
      </c>
      <c r="U9" s="8" t="n">
        <v>0</v>
      </c>
      <c r="V9" s="8" t="n">
        <v>0</v>
      </c>
    </row>
    <row r="10" ht="34" customHeight="1">
      <c r="A10" s="8" t="n">
        <v>8</v>
      </c>
      <c r="B10" s="8" t="n">
        <v>16</v>
      </c>
      <c r="C10" s="8" t="n">
        <v>20</v>
      </c>
      <c r="D10" s="8" t="n">
        <v>4</v>
      </c>
      <c r="E10" s="8" t="n">
        <v>20</v>
      </c>
      <c r="F10" s="8" t="inlineStr">
        <is>
          <t>L'operatore sta seguendo correttamente il percorso pedonale delimitato e indossa abbigliamento ad alta visibilità. Non si rilevano comportamenti scorretti o situazioni di pericolo imminente. Il punteggio riflette il rischio intrinseco associato alla presenza di macchinari pesanti e attività industriali nelle immediate vicinanze del camminamento.</t>
        </is>
      </c>
      <c r="G10" s="8" t="n">
        <v>21.29</v>
      </c>
      <c r="H10" s="9" t="inlineStr">
        <is>
          <t>verde</t>
        </is>
      </c>
      <c r="I10" s="8" t="n">
        <v>10</v>
      </c>
      <c r="J10" s="8" t="inlineStr">
        <is>
          <t>Il rischio è basso poiché l'operatore transita correttamente lungo il percorso pedonale segnalato e non si rilevano interferenze con mezzi in movimento o comportamenti non conformi. L'ambiente di lavoro si presenta ordinato e non si evidenziano situazioni di pericolo immediato.</t>
        </is>
      </c>
      <c r="K10" s="8" t="n">
        <v>12.38</v>
      </c>
      <c r="L10" s="9" t="inlineStr">
        <is>
          <t>verde</t>
        </is>
      </c>
      <c r="M10" s="8" t="n">
        <v>10</v>
      </c>
      <c r="N10" s="8" t="n">
        <v>8.91</v>
      </c>
      <c r="O10" s="9" t="inlineStr">
        <is>
          <t>accordo</t>
        </is>
      </c>
      <c r="P10" s="8" t="n">
        <v>0</v>
      </c>
      <c r="Q10" s="8" t="n">
        <v>0</v>
      </c>
      <c r="R10" s="8" t="n">
        <v>0</v>
      </c>
      <c r="S10" s="8" t="n">
        <v>0</v>
      </c>
      <c r="T10" s="8" t="n">
        <v>0</v>
      </c>
      <c r="U10" s="8" t="n">
        <v>0</v>
      </c>
      <c r="V10" s="8" t="n">
        <v>0</v>
      </c>
    </row>
    <row r="11" ht="34" customHeight="1">
      <c r="A11" s="8" t="n">
        <v>9</v>
      </c>
      <c r="B11" s="8" t="n">
        <v>18</v>
      </c>
      <c r="C11" s="8" t="n">
        <v>22</v>
      </c>
      <c r="D11" s="8" t="n">
        <v>4</v>
      </c>
      <c r="E11" s="8" t="n">
        <v>25</v>
      </c>
      <c r="F11" s="8" t="inlineStr">
        <is>
          <t>Il punteggio di 25 indica un livello di rischio basso-moderato, tipico di un ambiente industriale attivo con macchinari pesanti. L'operatore principale adotta un comportamento corretto e sicuro, transitando all'interno della corsia pedonale dedicata e segnalata. I fattori di rischio sono limitati alla presenza di un coil metallico a terra (potenziale ostacolo fuori dal percorso) e alla prossimità della via pedonale alle aree operative delle macchine, oltre alla non chiara visibilità dell'uso dell'elmetto protettivo.</t>
        </is>
      </c>
      <c r="G11" s="8" t="n">
        <v>24.77</v>
      </c>
      <c r="H11" s="10" t="inlineStr">
        <is>
          <t>giallo</t>
        </is>
      </c>
      <c r="I11" s="8" t="n">
        <v>5</v>
      </c>
      <c r="J11" s="8" t="inlineStr">
        <is>
          <t>Il livello di rischio è minimo poiché l'operatore transita correttamente all'interno del percorso pedonale delimitato e non si rilevano pericoli immediati o comportamenti non conformi. L'ambiente di lavoro si presenta ordinato, pulito e pienamente conforme alle norme di sicurezza.</t>
        </is>
      </c>
      <c r="K11" s="8" t="n">
        <v>7.95</v>
      </c>
      <c r="L11" s="9" t="inlineStr">
        <is>
          <t>verde</t>
        </is>
      </c>
      <c r="M11" s="8" t="n">
        <v>20</v>
      </c>
      <c r="N11" s="8" t="n">
        <v>16.82</v>
      </c>
      <c r="O11" s="11" t="inlineStr">
        <is>
          <t>disaccordo</t>
        </is>
      </c>
      <c r="P11" s="8" t="n">
        <v>0</v>
      </c>
      <c r="Q11" s="8" t="n">
        <v>0</v>
      </c>
      <c r="R11" s="8" t="n">
        <v>0</v>
      </c>
      <c r="S11" s="8" t="n">
        <v>0</v>
      </c>
      <c r="T11" s="8" t="n">
        <v>0</v>
      </c>
      <c r="U11" s="8" t="n">
        <v>0</v>
      </c>
      <c r="V11" s="8" t="n">
        <v>0</v>
      </c>
    </row>
    <row r="12" ht="34" customHeight="1">
      <c r="A12" s="8" t="n">
        <v>10</v>
      </c>
      <c r="B12" s="8" t="n">
        <v>20</v>
      </c>
      <c r="C12" s="8" t="n">
        <v>24</v>
      </c>
      <c r="D12" s="8" t="n">
        <v>4</v>
      </c>
      <c r="E12" s="8" t="n">
        <v>25</v>
      </c>
      <c r="F12" s="8" t="inlineStr">
        <is>
          <t>Il punteggio di 25 riflette un ambiente industriale attivo con macchinari pesanti in funzione (pressa e aspo) e la presenza di bobine metalliche a terra che costituiscono un potenziale rischio d'inciampo. Tuttavia, il rischio effettivo è basso poiché gli operatori rispettano le corsie pedonali delimitate e utilizzano i DPI base, riducendo al minimo le interferenze dirette con le linee di produzione.</t>
        </is>
      </c>
      <c r="G12" s="8" t="n">
        <v>24.91</v>
      </c>
      <c r="H12" s="10" t="inlineStr">
        <is>
          <t>giallo</t>
        </is>
      </c>
      <c r="I12" s="8" t="n">
        <v>5</v>
      </c>
      <c r="J12" s="8" t="inlineStr">
        <is>
          <t>Il punteggio riflette una situazione di totale conformità alle norme di sicurezza, con l'operatore che utilizza correttamente il percorso pedonale delimitato e indossa i DPI necessari. Non si rilevano comportamenti a rischio o interferenze pericolose nell'area.</t>
        </is>
      </c>
      <c r="K12" s="8" t="n">
        <v>6.18</v>
      </c>
      <c r="L12" s="9" t="inlineStr">
        <is>
          <t>verde</t>
        </is>
      </c>
      <c r="M12" s="8" t="n">
        <v>20</v>
      </c>
      <c r="N12" s="8" t="n">
        <v>18.73</v>
      </c>
      <c r="O12" s="11" t="inlineStr">
        <is>
          <t>disaccordo</t>
        </is>
      </c>
      <c r="P12" s="8" t="n">
        <v>0</v>
      </c>
      <c r="Q12" s="8" t="n">
        <v>0</v>
      </c>
      <c r="R12" s="8" t="n">
        <v>0</v>
      </c>
      <c r="S12" s="8" t="n">
        <v>0</v>
      </c>
      <c r="T12" s="8" t="n">
        <v>0</v>
      </c>
      <c r="U12" s="8" t="n">
        <v>0</v>
      </c>
      <c r="V12" s="8" t="n">
        <v>0</v>
      </c>
    </row>
    <row r="13" ht="34" customHeight="1">
      <c r="A13" s="8" t="n">
        <v>11</v>
      </c>
      <c r="B13" s="8" t="n">
        <v>22</v>
      </c>
      <c r="C13" s="8" t="n">
        <v>26</v>
      </c>
      <c r="D13" s="8" t="n">
        <v>4</v>
      </c>
      <c r="E13" s="8" t="n">
        <v>25</v>
      </c>
      <c r="F13" s="8" t="inlineStr">
        <is>
          <t>Il punteggio di 25 indica un rischio basso-moderato. Gli operatori transitano correttamente nella corsia di sicurezza delimitata e l'illuminazione è sufficiente. Tuttavia, la presenza di bobine metalliche e materiali stoccati a terra vicino alle vie di transito introduce un rischio moderato di inciampo o deviazione, e la distanza non permette di verificare l'effettivo utilizzo di tutti i DPI necessari.</t>
        </is>
      </c>
      <c r="G13" s="8" t="n">
        <v>24.96</v>
      </c>
      <c r="H13" s="10" t="inlineStr">
        <is>
          <t>giallo</t>
        </is>
      </c>
      <c r="I13" s="8" t="n">
        <v>10</v>
      </c>
      <c r="J13" s="8" t="inlineStr">
        <is>
          <t>Non si rilevano comportamenti non conformi, interferenze uomo-macchina o situazioni di pericolo nella finestra temporale analizzata. L'ambiente presenta condizioni operative standard con operatori distanti e nessun mezzo in movimento.</t>
        </is>
      </c>
      <c r="K13" s="8" t="n">
        <v>9.720000000000001</v>
      </c>
      <c r="L13" s="9" t="inlineStr">
        <is>
          <t>verde</t>
        </is>
      </c>
      <c r="M13" s="8" t="n">
        <v>15</v>
      </c>
      <c r="N13" s="8" t="n">
        <v>15.24</v>
      </c>
      <c r="O13" s="11" t="inlineStr">
        <is>
          <t>disaccordo</t>
        </is>
      </c>
      <c r="P13" s="8" t="n">
        <v>0</v>
      </c>
      <c r="Q13" s="8" t="n">
        <v>0</v>
      </c>
      <c r="R13" s="8" t="n">
        <v>0</v>
      </c>
      <c r="S13" s="8" t="n">
        <v>0</v>
      </c>
      <c r="T13" s="8" t="n">
        <v>0</v>
      </c>
      <c r="U13" s="8" t="n">
        <v>0</v>
      </c>
      <c r="V13" s="8" t="n">
        <v>0</v>
      </c>
    </row>
    <row r="14" ht="34" customHeight="1">
      <c r="A14" s="8" t="n">
        <v>12</v>
      </c>
      <c r="B14" s="8" t="n">
        <v>24</v>
      </c>
      <c r="C14" s="8" t="n">
        <v>28</v>
      </c>
      <c r="D14" s="8" t="n">
        <v>4</v>
      </c>
      <c r="E14" s="8" t="n">
        <v>40</v>
      </c>
      <c r="F14" s="8" t="inlineStr">
        <is>
          <t>Il punteggio di 40 indica un rischio moderato. La presenza di una bobina metallica pesante a terra rappresenta un potenziale ostacolo e rischio di inciampo o schiacciamento. Inoltre, la distanza non permette di verificare l'uso corretto dei DPI da parte degli operatori, e la loro vicinanza alle aree di transito e movimentazione richiede vigilanza per evitare interferenze.</t>
        </is>
      </c>
      <c r="G14" s="8" t="n">
        <v>37.73</v>
      </c>
      <c r="H14" s="10" t="inlineStr">
        <is>
          <t>giallo</t>
        </is>
      </c>
      <c r="I14" s="8" t="n">
        <v>10</v>
      </c>
      <c r="J14" s="8" t="inlineStr">
        <is>
          <t>Il punteggio riflette una situazione di normale operatività in cui le persone transitano correttamente all'interno delle linee di sicurezza dedicate. Non si rilevano comportamenti non conformi o interferenze pericolose con i macchinari attivi.</t>
        </is>
      </c>
      <c r="K14" s="8" t="n">
        <v>9.890000000000001</v>
      </c>
      <c r="L14" s="9" t="inlineStr">
        <is>
          <t>verde</t>
        </is>
      </c>
      <c r="M14" s="8" t="n">
        <v>30</v>
      </c>
      <c r="N14" s="8" t="n">
        <v>27.84</v>
      </c>
      <c r="O14" s="11" t="inlineStr">
        <is>
          <t>disaccordo</t>
        </is>
      </c>
      <c r="P14" s="8" t="n">
        <v>0</v>
      </c>
      <c r="Q14" s="8" t="n">
        <v>0</v>
      </c>
      <c r="R14" s="8" t="n">
        <v>0</v>
      </c>
      <c r="S14" s="8" t="n">
        <v>0</v>
      </c>
      <c r="T14" s="8" t="n">
        <v>0</v>
      </c>
      <c r="U14" s="8" t="n">
        <v>0</v>
      </c>
      <c r="V14" s="8" t="n">
        <v>0</v>
      </c>
    </row>
    <row r="15" ht="34" customHeight="1">
      <c r="A15" s="8" t="n">
        <v>13</v>
      </c>
      <c r="B15" s="8" t="n">
        <v>26</v>
      </c>
      <c r="C15" s="8" t="n">
        <v>30</v>
      </c>
      <c r="D15" s="8" t="n">
        <v>4</v>
      </c>
      <c r="E15" s="8" t="n">
        <v>30</v>
      </c>
      <c r="F15" s="8" t="inlineStr">
        <is>
          <t>Il punteggio di 30 riflette una situazione di lavoro ordinaria e generalmente sotto controllo, in cui i pedoni transitano correttamente all'interno del corridoio dedicato. Tuttavia, viene rilevato un rischio potenziale di inciampo e ostruzione dovuto alla presenza di una bobina metallica e di pallet stoccati temporaneamente a terra nelle vicinanze delle aree di transito e di lavoro.</t>
        </is>
      </c>
      <c r="G15" s="8" t="n">
        <v>33.09</v>
      </c>
      <c r="H15" s="10" t="inlineStr">
        <is>
          <t>giallo</t>
        </is>
      </c>
      <c r="I15" s="8" t="n">
        <v>10</v>
      </c>
      <c r="J15" s="8" t="inlineStr">
        <is>
          <t>Il rischio è minimo poiché i pedoni transitano correttamente all'interno del corridoio di sicurezza dedicato, senza interferenze con veicoli o macchinari. L'unica incertezza, dovuta alla distanza della telecamera, riguarda la verifica visiva dei DPI individuali.</t>
        </is>
      </c>
      <c r="K15" s="8" t="n">
        <v>9.960000000000001</v>
      </c>
      <c r="L15" s="9" t="inlineStr">
        <is>
          <t>verde</t>
        </is>
      </c>
      <c r="M15" s="8" t="n">
        <v>20</v>
      </c>
      <c r="N15" s="8" t="n">
        <v>23.13</v>
      </c>
      <c r="O15" s="11" t="inlineStr">
        <is>
          <t>disaccordo</t>
        </is>
      </c>
      <c r="P15" s="8" t="n">
        <v>0</v>
      </c>
      <c r="Q15" s="8" t="n">
        <v>0</v>
      </c>
      <c r="R15" s="8" t="n">
        <v>0.1</v>
      </c>
      <c r="S15" s="8" t="n">
        <v>0</v>
      </c>
      <c r="T15" s="8" t="n">
        <v>0</v>
      </c>
      <c r="U15" s="8" t="n">
        <v>0</v>
      </c>
      <c r="V15" s="8" t="n">
        <v>0</v>
      </c>
    </row>
    <row r="16" ht="34" customHeight="1">
      <c r="A16" s="8" t="n">
        <v>14</v>
      </c>
      <c r="B16" s="8" t="n">
        <v>28</v>
      </c>
      <c r="C16" s="8" t="n">
        <v>32</v>
      </c>
      <c r="D16" s="8" t="n">
        <v>4</v>
      </c>
      <c r="E16" s="8" t="n">
        <v>30</v>
      </c>
      <c r="F16" s="8" t="inlineStr">
        <is>
          <t>Il punteggio di 30 indica un rischio basso-moderato. I pedoni transitano regolarmente lungo le vie delimitate e sono presenti barriere perimetrali di sicurezza. Tuttavia, la presenza di una bobina metallica a terra e di un pallet in legno vicino alle aree di stoccaggio temporaneo rappresenta un potenziale pericolo di inciampo, e la distanza limita la verifica completa dei DPI.</t>
        </is>
      </c>
      <c r="G16" s="8" t="n">
        <v>31.24</v>
      </c>
      <c r="H16" s="10" t="inlineStr">
        <is>
          <t>giallo</t>
        </is>
      </c>
      <c r="I16" s="8" t="n">
        <v>15</v>
      </c>
      <c r="J16" s="8" t="inlineStr">
        <is>
          <t>Il rischio è basso poiché i pedoni transitano in un corridoio dedicato e protetto da barriere di sicurezza, senza interferenze con mezzi o comportamenti non conformi. Si rileva solo il rischio intrinseco dell'ambiente industriale attivo, senza situazioni di pericolo immediato.</t>
        </is>
      </c>
      <c r="K16" s="8" t="n">
        <v>14.23</v>
      </c>
      <c r="L16" s="9" t="inlineStr">
        <is>
          <t>verde</t>
        </is>
      </c>
      <c r="M16" s="8" t="n">
        <v>15</v>
      </c>
      <c r="N16" s="8" t="n">
        <v>17.01</v>
      </c>
      <c r="O16" s="11" t="inlineStr">
        <is>
          <t>disaccordo</t>
        </is>
      </c>
      <c r="P16" s="8" t="n">
        <v>0</v>
      </c>
      <c r="Q16" s="8" t="n">
        <v>0</v>
      </c>
      <c r="R16" s="8" t="n">
        <v>0</v>
      </c>
      <c r="S16" s="8" t="n">
        <v>0</v>
      </c>
      <c r="T16" s="8" t="n">
        <v>0</v>
      </c>
      <c r="U16" s="8" t="n">
        <v>0</v>
      </c>
      <c r="V16" s="8" t="n">
        <v>0</v>
      </c>
    </row>
    <row r="17" ht="34" customHeight="1">
      <c r="A17" s="8" t="n">
        <v>15</v>
      </c>
      <c r="B17" s="8" t="n">
        <v>30</v>
      </c>
      <c r="C17" s="8" t="n">
        <v>34</v>
      </c>
      <c r="D17" s="8" t="n">
        <v>4</v>
      </c>
      <c r="E17" s="8" t="n">
        <v>35</v>
      </c>
      <c r="F17" s="8" t="inlineStr">
        <is>
          <t>Il punteggio di 35 indica un rischio basso-moderato. La presenza di una bobina metallica pesante a terra in prossimità delle linee di transito pedonale rappresenta un potenziale ostacolo e rischio di inciampo. Inoltre, la distanza degli operatori impedisce la verifica completa dell'uso dei DPI necessari, sebbene l'area presenti segnaletica e delimitazioni visibili.</t>
        </is>
      </c>
      <c r="G17" s="8" t="n">
        <v>34.75</v>
      </c>
      <c r="H17" s="10" t="inlineStr">
        <is>
          <t>giallo</t>
        </is>
      </c>
      <c r="I17" s="8" t="n">
        <v>30</v>
      </c>
      <c r="J17" s="8" t="inlineStr">
        <is>
          <t>Il rischio è moderato a causa della presenza di un operatore vicino alla zona di lavoro della pressa senza un'attività evidente e di persone che sostano nel corridoio di transito. Queste situazioni riducono la consapevolezza situazionale e aumentano il rischio di contatto accidentale con parti in movimento o intralcio.</t>
        </is>
      </c>
      <c r="K17" s="8" t="n">
        <v>27.44</v>
      </c>
      <c r="L17" s="10" t="inlineStr">
        <is>
          <t>giallo</t>
        </is>
      </c>
      <c r="M17" s="8" t="n">
        <v>5</v>
      </c>
      <c r="N17" s="8" t="n">
        <v>7.31</v>
      </c>
      <c r="O17" s="9" t="inlineStr">
        <is>
          <t>accordo</t>
        </is>
      </c>
      <c r="P17" s="8" t="n">
        <v>0</v>
      </c>
      <c r="Q17" s="8" t="n">
        <v>0.25</v>
      </c>
      <c r="R17" s="8" t="n">
        <v>0.25</v>
      </c>
      <c r="S17" s="8" t="n">
        <v>0</v>
      </c>
      <c r="T17" s="8" t="n">
        <v>0</v>
      </c>
      <c r="U17" s="8" t="n">
        <v>0.25</v>
      </c>
      <c r="V17" s="8" t="n">
        <v>0</v>
      </c>
    </row>
    <row r="18" ht="34" customHeight="1">
      <c r="A18" s="8" t="n">
        <v>16</v>
      </c>
      <c r="B18" s="8" t="n">
        <v>32</v>
      </c>
      <c r="C18" s="8" t="n">
        <v>35.9</v>
      </c>
      <c r="D18" s="8" t="n">
        <v>3.9</v>
      </c>
      <c r="E18" s="8" t="n">
        <v>30</v>
      </c>
      <c r="F18" s="8" t="inlineStr">
        <is>
          <t>Il punteggio di 30 riflette un ambiente industriale operativo con rischi intrinseci moderati ma generalmente controllati. La presenza di grandi presse e macchinari pesanti comporta un rischio latente, mitigato dalla segnaletica orizzontale. L'unico elemento di attenzione immediata è la bobina metallica posizionata sul pavimento vicino alle linee di transito, che costituisce un potenziale rischio di inciampo. Gli operatori si trovano attualmente a distanza di sicurezza dai macchinari in primo piano.</t>
        </is>
      </c>
      <c r="G18" s="8" t="n">
        <v>31.9</v>
      </c>
      <c r="H18" s="10" t="inlineStr">
        <is>
          <t>giallo</t>
        </is>
      </c>
      <c r="I18" s="8" t="n">
        <v>30</v>
      </c>
      <c r="J18" s="8" t="inlineStr">
        <is>
          <t>Il livello di rischio è moderato (30) a causa della potenziale distrazione dei due operatori che dialogano in un'area operativa e della presenza di una bobina metallica a terra come potenziale ostacolo. Non si rilevano comunque mezzi in movimento o interazioni dirette con macchinari pericolosi che possano elevare ulteriormente il rischio.</t>
        </is>
      </c>
      <c r="K18" s="8" t="n">
        <v>28.98</v>
      </c>
      <c r="L18" s="10" t="inlineStr">
        <is>
          <t>giallo</t>
        </is>
      </c>
      <c r="M18" s="8" t="n">
        <v>0</v>
      </c>
      <c r="N18" s="8" t="n">
        <v>2.92</v>
      </c>
      <c r="O18" s="9" t="inlineStr">
        <is>
          <t>accordo</t>
        </is>
      </c>
      <c r="P18" s="8" t="n">
        <v>0</v>
      </c>
      <c r="Q18" s="8" t="n">
        <v>0.25</v>
      </c>
      <c r="R18" s="8" t="n">
        <v>0.25</v>
      </c>
      <c r="S18" s="8" t="n">
        <v>0</v>
      </c>
      <c r="T18" s="8" t="n">
        <v>0.25</v>
      </c>
      <c r="U18" s="8" t="n">
        <v>0</v>
      </c>
      <c r="V18" s="8" t="n">
        <v>0</v>
      </c>
    </row>
    <row r="19" ht="34" customHeight="1">
      <c r="A19" s="8" t="n">
        <v>17</v>
      </c>
      <c r="B19" s="8" t="n">
        <v>34</v>
      </c>
      <c r="C19" s="8" t="n">
        <v>35.9</v>
      </c>
      <c r="D19" s="8" t="n">
        <v>1.9</v>
      </c>
      <c r="E19" s="8" t="n">
        <v>20</v>
      </c>
      <c r="F19" s="8" t="inlineStr">
        <is>
          <t>Il livello di rischio è basso (20) poiché l'area di lavoro è ben delimitata da segnaletica orizzontale e le vie di transito principali sono sgombre. Gli operatori sullo sfondo si trovano in una zona sicura. Si rileva un rischio minore di inciampo dovuto alla presenza di una bobina di lamiera metallica appoggiata a terra vicino alla pressa centrale, e una parziale incertezza sull'uso dei DPI da parte dei lavoratori a causa della distanza della telecamera.</t>
        </is>
      </c>
      <c r="G19" s="8" t="n">
        <v>24.76</v>
      </c>
      <c r="H19" s="10" t="inlineStr">
        <is>
          <t>giallo</t>
        </is>
      </c>
      <c r="I19" s="8" t="n">
        <v>10</v>
      </c>
      <c r="J19" s="8" t="inlineStr">
        <is>
          <t>La situazione osservata è stabile e priva di pericoli immediati, con gli operatori posizionati in sicurezza nel corridoio di transito. Non si registrano comportamenti a rischio, interferenze con macchinari o presenza di mezzi in movimento nell'area.</t>
        </is>
      </c>
      <c r="K19" s="8" t="n">
        <v>17.59</v>
      </c>
      <c r="L19" s="9" t="inlineStr">
        <is>
          <t>verde</t>
        </is>
      </c>
      <c r="M19" s="8" t="n">
        <v>10</v>
      </c>
      <c r="N19" s="8" t="n">
        <v>7.17</v>
      </c>
      <c r="O19" s="11" t="inlineStr">
        <is>
          <t>disaccordo</t>
        </is>
      </c>
      <c r="P19" s="8" t="n">
        <v>0</v>
      </c>
      <c r="Q19" s="8" t="n">
        <v>0</v>
      </c>
      <c r="R19" s="8" t="n">
        <v>0</v>
      </c>
      <c r="S19" s="8" t="n">
        <v>0</v>
      </c>
      <c r="T19" s="8" t="n">
        <v>0</v>
      </c>
      <c r="U19" s="8" t="n">
        <v>0</v>
      </c>
      <c r="V19" s="8" t="n">
        <v>0</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2026-07-30T18:35:23Z</dcterms:created>
  <dcterms:modified xmlns:dcterms="http://purl.org/dc/terms/" xmlns:xsi="http://www.w3.org/2001/XMLSchema-instance" xsi:type="dcterms:W3CDTF">2026-07-30T18:35:23Z</dcterms:modified>
</cp:coreProperties>
</file>