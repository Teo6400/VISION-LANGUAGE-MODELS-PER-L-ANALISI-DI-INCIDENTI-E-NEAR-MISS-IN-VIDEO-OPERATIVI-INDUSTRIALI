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lm_only_results"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font>
    <font>
      <b val="1"/>
      <color rgb="00FFFFFF"/>
      <sz val="8"/>
    </font>
    <font>
      <sz val="7"/>
    </font>
    <font>
      <b val="1"/>
      <color rgb="00000000"/>
      <sz val="8"/>
    </font>
  </fonts>
  <fills count="12">
    <fill>
      <patternFill/>
    </fill>
    <fill>
      <patternFill patternType="gray125"/>
    </fill>
    <fill>
      <patternFill patternType="solid">
        <fgColor rgb="001F4E78"/>
      </patternFill>
    </fill>
    <fill>
      <patternFill patternType="solid">
        <fgColor rgb="00D9EAF7"/>
      </patternFill>
    </fill>
    <fill>
      <patternFill patternType="solid">
        <fgColor rgb="00E2F0D9"/>
      </patternFill>
    </fill>
    <fill>
      <patternFill patternType="solid">
        <fgColor rgb="00D9E1F2"/>
      </patternFill>
    </fill>
    <fill>
      <patternFill patternType="solid">
        <fgColor rgb="00FFF2CC"/>
      </patternFill>
    </fill>
    <fill>
      <patternFill patternType="solid">
        <fgColor rgb="00EADCF8"/>
      </patternFill>
    </fill>
    <fill>
      <patternFill patternType="solid">
        <fgColor rgb="00EDEDED"/>
      </patternFill>
    </fill>
    <fill>
      <patternFill patternType="solid">
        <fgColor rgb="00FCE4D6"/>
      </patternFill>
    </fill>
    <fill>
      <patternFill patternType="solid">
        <fgColor rgb="00F4CCCC"/>
      </patternFill>
    </fill>
    <fill>
      <patternFill patternType="solid">
        <fgColor rgb="00C6EFCE"/>
      </patternFill>
    </fill>
  </fills>
  <borders count="3">
    <border>
      <left/>
      <right/>
      <top/>
      <bottom/>
      <diagonal/>
    </border>
    <border>
      <left style="thin"/>
      <right style="thin"/>
      <top style="thin"/>
      <bottom style="thin"/>
    </border>
    <border>
      <left style="thin">
        <color rgb="00D9D9D9"/>
      </left>
      <right style="thin">
        <color rgb="00D9D9D9"/>
      </right>
      <top style="thin">
        <color rgb="00D9D9D9"/>
      </top>
      <bottom style="thin">
        <color rgb="00D9D9D9"/>
      </bottom>
    </border>
  </borders>
  <cellStyleXfs count="1">
    <xf numFmtId="0" fontId="0" fillId="0" borderId="0"/>
  </cellStyleXfs>
  <cellXfs count="13">
    <xf numFmtId="0" fontId="0" fillId="0" borderId="0" pivotButton="0" quotePrefix="0" xfId="0"/>
    <xf numFmtId="0" fontId="1" fillId="0" borderId="1" applyAlignment="1" pivotButton="0" quotePrefix="0" xfId="0">
      <alignment horizontal="center" vertical="top"/>
    </xf>
    <xf numFmtId="0" fontId="4" fillId="3" borderId="2" applyAlignment="1" pivotButton="0" quotePrefix="0" xfId="0">
      <alignment horizontal="center" vertical="center" wrapText="1"/>
    </xf>
    <xf numFmtId="0" fontId="4" fillId="4" borderId="2" applyAlignment="1" pivotButton="0" quotePrefix="0" xfId="0">
      <alignment horizontal="center" vertical="center" wrapText="1"/>
    </xf>
    <xf numFmtId="0" fontId="4" fillId="5" borderId="2" applyAlignment="1" pivotButton="0" quotePrefix="0" xfId="0">
      <alignment horizontal="center" vertical="center" wrapText="1"/>
    </xf>
    <xf numFmtId="0" fontId="4" fillId="6" borderId="2" applyAlignment="1" pivotButton="0" quotePrefix="0" xfId="0">
      <alignment horizontal="center" vertical="center" wrapText="1"/>
    </xf>
    <xf numFmtId="0" fontId="4" fillId="7" borderId="2" applyAlignment="1" pivotButton="0" quotePrefix="0" xfId="0">
      <alignment horizontal="center" vertical="center" wrapText="1"/>
    </xf>
    <xf numFmtId="0" fontId="4" fillId="8" borderId="2" applyAlignment="1" pivotButton="0" quotePrefix="0" xfId="0">
      <alignment horizontal="center" vertical="center" wrapText="1"/>
    </xf>
    <xf numFmtId="0" fontId="3" fillId="0" borderId="2" applyAlignment="1" pivotButton="0" quotePrefix="0" xfId="0">
      <alignment horizontal="left" vertical="top" wrapText="1"/>
    </xf>
    <xf numFmtId="0" fontId="3" fillId="6" borderId="2" applyAlignment="1" pivotButton="0" quotePrefix="0" xfId="0">
      <alignment horizontal="left" vertical="top" wrapText="1"/>
    </xf>
    <xf numFmtId="0" fontId="3" fillId="11" borderId="2" applyAlignment="1" pivotButton="0" quotePrefix="0" xfId="0">
      <alignment horizontal="left" vertical="top" wrapText="1"/>
    </xf>
    <xf numFmtId="0" fontId="3" fillId="10" borderId="2" applyAlignment="1" pivotButton="0" quotePrefix="0" xfId="0">
      <alignment horizontal="left" vertical="top" wrapText="1"/>
    </xf>
    <xf numFmtId="0" fontId="3" fillId="9" borderId="2"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charts/chart1.xml><?xml version="1.0" encoding="utf-8"?>
<chartSpace xmlns="http://schemas.openxmlformats.org/drawingml/2006/chart">
  <style val="2"/>
  <chart>
    <title>
      <tx>
        <rich>
          <a:bodyPr xmlns:a="http://schemas.openxmlformats.org/drawingml/2006/main"/>
          <a:p xmlns:a="http://schemas.openxmlformats.org/drawingml/2006/main">
            <a:pPr>
              <a:defRPr/>
            </a:pPr>
            <a:r>
              <a:t>Dynamic Risk Score - Solo rami VLM</a:t>
            </a:r>
          </a:p>
        </rich>
      </tx>
    </title>
    <plotArea>
      <lineChart>
        <grouping val="standard"/>
        <ser>
          <idx val="0"/>
          <order val="0"/>
          <tx>
            <strRef>
              <f>'vlm_only_results'!G1</f>
            </strRef>
          </tx>
          <spPr>
            <a:ln xmlns:a="http://schemas.openxmlformats.org/drawingml/2006/main" w="18000">
              <a:solidFill>
                <a:srgbClr val="70AD47"/>
              </a:solidFill>
              <a:prstDash val="solid"/>
            </a:ln>
          </spPr>
          <marker>
            <symbol val="none"/>
            <spPr>
              <a:ln xmlns:a="http://schemas.openxmlformats.org/drawingml/2006/main">
                <a:prstDash val="solid"/>
              </a:ln>
            </spPr>
          </marker>
          <cat>
            <numRef>
              <f>'vlm_only_results'!$A$2:$A$19</f>
            </numRef>
          </cat>
          <val>
            <numRef>
              <f>'vlm_only_results'!$G$2:$G$19</f>
            </numRef>
          </val>
        </ser>
        <ser>
          <idx val="1"/>
          <order val="1"/>
          <tx>
            <strRef>
              <f>'vlm_only_results'!K1</f>
            </strRef>
          </tx>
          <spPr>
            <a:ln xmlns:a="http://schemas.openxmlformats.org/drawingml/2006/main" w="18000">
              <a:solidFill>
                <a:srgbClr val="4472C4"/>
              </a:solidFill>
              <a:prstDash val="solid"/>
            </a:ln>
          </spPr>
          <marker>
            <symbol val="none"/>
            <spPr>
              <a:ln xmlns:a="http://schemas.openxmlformats.org/drawingml/2006/main">
                <a:prstDash val="solid"/>
              </a:ln>
            </spPr>
          </marker>
          <cat>
            <numRef>
              <f>'vlm_only_results'!$A$2:$A$19</f>
            </numRef>
          </cat>
          <val>
            <numRef>
              <f>'vlm_only_results'!$K$2:$K$19</f>
            </numRef>
          </val>
        </ser>
        <axId val="10"/>
        <axId val="100"/>
      </lineChart>
      <catAx>
        <axId val="10"/>
        <scaling>
          <orientation val="minMax"/>
        </scaling>
        <axPos val="l"/>
        <title>
          <tx>
            <rich>
              <a:bodyPr xmlns:a="http://schemas.openxmlformats.org/drawingml/2006/main"/>
              <a:p xmlns:a="http://schemas.openxmlformats.org/drawingml/2006/main">
                <a:pPr>
                  <a:defRPr/>
                </a:pPr>
                <a:r>
                  <a:t>Window ID</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Dynamic risk score</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23</col>
      <colOff>0</colOff>
      <row>1</row>
      <rowOff>0</rowOff>
    </from>
    <ext cx="504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V19"/>
  <sheetViews>
    <sheetView showGridLines="1" zoomScale="80" workbookViewId="0">
      <pane ySplit="1" topLeftCell="A2" activePane="bottomLeft" state="frozen"/>
      <selection pane="bottomLeft" activeCell="A1" sqref="A1"/>
    </sheetView>
  </sheetViews>
  <sheetFormatPr baseColWidth="8" defaultRowHeight="15"/>
  <cols>
    <col width="6" customWidth="1" min="1" max="1"/>
    <col width="7" customWidth="1" min="2" max="2"/>
    <col width="7" customWidth="1" min="3" max="3"/>
    <col width="7" customWidth="1" min="4" max="4"/>
    <col width="8" customWidth="1" min="5" max="5"/>
    <col width="16" customWidth="1" min="6" max="6"/>
    <col width="8" customWidth="1" min="7" max="7"/>
    <col width="7" customWidth="1" min="8" max="8"/>
    <col width="8" customWidth="1" min="9" max="9"/>
    <col width="16" customWidth="1" min="10" max="10"/>
    <col width="8" customWidth="1" min="11" max="11"/>
    <col width="7" customWidth="1" min="12" max="12"/>
    <col width="12" customWidth="1" min="13" max="13"/>
    <col width="12" customWidth="1" min="14" max="14"/>
    <col width="12" customWidth="1" min="15" max="15"/>
    <col width="7" customWidth="1" min="16" max="16"/>
    <col width="7" customWidth="1" min="17" max="17"/>
    <col width="7" customWidth="1" min="18" max="18"/>
    <col width="7" customWidth="1" min="19" max="19"/>
    <col width="7" customWidth="1" min="20" max="20"/>
    <col width="7" customWidth="1" min="21" max="21"/>
    <col width="7" customWidth="1" min="22" max="22"/>
  </cols>
  <sheetData>
    <row r="1" ht="16" customHeight="1">
      <c r="A1" s="2" t="inlineStr">
        <is>
          <t>window_id</t>
        </is>
      </c>
      <c r="B1" s="2" t="inlineStr">
        <is>
          <t>start_time_s</t>
        </is>
      </c>
      <c r="C1" s="2" t="inlineStr">
        <is>
          <t>end_time_s</t>
        </is>
      </c>
      <c r="D1" s="2" t="inlineStr">
        <is>
          <t>window_duration_s</t>
        </is>
      </c>
      <c r="E1" s="3" t="inlineStr">
        <is>
          <t>instantaneous_risk_score_vlm_free</t>
        </is>
      </c>
      <c r="F1" s="3" t="inlineStr">
        <is>
          <t>score_rationale_vlm_free</t>
        </is>
      </c>
      <c r="G1" s="3" t="inlineStr">
        <is>
          <t>dynamic_risk_score_vlm_free</t>
        </is>
      </c>
      <c r="H1" s="3" t="inlineStr">
        <is>
          <t>traffic_light_color_vlm_free</t>
        </is>
      </c>
      <c r="I1" s="4" t="inlineStr">
        <is>
          <t>instantaneous_risk_score_vlm</t>
        </is>
      </c>
      <c r="J1" s="4" t="inlineStr">
        <is>
          <t>score_rationale_vlm</t>
        </is>
      </c>
      <c r="K1" s="4" t="inlineStr">
        <is>
          <t>dynamic_risk_score_vlm</t>
        </is>
      </c>
      <c r="L1" s="4" t="inlineStr">
        <is>
          <t>traffic_light_color_vlm</t>
        </is>
      </c>
      <c r="M1" s="5" t="inlineStr">
        <is>
          <t>diff_inst_vlm_free_vs_vlm_guided</t>
        </is>
      </c>
      <c r="N1" s="5" t="inlineStr">
        <is>
          <t>diff_dyn_vlm_free_vs_vlm_guided</t>
        </is>
      </c>
      <c r="O1" s="6" t="inlineStr">
        <is>
          <t>traffic_light_agreement_vlm_free_vs_vlm_guided</t>
        </is>
      </c>
      <c r="P1" s="7" t="inlineStr">
        <is>
          <t>S1_raw</t>
        </is>
      </c>
      <c r="Q1" s="7" t="inlineStr">
        <is>
          <t>S2_raw</t>
        </is>
      </c>
      <c r="R1" s="7" t="inlineStr">
        <is>
          <t>S3_raw</t>
        </is>
      </c>
      <c r="S1" s="7" t="inlineStr">
        <is>
          <t>S4_raw</t>
        </is>
      </c>
      <c r="T1" s="7" t="inlineStr">
        <is>
          <t>S5_raw</t>
        </is>
      </c>
      <c r="U1" s="7" t="inlineStr">
        <is>
          <t>S6_raw</t>
        </is>
      </c>
      <c r="V1" s="7" t="inlineStr">
        <is>
          <t>S7_raw</t>
        </is>
      </c>
    </row>
    <row r="2" ht="34" customHeight="1">
      <c r="A2" s="8" t="n">
        <v>0</v>
      </c>
      <c r="B2" s="8" t="n">
        <v>0</v>
      </c>
      <c r="C2" s="8" t="n">
        <v>4</v>
      </c>
      <c r="D2" s="8" t="n">
        <v>4</v>
      </c>
      <c r="E2" s="8" t="n">
        <v>25</v>
      </c>
      <c r="F2" s="8" t="inlineStr">
        <is>
          <t>La scena mostra operazioni standard in un magazzino. Gli operatori indossano gilet ad alta visibilità e non vi sono mezzi in movimento o pericoli immediati visibili. Il punteggio di 25 riflette i rischi intrinseci dell'ambiente industriale (movimentazione manuale dei carichi, potenziale caduta di materiali dall'alto e incertezza sull'uso di elmetti/scarpe antinfortunistiche), pur in assenza di situazioni critiche attive.</t>
        </is>
      </c>
      <c r="G2" s="8" t="n">
        <v>25</v>
      </c>
      <c r="H2" s="9" t="inlineStr">
        <is>
          <t>giallo</t>
        </is>
      </c>
      <c r="I2" s="8" t="n">
        <v>45</v>
      </c>
      <c r="J2" s="8" t="inlineStr">
        <is>
          <t>Il punteggio riflette un rischio moderato dovuto alla compresenza di operatori a piedi e un transpallet in un corridoio stretto, che limita lo spazio di manovra. Sebbene indossino gilet ad alta visibilità, la vicinanza al mezzo aumenta la probabilità di contatti accidentali o schiacciamenti.</t>
        </is>
      </c>
      <c r="K2" s="8" t="n">
        <v>45</v>
      </c>
      <c r="L2" s="9" t="inlineStr">
        <is>
          <t>giallo</t>
        </is>
      </c>
      <c r="M2" s="8" t="n">
        <v>20</v>
      </c>
      <c r="N2" s="8" t="n">
        <v>20</v>
      </c>
      <c r="O2" s="10" t="inlineStr">
        <is>
          <t>accordo</t>
        </is>
      </c>
      <c r="P2" s="8" t="n">
        <v>0.5</v>
      </c>
      <c r="Q2" s="8" t="n">
        <v>0.25</v>
      </c>
      <c r="R2" s="8" t="n">
        <v>0.25</v>
      </c>
      <c r="S2" s="8" t="n">
        <v>0.5</v>
      </c>
      <c r="T2" s="8" t="n">
        <v>0.25</v>
      </c>
      <c r="U2" s="8" t="n">
        <v>0</v>
      </c>
      <c r="V2" s="8" t="n">
        <v>0.25</v>
      </c>
    </row>
    <row r="3" ht="34" customHeight="1">
      <c r="A3" s="8" t="n">
        <v>1</v>
      </c>
      <c r="B3" s="8" t="n">
        <v>2</v>
      </c>
      <c r="C3" s="8" t="n">
        <v>6</v>
      </c>
      <c r="D3" s="8" t="n">
        <v>4</v>
      </c>
      <c r="E3" s="8" t="n">
        <v>30</v>
      </c>
      <c r="F3" s="8" t="inlineStr">
        <is>
          <t>Il punteggio di 30 riflette una situazione operativa standard con rischi intrinseci moderati. Gli operatori a terra indossano correttamente i DPI (elmetti e gilet ad alta visibilità), mitigando i rischi principali. Rimangono fattori di attenzione legati alla presenza di attrezzature manuali nella via di transito e al potenziale rischio di caduta materiali dalle scaffalature verticali ad alta densità.</t>
        </is>
      </c>
      <c r="G3" s="8" t="n">
        <v>29.25</v>
      </c>
      <c r="H3" s="9" t="inlineStr">
        <is>
          <t>giallo</t>
        </is>
      </c>
      <c r="I3" s="8" t="n">
        <v>15</v>
      </c>
      <c r="J3" s="8" t="inlineStr">
        <is>
          <t>L'ambiente si presenta ordinato, pulito e ben illuminato, senza evidenze di comportamenti non conformi o pericoli immediati. Il punteggio riflette unicamente il rischio intrinseco standard legato alla presenza di scaffalature alte e alla movimentazione manuale dei carichi.</t>
        </is>
      </c>
      <c r="K3" s="8" t="n">
        <v>27</v>
      </c>
      <c r="L3" s="9" t="inlineStr">
        <is>
          <t>giallo</t>
        </is>
      </c>
      <c r="M3" s="8" t="n">
        <v>15</v>
      </c>
      <c r="N3" s="8" t="n">
        <v>2.25</v>
      </c>
      <c r="O3" s="10" t="inlineStr">
        <is>
          <t>accordo</t>
        </is>
      </c>
      <c r="P3" s="8" t="n">
        <v>0</v>
      </c>
      <c r="Q3" s="8" t="n">
        <v>0</v>
      </c>
      <c r="R3" s="8" t="n">
        <v>0</v>
      </c>
      <c r="S3" s="8" t="n">
        <v>0</v>
      </c>
      <c r="T3" s="8" t="n">
        <v>0.25</v>
      </c>
      <c r="U3" s="8" t="n">
        <v>0</v>
      </c>
      <c r="V3" s="8" t="n">
        <v>0.25</v>
      </c>
    </row>
    <row r="4" ht="34" customHeight="1">
      <c r="A4" s="8" t="n">
        <v>2</v>
      </c>
      <c r="B4" s="8" t="n">
        <v>4</v>
      </c>
      <c r="C4" s="8" t="n">
        <v>8</v>
      </c>
      <c r="D4" s="8" t="n">
        <v>4</v>
      </c>
      <c r="E4" s="8" t="n">
        <v>30</v>
      </c>
      <c r="F4" s="8" t="inlineStr">
        <is>
          <t>Il punteggio di 30 indica un rischio basso-moderato, tipico di un'area di lavoro logistica attiva ma ordinata. Gli operatori indossano i gilet ad alta visibilità e la pavimentazione è sgombra. I fattori di rischio sono limitati alla movimentazione manuale dei carichi in spazi ristretti e alla potenziale caduta di oggetti dalle scaffalature verticali adiacenti.</t>
        </is>
      </c>
      <c r="G4" s="8" t="n">
        <v>29.7</v>
      </c>
      <c r="H4" s="9" t="inlineStr">
        <is>
          <t>giallo</t>
        </is>
      </c>
      <c r="I4" s="8" t="n">
        <v>15</v>
      </c>
      <c r="J4" s="8" t="inlineStr">
        <is>
          <t>L'ambiente di lavoro si presenta pulito e ordinato, con gli operatori che indossano regolarmente i DPI ad alta visibilità. Non si rilevano comportamenti non conformi o interferenze critiche, mantenendo il livello di rischio estremamente basso e limitato ai pericoli intrinseci dell'area.</t>
        </is>
      </c>
      <c r="K4" s="8" t="n">
        <v>19.8</v>
      </c>
      <c r="L4" s="10" t="inlineStr">
        <is>
          <t>verde</t>
        </is>
      </c>
      <c r="M4" s="8" t="n">
        <v>15</v>
      </c>
      <c r="N4" s="8" t="n">
        <v>9.9</v>
      </c>
      <c r="O4" s="11" t="inlineStr">
        <is>
          <t>disaccordo</t>
        </is>
      </c>
      <c r="P4" s="8" t="n">
        <v>0.25</v>
      </c>
      <c r="Q4" s="8" t="n">
        <v>0.25</v>
      </c>
      <c r="R4" s="8" t="n">
        <v>0</v>
      </c>
      <c r="S4" s="8" t="n">
        <v>0.2</v>
      </c>
      <c r="T4" s="8" t="n">
        <v>0.25</v>
      </c>
      <c r="U4" s="8" t="n">
        <v>0</v>
      </c>
      <c r="V4" s="8" t="n">
        <v>0.25</v>
      </c>
    </row>
    <row r="5" ht="34" customHeight="1">
      <c r="A5" s="8" t="n">
        <v>3</v>
      </c>
      <c r="B5" s="8" t="n">
        <v>6</v>
      </c>
      <c r="C5" s="8" t="n">
        <v>10</v>
      </c>
      <c r="D5" s="8" t="n">
        <v>4</v>
      </c>
      <c r="E5" s="8" t="n">
        <v>45</v>
      </c>
      <c r="F5" s="8" t="inlineStr">
        <is>
          <t>Il punteggio riflette un rischio moderato (45/100). L'operatore indossa i DPI visibili (elmetto e gilet), ma la compresenza di una seconda figura sullo sfondo in una corsia stretta, unita alla presenza di un transpallet e alla visibilità ridotta alle estremità della corsia, genera potenziali rischi di investimento o di urto accidentale contro le scaffalature verticali.</t>
        </is>
      </c>
      <c r="G5" s="8" t="n">
        <v>42.63</v>
      </c>
      <c r="H5" s="9" t="inlineStr">
        <is>
          <t>giallo</t>
        </is>
      </c>
      <c r="I5" s="8" t="n">
        <v>15</v>
      </c>
      <c r="J5" s="8" t="inlineStr">
        <is>
          <t>Il livello di rischio è basso poiché gli operatori sono attualmente statici e non vi sono manovre attive con il transpallet. Permangono solo i rischi intrinseci legati alla presenza di scaffalature alte e alla condivisione dello spazio di lavoro.</t>
        </is>
      </c>
      <c r="K5" s="8" t="n">
        <v>16.92</v>
      </c>
      <c r="L5" s="10" t="inlineStr">
        <is>
          <t>verde</t>
        </is>
      </c>
      <c r="M5" s="8" t="n">
        <v>30</v>
      </c>
      <c r="N5" s="8" t="n">
        <v>25.71</v>
      </c>
      <c r="O5" s="11" t="inlineStr">
        <is>
          <t>disaccordo</t>
        </is>
      </c>
      <c r="P5" s="8" t="n">
        <v>0.25</v>
      </c>
      <c r="Q5" s="8" t="n">
        <v>0.25</v>
      </c>
      <c r="R5" s="8" t="n">
        <v>0</v>
      </c>
      <c r="S5" s="8" t="n">
        <v>0</v>
      </c>
      <c r="T5" s="8" t="n">
        <v>0.25</v>
      </c>
      <c r="U5" s="8" t="n">
        <v>0</v>
      </c>
      <c r="V5" s="8" t="n">
        <v>0</v>
      </c>
    </row>
    <row r="6" ht="34" customHeight="1">
      <c r="A6" s="8" t="n">
        <v>4</v>
      </c>
      <c r="B6" s="8" t="n">
        <v>8</v>
      </c>
      <c r="C6" s="8" t="n">
        <v>12</v>
      </c>
      <c r="D6" s="8" t="n">
        <v>4</v>
      </c>
      <c r="E6" s="8" t="n">
        <v>30</v>
      </c>
      <c r="F6" s="8" t="inlineStr">
        <is>
          <t>Il punteggio riflette una situazione di normale operatività con rischi intrinseci moderati. L'operatore indossa correttamente il gilet ad alta visibilità e l'area presenta segnaletica di sicurezza sulla pavimentazione. I rischi sono legati esclusivamente alla natura dell'ambiente (stoccaggio verticale elevato, corridoio stretto e potenziale transito di mezzi), ma non si rilevano comportamenti pericolosi o minacce immediate nel frame temporale indicato.</t>
        </is>
      </c>
      <c r="G6" s="8" t="n">
        <v>35.05</v>
      </c>
      <c r="H6" s="9" t="inlineStr">
        <is>
          <t>giallo</t>
        </is>
      </c>
      <c r="I6" s="8" t="n">
        <v>15</v>
      </c>
      <c r="J6" s="8" t="inlineStr">
        <is>
          <t>Il rischio è basso poiché l'operatore indossa correttamente i DPI necessari e opera in un corridoio sgombro senza interferenze di mezzi in movimento. Permangono solo i rischi intrinseci minimi legati allo stoccaggio in quota e alla movimentazione manuale.</t>
        </is>
      </c>
      <c r="K6" s="8" t="n">
        <v>15.77</v>
      </c>
      <c r="L6" s="10" t="inlineStr">
        <is>
          <t>verde</t>
        </is>
      </c>
      <c r="M6" s="8" t="n">
        <v>15</v>
      </c>
      <c r="N6" s="8" t="n">
        <v>19.28</v>
      </c>
      <c r="O6" s="11" t="inlineStr">
        <is>
          <t>disaccordo</t>
        </is>
      </c>
      <c r="P6" s="8" t="n">
        <v>0.25</v>
      </c>
      <c r="Q6" s="8" t="n">
        <v>0.25</v>
      </c>
      <c r="R6" s="8" t="n">
        <v>0</v>
      </c>
      <c r="S6" s="8" t="n">
        <v>0</v>
      </c>
      <c r="T6" s="8" t="n">
        <v>0.25</v>
      </c>
      <c r="U6" s="8" t="n">
        <v>0</v>
      </c>
      <c r="V6" s="8" t="n">
        <v>0.25</v>
      </c>
    </row>
    <row r="7" ht="34" customHeight="1">
      <c r="A7" s="8" t="n">
        <v>5</v>
      </c>
      <c r="B7" s="8" t="n">
        <v>10</v>
      </c>
      <c r="C7" s="8" t="n">
        <v>14</v>
      </c>
      <c r="D7" s="8" t="n">
        <v>4</v>
      </c>
      <c r="E7" s="8" t="n">
        <v>70</v>
      </c>
      <c r="F7" s="8" t="inlineStr">
        <is>
          <t>Il punteggio di 70 riflette un rischio elevato dovuto alla compresenza e condivisione dello spazio di manovra tra un operatore a terra e un veicolo industriale in movimento in una corsia stretta priva di barriere fisiche di separazione. Sebbene l'operatore indossi un gilet ad alta visibilità, la mancanza di segregazione fisica e la potenziale deviazione del mezzo o un movimento improvviso del pedone generano un rischio concreto di investimento o schiacciamento.</t>
        </is>
      </c>
      <c r="G7" s="8" t="n">
        <v>66.02</v>
      </c>
      <c r="H7" s="12" t="inlineStr">
        <is>
          <t>arancione</t>
        </is>
      </c>
      <c r="I7" s="8" t="n">
        <v>15</v>
      </c>
      <c r="J7" s="8" t="inlineStr">
        <is>
          <t>Il livello di rischio è basso poiché l'operatore indossa regolarmente il gilet ad alta visibilità e il veicolo si trova a distanza di sicurezza in fondo al corridoio. L'ambiente ordinato e la natura statica della scena riducono al minimo la probabilità di incidenti immediati.</t>
        </is>
      </c>
      <c r="K7" s="8" t="n">
        <v>15.31</v>
      </c>
      <c r="L7" s="10" t="inlineStr">
        <is>
          <t>verde</t>
        </is>
      </c>
      <c r="M7" s="8" t="n">
        <v>55</v>
      </c>
      <c r="N7" s="8" t="n">
        <v>50.71</v>
      </c>
      <c r="O7" s="11" t="inlineStr">
        <is>
          <t>disaccordo</t>
        </is>
      </c>
      <c r="P7" s="8" t="n">
        <v>0.25</v>
      </c>
      <c r="Q7" s="8" t="n">
        <v>0</v>
      </c>
      <c r="R7" s="8" t="n">
        <v>0</v>
      </c>
      <c r="S7" s="8" t="n">
        <v>0</v>
      </c>
      <c r="T7" s="8" t="n">
        <v>0</v>
      </c>
      <c r="U7" s="8" t="n">
        <v>0</v>
      </c>
      <c r="V7" s="8" t="n">
        <v>0</v>
      </c>
    </row>
    <row r="8" ht="34" customHeight="1">
      <c r="A8" s="8" t="n">
        <v>6</v>
      </c>
      <c r="B8" s="8" t="n">
        <v>12</v>
      </c>
      <c r="C8" s="8" t="n">
        <v>16</v>
      </c>
      <c r="D8" s="8" t="n">
        <v>4</v>
      </c>
      <c r="E8" s="8" t="n">
        <v>65</v>
      </c>
      <c r="F8" s="8" t="inlineStr">
        <is>
          <t>Il punteggio di 65 è giustificato dalla compresenza di un operatore a piedi e di un carrello elevatore all'interno di una corsia stretta. Nonostante l'uso del gilet ad alta visibilità e la distanza tra i soggetti, la presenza di punti ciechi strutturali e lo spazio limitato di manovra configurano un rischio concreto di interferenza e potenziale collisione in caso di manovre repentine o mancato contatto visivo.</t>
        </is>
      </c>
      <c r="G8" s="8" t="n">
        <v>65.41</v>
      </c>
      <c r="H8" s="12" t="inlineStr">
        <is>
          <t>arancione</t>
        </is>
      </c>
      <c r="I8" s="8" t="n">
        <v>45</v>
      </c>
      <c r="J8" s="8" t="inlineStr">
        <is>
          <t>Il punteggio riflette un rischio moderato dovuto alla compresenza di pedoni e un carrello elevatore nella stessa corsia senza barriere fisiche di separazione. Sebbene gli operatori indossino gilet ad alta visibilità, la mancanza di segregazione dei flussi aumenta la probabilità di interferenze e investimenti durante le manovre.</t>
        </is>
      </c>
      <c r="K8" s="8" t="n">
        <v>40.62</v>
      </c>
      <c r="L8" s="9" t="inlineStr">
        <is>
          <t>giallo</t>
        </is>
      </c>
      <c r="M8" s="8" t="n">
        <v>20</v>
      </c>
      <c r="N8" s="8" t="n">
        <v>24.79</v>
      </c>
      <c r="O8" s="11" t="inlineStr">
        <is>
          <t>disaccordo</t>
        </is>
      </c>
      <c r="P8" s="8" t="n">
        <v>0.5</v>
      </c>
      <c r="Q8" s="8" t="n">
        <v>0.25</v>
      </c>
      <c r="R8" s="8" t="n">
        <v>0</v>
      </c>
      <c r="S8" s="8" t="n">
        <v>0.25</v>
      </c>
      <c r="T8" s="8" t="n">
        <v>0.25</v>
      </c>
      <c r="U8" s="8" t="n">
        <v>0</v>
      </c>
      <c r="V8" s="8" t="n">
        <v>0</v>
      </c>
    </row>
    <row r="9" ht="34" customHeight="1">
      <c r="A9" s="8" t="n">
        <v>7</v>
      </c>
      <c r="B9" s="8" t="n">
        <v>14</v>
      </c>
      <c r="C9" s="8" t="n">
        <v>18</v>
      </c>
      <c r="D9" s="8" t="n">
        <v>4</v>
      </c>
      <c r="E9" s="8" t="n">
        <v>50</v>
      </c>
      <c r="F9" s="8" t="inlineStr">
        <is>
          <t>Il punteggio di 50 indica un livello di rischio moderato. La compresenza di operatori a piedi e un carrello elevatore nello stesso corridoio operativo, in assenza di barriere fisiche di segregazione, configura un rischio intrinseco di investimento. Tuttavia, la situazione è parzialmente mitigata dal fatto che il carrello è sullo sfondo (statico o in manovra lenta), la visibilità è buona e i pedoni indossano gilet ad alta visibilità.</t>
        </is>
      </c>
      <c r="G9" s="8" t="n">
        <v>56.16</v>
      </c>
      <c r="H9" s="12" t="inlineStr">
        <is>
          <t>arancione</t>
        </is>
      </c>
      <c r="I9" s="8" t="n">
        <v>30</v>
      </c>
      <c r="J9" s="8" t="inlineStr">
        <is>
          <t>Il rischio è moderato a causa della compresenza di operatori a piedi e di un carrello elevatore nella stessa corsia stretta. Tuttavia, la distanza di sicurezza temporanea e l'uso corretto dei DPI da parte dei lavoratori riducono l'imminenza di un pericolo diretto.</t>
        </is>
      </c>
      <c r="K9" s="8" t="n">
        <v>34.25</v>
      </c>
      <c r="L9" s="9" t="inlineStr">
        <is>
          <t>giallo</t>
        </is>
      </c>
      <c r="M9" s="8" t="n">
        <v>20</v>
      </c>
      <c r="N9" s="8" t="n">
        <v>21.91</v>
      </c>
      <c r="O9" s="11" t="inlineStr">
        <is>
          <t>disaccordo</t>
        </is>
      </c>
      <c r="P9" s="8" t="n">
        <v>0.25</v>
      </c>
      <c r="Q9" s="8" t="n">
        <v>0.25</v>
      </c>
      <c r="R9" s="8" t="n">
        <v>0</v>
      </c>
      <c r="S9" s="8" t="n">
        <v>0.25</v>
      </c>
      <c r="T9" s="8" t="n">
        <v>0</v>
      </c>
      <c r="U9" s="8" t="n">
        <v>0</v>
      </c>
      <c r="V9" s="8" t="n">
        <v>0</v>
      </c>
    </row>
    <row r="10" ht="34" customHeight="1">
      <c r="A10" s="8" t="n">
        <v>8</v>
      </c>
      <c r="B10" s="8" t="n">
        <v>16</v>
      </c>
      <c r="C10" s="8" t="n">
        <v>20</v>
      </c>
      <c r="D10" s="8" t="n">
        <v>4</v>
      </c>
      <c r="E10" s="8" t="n">
        <v>65</v>
      </c>
      <c r="F10" s="8" t="inlineStr">
        <is>
          <t>Il punteggio di 65 è giustificato dalla compresenza di un operatore a terra e di un carrello elevatore all'interno dello stesso corridoio stretto, in assenza di barriere fisiche di segregazione. Sebbene l'operatore indossi un gilet ad alta visibilità e il mezzo sembri muoversi lentamente o essere fermo, la configurazione spaziale e le potenziali zone d'ombra creano un rischio concreto di investimento dovuto a distrazioni o manovre impreviste.</t>
        </is>
      </c>
      <c r="G10" s="8" t="n">
        <v>65.20999999999999</v>
      </c>
      <c r="H10" s="12" t="inlineStr">
        <is>
          <t>arancione</t>
        </is>
      </c>
      <c r="I10" s="8" t="n">
        <v>50</v>
      </c>
      <c r="J10" s="8" t="inlineStr">
        <is>
          <t>Il punteggio riflette un rischio significativo dovuto alla compresenza di un pedone e di un carrello elevatore in movimento nella stessa corsia senza barriere fisiche di separazione. L'uso del gilet ad alta visibilità da parte dell'operatore a piedi mitiga parzialmente il pericolo di investimento.</t>
        </is>
      </c>
      <c r="K10" s="8" t="n">
        <v>48.7</v>
      </c>
      <c r="L10" s="9" t="inlineStr">
        <is>
          <t>giallo</t>
        </is>
      </c>
      <c r="M10" s="8" t="n">
        <v>15</v>
      </c>
      <c r="N10" s="8" t="n">
        <v>16.51</v>
      </c>
      <c r="O10" s="11" t="inlineStr">
        <is>
          <t>disaccordo</t>
        </is>
      </c>
      <c r="P10" s="8" t="n">
        <v>0.5</v>
      </c>
      <c r="Q10" s="8" t="n">
        <v>0.25</v>
      </c>
      <c r="R10" s="8" t="n">
        <v>0.25</v>
      </c>
      <c r="S10" s="8" t="n">
        <v>0.25</v>
      </c>
      <c r="T10" s="8" t="n">
        <v>0.25</v>
      </c>
      <c r="U10" s="8" t="n">
        <v>0</v>
      </c>
      <c r="V10" s="8" t="n">
        <v>0.25</v>
      </c>
    </row>
    <row r="11" ht="34" customHeight="1">
      <c r="A11" s="8" t="n">
        <v>9</v>
      </c>
      <c r="B11" s="8" t="n">
        <v>18</v>
      </c>
      <c r="C11" s="8" t="n">
        <v>22</v>
      </c>
      <c r="D11" s="8" t="n">
        <v>4</v>
      </c>
      <c r="E11" s="8" t="n">
        <v>60</v>
      </c>
      <c r="F11" s="8" t="inlineStr">
        <is>
          <t>Il punteggio di 60 riflette un rischio moderato-alto dovuto alla compresenza di un operatore a piedi e di un carrello elevatore all'interno della stessa corsia stretta senza barriere fisiche di separazione. Sebbene l'operatore indossi un gilet ad alta visibilità e il carrello sia sullo sfondo, la mancanza di segregazione dei flussi pedonali e veicolari in spazi ristretti rappresenta un potenziale pericolo di investimento o schiacciamento in caso di manovre improvvise o distrazioni.</t>
        </is>
      </c>
      <c r="G11" s="8" t="n">
        <v>62.08</v>
      </c>
      <c r="H11" s="12" t="inlineStr">
        <is>
          <t>arancione</t>
        </is>
      </c>
      <c r="I11" s="8" t="n">
        <v>45</v>
      </c>
      <c r="J11" s="8" t="inlineStr">
        <is>
          <t>Il punteggio riflette un rischio moderato dovuto alla compresenza di pedoni e di un carrello elevatore all'interno dello stesso corridoio stretto. Sebbene il mezzo sia distante o in manovra lenta, la mancanza di barriere fisiche di separazione aumenta la probabilità di interferenze e collisioni.</t>
        </is>
      </c>
      <c r="K11" s="8" t="n">
        <v>46.48</v>
      </c>
      <c r="L11" s="9" t="inlineStr">
        <is>
          <t>giallo</t>
        </is>
      </c>
      <c r="M11" s="8" t="n">
        <v>15</v>
      </c>
      <c r="N11" s="8" t="n">
        <v>15.6</v>
      </c>
      <c r="O11" s="11" t="inlineStr">
        <is>
          <t>disaccordo</t>
        </is>
      </c>
      <c r="P11" s="8" t="n">
        <v>0.5</v>
      </c>
      <c r="Q11" s="8" t="n">
        <v>0.25</v>
      </c>
      <c r="R11" s="8" t="n">
        <v>0.25</v>
      </c>
      <c r="S11" s="8" t="n">
        <v>0.5</v>
      </c>
      <c r="T11" s="8" t="n">
        <v>0.25</v>
      </c>
      <c r="U11" s="8" t="n">
        <v>0</v>
      </c>
      <c r="V11" s="8" t="n">
        <v>0.25</v>
      </c>
    </row>
    <row r="12" ht="34" customHeight="1">
      <c r="A12" s="8" t="n">
        <v>10</v>
      </c>
      <c r="B12" s="8" t="n">
        <v>20</v>
      </c>
      <c r="C12" s="8" t="n">
        <v>24</v>
      </c>
      <c r="D12" s="8" t="n">
        <v>4</v>
      </c>
      <c r="E12" s="8" t="n">
        <v>75</v>
      </c>
      <c r="F12" s="8" t="inlineStr">
        <is>
          <t>La compresenza di un operatore a terra e di un carrello elevatore attivo all'interno di una corsia di stoccaggio stretta, priva di segregazione fisica tra flussi pedonali e veicolari, genera un rischio elevato di investimento o schiacciamento. Sebbene l'operatore indossi un gilet ad alta visibilità, lo spazio di manovra ridotto e la potenziale visibilità limitata del conducente durante le manovre aumentano sensibilmente la criticità.</t>
        </is>
      </c>
      <c r="G12" s="8" t="n">
        <v>73.58</v>
      </c>
      <c r="H12" s="12" t="inlineStr">
        <is>
          <t>arancione</t>
        </is>
      </c>
      <c r="I12" s="8" t="n">
        <v>35</v>
      </c>
      <c r="J12" s="8" t="inlineStr">
        <is>
          <t>Il punteggio riflette un rischio moderato dovuto alla compresenza di un operatore a piedi e di un carrello elevatore nello stesso corridoio. Sebbene l'operatore indossi DPI ad alta visibilità e i soggetti siano distanti, la condivisione dello spazio di transito richiede costante attenzione per evitare interferenze.</t>
        </is>
      </c>
      <c r="K12" s="8" t="n">
        <v>39.59</v>
      </c>
      <c r="L12" s="9" t="inlineStr">
        <is>
          <t>giallo</t>
        </is>
      </c>
      <c r="M12" s="8" t="n">
        <v>40</v>
      </c>
      <c r="N12" s="8" t="n">
        <v>33.99</v>
      </c>
      <c r="O12" s="11" t="inlineStr">
        <is>
          <t>disaccordo</t>
        </is>
      </c>
      <c r="P12" s="8" t="n">
        <v>0.5</v>
      </c>
      <c r="Q12" s="8" t="n">
        <v>0.25</v>
      </c>
      <c r="R12" s="8" t="n">
        <v>0</v>
      </c>
      <c r="S12" s="8" t="n">
        <v>0.25</v>
      </c>
      <c r="T12" s="8" t="n">
        <v>0.25</v>
      </c>
      <c r="U12" s="8" t="n">
        <v>0</v>
      </c>
      <c r="V12" s="8" t="n">
        <v>0</v>
      </c>
    </row>
    <row r="13" ht="34" customHeight="1">
      <c r="A13" s="8" t="n">
        <v>11</v>
      </c>
      <c r="B13" s="8" t="n">
        <v>22</v>
      </c>
      <c r="C13" s="8" t="n">
        <v>26</v>
      </c>
      <c r="D13" s="8" t="n">
        <v>4</v>
      </c>
      <c r="E13" s="8" t="n">
        <v>70</v>
      </c>
      <c r="F13" s="8" t="inlineStr">
        <is>
          <t>La compresenza di un carrello elevatore operativo e di un operatore a terra all'interno della stessa corsia stretta configura un rischio medio-alto (70) di investimento o schiacciamento. Sebbene l'operatore indossi un gilet ad alta visibilità, lo spazio di manovra limitato e la mancanza di barriere fisiche di separazione aumentano la criticità della situazione.</t>
        </is>
      </c>
      <c r="G13" s="8" t="n">
        <v>71.43000000000001</v>
      </c>
      <c r="H13" s="12" t="inlineStr">
        <is>
          <t>arancione</t>
        </is>
      </c>
      <c r="I13" s="8" t="n">
        <v>70</v>
      </c>
      <c r="J13" s="8" t="inlineStr">
        <is>
          <t>Il punteggio riflette un rischio significativo dovuto alla compresenza di operatori a terra e di un carrello elevatore in movimento nello stesso corridoio senza barriere fisiche di separazione. Questa situazione genera un'elevata probabilità di interferenza e potenziale investimento in caso di distrazione o presenza di angoli ciechi.</t>
        </is>
      </c>
      <c r="K13" s="8" t="n">
        <v>66.59</v>
      </c>
      <c r="L13" s="12" t="inlineStr">
        <is>
          <t>arancione</t>
        </is>
      </c>
      <c r="M13" s="8" t="n">
        <v>0</v>
      </c>
      <c r="N13" s="8" t="n">
        <v>4.84</v>
      </c>
      <c r="O13" s="10" t="inlineStr">
        <is>
          <t>accordo</t>
        </is>
      </c>
      <c r="P13" s="8" t="n">
        <v>0.75</v>
      </c>
      <c r="Q13" s="8" t="n">
        <v>0.5</v>
      </c>
      <c r="R13" s="8" t="n">
        <v>0.5</v>
      </c>
      <c r="S13" s="8" t="n">
        <v>0.5</v>
      </c>
      <c r="T13" s="8" t="n">
        <v>0.25</v>
      </c>
      <c r="U13" s="8" t="n">
        <v>0</v>
      </c>
      <c r="V13" s="8" t="n">
        <v>0</v>
      </c>
    </row>
    <row r="14" ht="34" customHeight="1">
      <c r="A14" s="8" t="n">
        <v>12</v>
      </c>
      <c r="B14" s="8" t="n">
        <v>24</v>
      </c>
      <c r="C14" s="8" t="n">
        <v>28</v>
      </c>
      <c r="D14" s="8" t="n">
        <v>4</v>
      </c>
      <c r="E14" s="8" t="n">
        <v>100</v>
      </c>
      <c r="F14" s="8" t="inlineStr">
        <is>
          <t>Il punteggio massimo è giustificato dal crollo strutturale catastrofico e improvviso delle scaffalature pesanti cariche di merci direttamente nella corsia di transito. La presenza di almeno due operatori a terra e del conducente del muletto nell'area d'impatto immediato configura un pericolo estremo e imminente di morte o lesioni gravissime per schiacciamento e seppellimento, oltre al rischio di effetto domino.</t>
        </is>
      </c>
      <c r="G14" s="8" t="n">
        <v>96.06999999999999</v>
      </c>
      <c r="H14" s="11" t="inlineStr">
        <is>
          <t>rosso</t>
        </is>
      </c>
      <c r="I14" s="8" t="n">
        <v>98</v>
      </c>
      <c r="J14" s="8" t="inlineStr">
        <is>
          <t>Il punteggio riflette una situazione di imminente pericolo di vita dovuto al crollo strutturale attivo della scaffalatura pesante direttamente sull'area di transito degli operatori. La compresenza di un lavoratore a terra e di un carrello elevatore nel corridoio rende l'evento estremamente critico con altissimo rischio di lesioni gravi o fatali.</t>
        </is>
      </c>
      <c r="K14" s="8" t="n">
        <v>92.44</v>
      </c>
      <c r="L14" s="11" t="inlineStr">
        <is>
          <t>rosso</t>
        </is>
      </c>
      <c r="M14" s="8" t="n">
        <v>2</v>
      </c>
      <c r="N14" s="8" t="n">
        <v>3.63</v>
      </c>
      <c r="O14" s="10" t="inlineStr">
        <is>
          <t>accordo</t>
        </is>
      </c>
      <c r="P14" s="8" t="n">
        <v>0.75</v>
      </c>
      <c r="Q14" s="8" t="n">
        <v>0.5</v>
      </c>
      <c r="R14" s="8" t="n">
        <v>0.5</v>
      </c>
      <c r="S14" s="8" t="n">
        <v>0.75</v>
      </c>
      <c r="T14" s="8" t="n">
        <v>1</v>
      </c>
      <c r="U14" s="8" t="n">
        <v>0</v>
      </c>
      <c r="V14" s="8" t="n">
        <v>0</v>
      </c>
    </row>
    <row r="15" ht="34" customHeight="1">
      <c r="A15" s="8" t="n">
        <v>13</v>
      </c>
      <c r="B15" s="8" t="n">
        <v>26</v>
      </c>
      <c r="C15" s="8" t="n">
        <v>30</v>
      </c>
      <c r="D15" s="8" t="n">
        <v>4</v>
      </c>
      <c r="E15" s="8" t="n">
        <v>100</v>
      </c>
      <c r="F15" s="8" t="inlineStr">
        <is>
          <t>Il punteggio massimo di 100 è motivato dal crollo catastrofico e improvviso di scaffalature industriali pesanti cariche di merci direttamente sopra un'area di lavoro in cui sono presenti operatori a terra. Questo evento genera un rischio immediato ed estremo di schiacciamento, seppellimento e lesioni fatali per il personale coinvolto, con l'azzeramento della visibilità e l'impossibilità di una fuga sicura.</t>
        </is>
      </c>
      <c r="G15" s="8" t="n">
        <v>98.43000000000001</v>
      </c>
      <c r="H15" s="11" t="inlineStr">
        <is>
          <t>rosso</t>
        </is>
      </c>
      <c r="I15" s="8" t="n">
        <v>98</v>
      </c>
      <c r="J15" s="8" t="inlineStr">
        <is>
          <t>Il punteggio riflette una situazione di emergenza estrema con imminente pericolo di vita dovuto al collasso strutturale che investe direttamente gli operatori a terra. La fitta nube di polvere azzera la visibilità, ostacolando la fuga e i soccorsi in uno scenario di gravissimo schiacciamento.</t>
        </is>
      </c>
      <c r="K15" s="8" t="n">
        <v>95.78</v>
      </c>
      <c r="L15" s="11" t="inlineStr">
        <is>
          <t>rosso</t>
        </is>
      </c>
      <c r="M15" s="8" t="n">
        <v>2</v>
      </c>
      <c r="N15" s="8" t="n">
        <v>2.65</v>
      </c>
      <c r="O15" s="10" t="inlineStr">
        <is>
          <t>accordo</t>
        </is>
      </c>
      <c r="P15" s="8" t="n">
        <v>0.5</v>
      </c>
      <c r="Q15" s="8" t="n">
        <v>0.75</v>
      </c>
      <c r="R15" s="8" t="n">
        <v>0.25</v>
      </c>
      <c r="S15" s="8" t="n">
        <v>0.25</v>
      </c>
      <c r="T15" s="8" t="n">
        <v>1</v>
      </c>
      <c r="U15" s="8" t="n">
        <v>0</v>
      </c>
      <c r="V15" s="8" t="n">
        <v>0</v>
      </c>
    </row>
    <row r="16" ht="34" customHeight="1">
      <c r="A16" s="8" t="n">
        <v>14</v>
      </c>
      <c r="B16" s="8" t="n">
        <v>28</v>
      </c>
      <c r="C16" s="8" t="n">
        <v>32</v>
      </c>
      <c r="D16" s="8" t="n">
        <v>4</v>
      </c>
      <c r="E16" s="8" t="n">
        <v>100</v>
      </c>
      <c r="F16" s="8" t="inlineStr">
        <is>
          <t>Il collasso strutturale catastrofico a catena (effetto domino) di scaffalature industriali pesanti rappresenta uno scenario di massimo rischio (100). La caduta di merci voluminose, la generazione di dense nubi di polvere che azzerano la visibilità e il parziale travolgimento di un carrello elevatore comportano un pericolo immediato e letale per l'incolumità del personale, oltre a minacciare la stabilità strutturale dell'intero edificio.</t>
        </is>
      </c>
      <c r="G16" s="8" t="n">
        <v>99.37</v>
      </c>
      <c r="H16" s="11" t="inlineStr">
        <is>
          <t>rosso</t>
        </is>
      </c>
      <c r="I16" s="8" t="n">
        <v>98</v>
      </c>
      <c r="J16" s="8" t="inlineStr">
        <is>
          <t>Il punteggio riflette un livello di rischio critico dovuto al crollo strutturale catastrofico delle scaffalature che ha travolto un carrello elevatore, con un operatore potenzialmente intrappolato sotto le macerie. La densa nube di polvere riduce drasticamente la visibilità, ostacolando gravemente le operazioni di soccorso immediato.</t>
        </is>
      </c>
      <c r="K16" s="8" t="n">
        <v>97.11</v>
      </c>
      <c r="L16" s="11" t="inlineStr">
        <is>
          <t>rosso</t>
        </is>
      </c>
      <c r="M16" s="8" t="n">
        <v>2</v>
      </c>
      <c r="N16" s="8" t="n">
        <v>2.26</v>
      </c>
      <c r="O16" s="10" t="inlineStr">
        <is>
          <t>accordo</t>
        </is>
      </c>
      <c r="P16" s="8" t="n">
        <v>0</v>
      </c>
      <c r="Q16" s="8" t="n">
        <v>0.5</v>
      </c>
      <c r="R16" s="8" t="n">
        <v>0</v>
      </c>
      <c r="S16" s="8" t="n">
        <v>0.75</v>
      </c>
      <c r="T16" s="8" t="n">
        <v>1</v>
      </c>
      <c r="U16" s="8" t="n">
        <v>0</v>
      </c>
      <c r="V16" s="8" t="n">
        <v>0</v>
      </c>
    </row>
    <row r="17" ht="34" customHeight="1">
      <c r="A17" s="8" t="n">
        <v>15</v>
      </c>
      <c r="B17" s="8" t="n">
        <v>30</v>
      </c>
      <c r="C17" s="8" t="n">
        <v>34</v>
      </c>
      <c r="D17" s="8" t="n">
        <v>4</v>
      </c>
      <c r="E17" s="8" t="n">
        <v>98</v>
      </c>
      <c r="F17" s="8" t="inlineStr">
        <is>
          <t>Il punteggio riflette una situazione di imminente e gravissimo pericolo dovuta al crollo catastrofico e progressivo delle scaffalature pesanti. La presenza di un mezzo di movimentazione parzialmente sepolto dalle macerie suggerisce il potenziale coinvolgimento di operatori. Il rischio di schiacciamento, seppellimento ed effetto domino sulle campate adiacenti è ai massimi livelli, aggravato dalla visibilità compromessa dalla densa nube di polvere.</t>
        </is>
      </c>
      <c r="G17" s="8" t="n">
        <v>98.55</v>
      </c>
      <c r="H17" s="11" t="inlineStr">
        <is>
          <t>rosso</t>
        </is>
      </c>
      <c r="I17" s="8" t="n">
        <v>95</v>
      </c>
      <c r="J17" s="8" t="inlineStr">
        <is>
          <t>Il punteggio riflette una situazione di rischio critico dovuta al crollo totale delle scaffalature, che comporta un'estrema instabilità strutturale residua e il pericolo di ulteriori cedimenti. La fitta polvere limita la visibilità, ostacolando le operazioni di ricerca e soccorso di eventuali persone sepolte sotto le macerie.</t>
        </is>
      </c>
      <c r="K17" s="8" t="n">
        <v>95.84</v>
      </c>
      <c r="L17" s="11" t="inlineStr">
        <is>
          <t>rosso</t>
        </is>
      </c>
      <c r="M17" s="8" t="n">
        <v>3</v>
      </c>
      <c r="N17" s="8" t="n">
        <v>2.71</v>
      </c>
      <c r="O17" s="10" t="inlineStr">
        <is>
          <t>accordo</t>
        </is>
      </c>
      <c r="P17" s="8" t="n">
        <v>0</v>
      </c>
      <c r="Q17" s="8" t="n">
        <v>0.5</v>
      </c>
      <c r="R17" s="8" t="n">
        <v>0</v>
      </c>
      <c r="S17" s="8" t="n">
        <v>0</v>
      </c>
      <c r="T17" s="8" t="n">
        <v>1</v>
      </c>
      <c r="U17" s="8" t="n">
        <v>0</v>
      </c>
      <c r="V17" s="8" t="n">
        <v>0</v>
      </c>
    </row>
    <row r="18" ht="34" customHeight="1">
      <c r="A18" s="8" t="n">
        <v>16</v>
      </c>
      <c r="B18" s="8" t="n">
        <v>32</v>
      </c>
      <c r="C18" s="8" t="n">
        <v>35.867</v>
      </c>
      <c r="D18" s="8" t="n">
        <v>3.867</v>
      </c>
      <c r="E18" s="8" t="n">
        <v>70</v>
      </c>
      <c r="F18" s="8" t="inlineStr">
        <is>
          <t>Il punteggio di 70 è giustificato dalla presenza di un accumulo caotico e instabile di detriti industriali e vegetazione all'interno di una griglia metallica, indicativo di un probabile cedimento strutturale o scarico incontrollato. Sebbene non vi siano operatori visibili nell'immediato, lo stato dei luoghi presenta rischi significativi di ulteriore crollo, intasamento dei macchinari e potenziali infortuni gravi durante le inevitabili operazioni di rimozione e ripristino.</t>
        </is>
      </c>
      <c r="G18" s="8" t="n">
        <v>81.42</v>
      </c>
      <c r="H18" s="11" t="inlineStr">
        <is>
          <t>rosso</t>
        </is>
      </c>
      <c r="I18" s="8" t="n">
        <v>60</v>
      </c>
      <c r="J18" s="8" t="inlineStr">
        <is>
          <t>Il punteggio riflette un rischio significativo dovuto all'instabilità dei detriti accumulati nel passaggio, che hanno subito un cedimento generando polvere e riducendo la visibilità. Sebbene non vi siano operatori presenti nell'inquadratura, l'area ostruita e instabile rappresenta un grave pericolo di crollo secondario o inciampo.</t>
        </is>
      </c>
      <c r="K18" s="8" t="n">
        <v>74.34</v>
      </c>
      <c r="L18" s="11" t="inlineStr">
        <is>
          <t>rosso</t>
        </is>
      </c>
      <c r="M18" s="8" t="n">
        <v>10</v>
      </c>
      <c r="N18" s="8" t="n">
        <v>7.08</v>
      </c>
      <c r="O18" s="10" t="inlineStr">
        <is>
          <t>accordo</t>
        </is>
      </c>
      <c r="P18" s="8" t="n">
        <v>0</v>
      </c>
      <c r="Q18" s="8" t="n">
        <v>0.25</v>
      </c>
      <c r="R18" s="8" t="n">
        <v>0</v>
      </c>
      <c r="S18" s="8" t="n">
        <v>0</v>
      </c>
      <c r="T18" s="8" t="n">
        <v>0.75</v>
      </c>
      <c r="U18" s="8" t="n">
        <v>0</v>
      </c>
      <c r="V18" s="8" t="n">
        <v>0</v>
      </c>
    </row>
    <row r="19" ht="34" customHeight="1">
      <c r="A19" s="8" t="n">
        <v>17</v>
      </c>
      <c r="B19" s="8" t="n">
        <v>34</v>
      </c>
      <c r="C19" s="8" t="n">
        <v>35.867</v>
      </c>
      <c r="D19" s="8" t="n">
        <v>1.867</v>
      </c>
      <c r="E19" s="8" t="n">
        <v>45</v>
      </c>
      <c r="F19" s="8" t="inlineStr">
        <is>
          <t>Il punteggio di 45 indica un rischio operativo moderato. Non essendoci operatori nell'area, non vi è un pericolo immediato per la sicurezza del personale. Tuttavia, la presenza di corpi estranei rigidi e voluminosi (strutture metalliche e plastiche) nel flusso di materiale organico comporta un rischio concreto di inceppamento del nastro trasportatore o di danneggiamento dei macchinari di triturazione a valle.</t>
        </is>
      </c>
      <c r="G19" s="8" t="n">
        <v>59.57</v>
      </c>
      <c r="H19" s="12" t="inlineStr">
        <is>
          <t>arancione</t>
        </is>
      </c>
      <c r="I19" s="8" t="n">
        <v>15</v>
      </c>
      <c r="J19" s="8" t="inlineStr">
        <is>
          <t>Il rischio è basso a causa dell'assenza di personale, macchinari o attività operative nel segmento temporale analizzato. Tuttavia, la visibilità limitata e l'ambiente confinato ostruito da detriti rappresentano potenziali fattori di rischio latenti in caso di accesso futuro.</t>
        </is>
      </c>
      <c r="K19" s="8" t="n">
        <v>38.74</v>
      </c>
      <c r="L19" s="9" t="inlineStr">
        <is>
          <t>giallo</t>
        </is>
      </c>
      <c r="M19" s="8" t="n">
        <v>30</v>
      </c>
      <c r="N19" s="8" t="n">
        <v>20.83</v>
      </c>
      <c r="O19" s="11" t="inlineStr">
        <is>
          <t>disaccordo</t>
        </is>
      </c>
      <c r="P19" s="8" t="n">
        <v>0</v>
      </c>
      <c r="Q19" s="8" t="n">
        <v>0.25</v>
      </c>
      <c r="R19" s="8" t="n">
        <v>0</v>
      </c>
      <c r="S19" s="8" t="n">
        <v>0</v>
      </c>
      <c r="T19" s="8" t="n">
        <v>0</v>
      </c>
      <c r="U19" s="8" t="n">
        <v>0</v>
      </c>
      <c r="V19" s="8" t="n">
        <v>0</v>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2026-07-27T14:55:15Z</dcterms:created>
  <dcterms:modified xmlns:dcterms="http://purl.org/dc/terms/" xmlns:xsi="http://www.w3.org/2001/XMLSchema-instance" xsi:type="dcterms:W3CDTF">2026-07-27T14:55:15Z</dcterms:modified>
</cp:coreProperties>
</file>