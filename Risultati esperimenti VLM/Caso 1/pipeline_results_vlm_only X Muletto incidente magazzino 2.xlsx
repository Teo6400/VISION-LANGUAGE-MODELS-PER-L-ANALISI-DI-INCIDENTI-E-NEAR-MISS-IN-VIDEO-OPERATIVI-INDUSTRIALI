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'vlm_only_results'!$A$2:$A$19</f>
            </numRef>
          </cat>
          <val>
            <numRef>
              <f>'vlm_only_results'!$G$2:$G$19</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'vlm_only_results'!$A$2:$A$19</f>
            </numRef>
          </cat>
          <val>
            <numRef>
              <f>'vlm_only_results'!$K$2:$K$19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25</v>
      </c>
      <c r="F2" s="8" t="inlineStr">
        <is>
          <t>Il punteggio di 25 riflette una situazione operativa standard con rischi intrinseci moderati. Gli operatori indossano gilet ad alta visibilità e l'area di transito è pulita. Tuttavia, la presenza di stoccaggio verticale elevato e l'uso di un carrello manuale nel corridoio introducono rischi generici di caduta materiali o inciampo, oltre all'impossibilità di verificare DPI critici come gli elmetti protettivi a causa della distanza.</t>
        </is>
      </c>
      <c r="G2" s="8" t="n">
        <v>25</v>
      </c>
      <c r="H2" s="9" t="inlineStr">
        <is>
          <t>giallo</t>
        </is>
      </c>
      <c r="I2" s="8" t="n">
        <v>20</v>
      </c>
      <c r="J2" s="8" t="inlineStr">
        <is>
          <t>Il rischio è basso poiché l'ambiente si presenta pulito, ordinato e privo di comportamenti non conformi o anomalie strutturali evidenti. Le uniche criticità sono legate alla normale movimentazione manuale dei carichi, gestibili attraverso le procedure standard di sicurezza.</t>
        </is>
      </c>
      <c r="K2" s="8" t="n">
        <v>20</v>
      </c>
      <c r="L2" s="10" t="inlineStr">
        <is>
          <t>verde</t>
        </is>
      </c>
      <c r="M2" s="8" t="n">
        <v>5</v>
      </c>
      <c r="N2" s="8" t="n">
        <v>5</v>
      </c>
      <c r="O2" s="11" t="inlineStr">
        <is>
          <t>disaccordo</t>
        </is>
      </c>
      <c r="P2" s="8" t="n">
        <v>0.25</v>
      </c>
      <c r="Q2" s="8" t="n">
        <v>0.25</v>
      </c>
      <c r="R2" s="8" t="n">
        <v>0</v>
      </c>
      <c r="S2" s="8" t="n">
        <v>0.25</v>
      </c>
      <c r="T2" s="8" t="n">
        <v>0.25</v>
      </c>
      <c r="U2" s="8" t="n">
        <v>0</v>
      </c>
      <c r="V2" s="8" t="n">
        <v>0.25</v>
      </c>
    </row>
    <row r="3" ht="34" customHeight="1">
      <c r="A3" s="8" t="n">
        <v>1</v>
      </c>
      <c r="B3" s="8" t="n">
        <v>2</v>
      </c>
      <c r="C3" s="8" t="n">
        <v>6</v>
      </c>
      <c r="D3" s="8" t="n">
        <v>4</v>
      </c>
      <c r="E3" s="8" t="n">
        <v>40</v>
      </c>
      <c r="F3" s="8" t="inlineStr">
        <is>
          <t>Il punteggio di 40 riflette una situazione operativa standard ma con rischi intrinseci moderati. La presenza di operatori a piedi in una corsia stretta sotto scaffalature verticali elevate comporta rischi potenziali di caduta materiali dall'alto e schiacciamento durante l'uso del transpallet. Sebbene siano presenti i gilet ad alta visibilità, la mancata verifica di altri DPI essenziali (elmetti, calzature) e lo spazio di manovra limitato mantengono il livello di attenzione medio-basso, pur in assenza di pericoli imminenti.</t>
        </is>
      </c>
      <c r="G3" s="8" t="n">
        <v>37.75</v>
      </c>
      <c r="H3" s="9" t="inlineStr">
        <is>
          <t>giallo</t>
        </is>
      </c>
      <c r="I3" s="8" t="n">
        <v>15</v>
      </c>
      <c r="J3" s="8" t="inlineStr">
        <is>
          <t>Il livello di rischio è basso poiché gli operatori sono fermi, indossano correttamente i DPI necessari e non si rilevano comportamenti non conformi o pericoli immediati. Permane unicamente il rischio intrinseco associato alla presenza di scaffalature industriali alte.</t>
        </is>
      </c>
      <c r="K3" s="8" t="n">
        <v>17</v>
      </c>
      <c r="L3" s="10" t="inlineStr">
        <is>
          <t>verde</t>
        </is>
      </c>
      <c r="M3" s="8" t="n">
        <v>25</v>
      </c>
      <c r="N3" s="8" t="n">
        <v>20.75</v>
      </c>
      <c r="O3" s="11" t="inlineStr">
        <is>
          <t>disaccordo</t>
        </is>
      </c>
      <c r="P3" s="8" t="n">
        <v>0.25</v>
      </c>
      <c r="Q3" s="8" t="n">
        <v>0.25</v>
      </c>
      <c r="R3" s="8" t="n">
        <v>0</v>
      </c>
      <c r="S3" s="8" t="n">
        <v>0</v>
      </c>
      <c r="T3" s="8" t="n">
        <v>0.25</v>
      </c>
      <c r="U3" s="8" t="n">
        <v>0</v>
      </c>
      <c r="V3" s="8" t="n">
        <v>0</v>
      </c>
    </row>
    <row r="4" ht="34" customHeight="1">
      <c r="A4" s="8" t="n">
        <v>2</v>
      </c>
      <c r="B4" s="8" t="n">
        <v>4</v>
      </c>
      <c r="C4" s="8" t="n">
        <v>8</v>
      </c>
      <c r="D4" s="8" t="n">
        <v>4</v>
      </c>
      <c r="E4" s="8" t="n">
        <v>30</v>
      </c>
      <c r="F4" s="8" t="inlineStr">
        <is>
          <t>Il punteggio di 30 indica un rischio moderato. Gli operatori indossano gilet ad alta visibilità e la pavimentazione è sgombra, riducendo i pericoli immediati. Tuttavia, la presenza di pedoni all'interno di una corsia di stoccaggio verticale comporta rischi intrinseci legati alla possibile interferenza con carrelli elevatori non visibili e al potenziale pericolo di caduta di materiali dall'alto.</t>
        </is>
      </c>
      <c r="G4" s="8" t="n">
        <v>33.1</v>
      </c>
      <c r="H4" s="9" t="inlineStr">
        <is>
          <t>giallo</t>
        </is>
      </c>
      <c r="I4" s="8" t="n">
        <v>18</v>
      </c>
      <c r="J4" s="8" t="inlineStr">
        <is>
          <t>Il livello di rischio è basso grazie all'uso di attrezzature esclusivamente manuali, all'uso di DPI ad alta visibilità e a un ambiente di lavoro ordinato. Permangono unicamente i rischi intrinseci legati alla movimentazione manuale dei carichi e alla presenza di scaffalature industriali.</t>
        </is>
      </c>
      <c r="K4" s="8" t="n">
        <v>18.35</v>
      </c>
      <c r="L4" s="10" t="inlineStr">
        <is>
          <t>verde</t>
        </is>
      </c>
      <c r="M4" s="8" t="n">
        <v>12</v>
      </c>
      <c r="N4" s="8" t="n">
        <v>14.75</v>
      </c>
      <c r="O4" s="11" t="inlineStr">
        <is>
          <t>disaccordo</t>
        </is>
      </c>
      <c r="P4" s="8" t="n">
        <v>0.25</v>
      </c>
      <c r="Q4" s="8" t="n">
        <v>0.25</v>
      </c>
      <c r="R4" s="8" t="n">
        <v>0</v>
      </c>
      <c r="S4" s="8" t="n">
        <v>0.25</v>
      </c>
      <c r="T4" s="8" t="n">
        <v>0.25</v>
      </c>
      <c r="U4" s="8" t="n">
        <v>0</v>
      </c>
      <c r="V4" s="8" t="n">
        <v>0.25</v>
      </c>
    </row>
    <row r="5" ht="34" customHeight="1">
      <c r="A5" s="8" t="n">
        <v>3</v>
      </c>
      <c r="B5" s="8" t="n">
        <v>6</v>
      </c>
      <c r="C5" s="8" t="n">
        <v>10</v>
      </c>
      <c r="D5" s="8" t="n">
        <v>4</v>
      </c>
      <c r="E5" s="8" t="n">
        <v>35</v>
      </c>
      <c r="F5" s="8" t="inlineStr">
        <is>
          <t>Il punteggio di 35 riflette una situazione di normale operatività in un magazzino logistico, caratterizzata da rischi intrinseci ma senza pericoli imminenti visibili. La presenza di operatori a terra in una corsia stretta con scaffalature alte comporta un rischio moderato di caduta materiali o urti accidentali. L'uso di DPI (gilet ad alta visibilità) è parzialmente confermato, sebbene l'ambiguità sull'elmetto protettivo e lo spazio limitato richiedano costante attenzione.</t>
        </is>
      </c>
      <c r="G5" s="8" t="n">
        <v>35.49</v>
      </c>
      <c r="H5" s="9" t="inlineStr">
        <is>
          <t>giallo</t>
        </is>
      </c>
      <c r="I5" s="8" t="n">
        <v>15</v>
      </c>
      <c r="J5" s="8" t="inlineStr">
        <is>
          <t>Il livello di rischio è basso grazie all'ambiente ordinato, all'uso corretto dei DPI da parte dell'operatore e alla staticità delle attrezzature. Permane solo un rischio residuo generico legato alla presenza di scaffalature alte e alla parziale distorsione visiva in lontananza.</t>
        </is>
      </c>
      <c r="K5" s="8" t="n">
        <v>16.34</v>
      </c>
      <c r="L5" s="10" t="inlineStr">
        <is>
          <t>verde</t>
        </is>
      </c>
      <c r="M5" s="8" t="n">
        <v>20</v>
      </c>
      <c r="N5" s="8" t="n">
        <v>19.15</v>
      </c>
      <c r="O5" s="11" t="inlineStr">
        <is>
          <t>disaccordo</t>
        </is>
      </c>
      <c r="P5" s="8" t="n">
        <v>0.25</v>
      </c>
      <c r="Q5" s="8" t="n">
        <v>0.25</v>
      </c>
      <c r="R5" s="8" t="n">
        <v>0</v>
      </c>
      <c r="S5" s="8" t="n">
        <v>0</v>
      </c>
      <c r="T5" s="8" t="n">
        <v>0.25</v>
      </c>
      <c r="U5" s="8" t="n">
        <v>0</v>
      </c>
      <c r="V5" s="8" t="n">
        <v>0</v>
      </c>
    </row>
    <row r="6" ht="34" customHeight="1">
      <c r="A6" s="8" t="n">
        <v>4</v>
      </c>
      <c r="B6" s="8" t="n">
        <v>8</v>
      </c>
      <c r="C6" s="8" t="n">
        <v>12</v>
      </c>
      <c r="D6" s="8" t="n">
        <v>4</v>
      </c>
      <c r="E6" s="8" t="n">
        <v>25</v>
      </c>
      <c r="F6" s="8" t="inlineStr">
        <is>
          <t>Il rischio è stimato a 25 (basso/moderato). L'operatore indossa i DPI di base (gilet ad alta visibilità) e la corsia è sgombra da ostacoli. L'uso di un transpallet manuale riduce la gravità di potenziali impatti rispetto a mezzi motorizzati. Permangono i rischi intrinseci legati allo spazio limitato di manovra tra le scaffalature e alla presenza di una seconda persona sullo sfondo.</t>
        </is>
      </c>
      <c r="G6" s="8" t="n">
        <v>29.2</v>
      </c>
      <c r="H6" s="9" t="inlineStr">
        <is>
          <t>giallo</t>
        </is>
      </c>
      <c r="I6" s="8" t="n">
        <v>20</v>
      </c>
      <c r="J6" s="8" t="inlineStr">
        <is>
          <t>Il livello di rischio è basso poiché l'operatore indossa correttamente i DPI ad alta visibilità e il potenziale mezzo di movimentazione si trova a distanza di sicurezza in fondo alla corsia. Non si rilevano comportamenti scorretti o pericoli immediati di collisione.</t>
        </is>
      </c>
      <c r="K6" s="8" t="n">
        <v>19.79</v>
      </c>
      <c r="L6" s="10" t="inlineStr">
        <is>
          <t>verde</t>
        </is>
      </c>
      <c r="M6" s="8" t="n">
        <v>5</v>
      </c>
      <c r="N6" s="8" t="n">
        <v>9.41</v>
      </c>
      <c r="O6" s="11" t="inlineStr">
        <is>
          <t>disaccordo</t>
        </is>
      </c>
      <c r="P6" s="8" t="n">
        <v>0.25</v>
      </c>
      <c r="Q6" s="8" t="n">
        <v>0</v>
      </c>
      <c r="R6" s="8" t="n">
        <v>0</v>
      </c>
      <c r="S6" s="8" t="n">
        <v>0</v>
      </c>
      <c r="T6" s="8" t="n">
        <v>0</v>
      </c>
      <c r="U6" s="8" t="n">
        <v>0</v>
      </c>
      <c r="V6" s="8" t="n">
        <v>0</v>
      </c>
    </row>
    <row r="7" ht="34" customHeight="1">
      <c r="A7" s="8" t="n">
        <v>5</v>
      </c>
      <c r="B7" s="8" t="n">
        <v>10</v>
      </c>
      <c r="C7" s="8" t="n">
        <v>14</v>
      </c>
      <c r="D7" s="8" t="n">
        <v>4</v>
      </c>
      <c r="E7" s="8" t="n">
        <v>55</v>
      </c>
      <c r="F7" s="8" t="inlineStr">
        <is>
          <t>Il punteggio riflette un livello di rischio moderato (55/100). La compresenza di un operatore a terra e di mezzi di movimentazione all'interno di una corsia di stoccaggio stretta aumenta il rischio di investimento o urto. Sebbene l'operatore indossi un gilet ad alta visibilità, lo spazio di manovra limitato e la visibilità parziale dei DPI richiedono estrema cautela.</t>
        </is>
      </c>
      <c r="G7" s="8" t="n">
        <v>52.18</v>
      </c>
      <c r="H7" s="12" t="inlineStr">
        <is>
          <t>arancione</t>
        </is>
      </c>
      <c r="I7" s="8" t="n">
        <v>15</v>
      </c>
      <c r="J7" s="8" t="inlineStr">
        <is>
          <t>Il livello di rischio è basso poiché l'ambiente è ordinato, l'operatore indossa i DPI di base e il transpallet è attualmente fermo. Non si evidenziano comportamenti non conformi o pericoli immediati, permanendo solo il rischio intrinseco dell'attività.</t>
        </is>
      </c>
      <c r="K7" s="8" t="n">
        <v>16.92</v>
      </c>
      <c r="L7" s="10" t="inlineStr">
        <is>
          <t>verde</t>
        </is>
      </c>
      <c r="M7" s="8" t="n">
        <v>40</v>
      </c>
      <c r="N7" s="8" t="n">
        <v>35.26</v>
      </c>
      <c r="O7" s="11" t="inlineStr">
        <is>
          <t>disaccordo</t>
        </is>
      </c>
      <c r="P7" s="8" t="n">
        <v>0.25</v>
      </c>
      <c r="Q7" s="8" t="n">
        <v>0.25</v>
      </c>
      <c r="R7" s="8" t="n">
        <v>0</v>
      </c>
      <c r="S7" s="8" t="n">
        <v>0</v>
      </c>
      <c r="T7" s="8" t="n">
        <v>0.25</v>
      </c>
      <c r="U7" s="8" t="n">
        <v>0</v>
      </c>
      <c r="V7" s="8" t="n">
        <v>0</v>
      </c>
    </row>
    <row r="8" ht="34" customHeight="1">
      <c r="A8" s="8" t="n">
        <v>6</v>
      </c>
      <c r="B8" s="8" t="n">
        <v>12</v>
      </c>
      <c r="C8" s="8" t="n">
        <v>16</v>
      </c>
      <c r="D8" s="8" t="n">
        <v>4</v>
      </c>
      <c r="E8" s="8" t="n">
        <v>45</v>
      </c>
      <c r="F8" s="8" t="inlineStr">
        <is>
          <t>Il punteggio riflette un rischio moderato dovuto alla compresenza di un operatore a terra e di un carrello elevatore all'interno di una corsia stretta. Sebbene l'operatore indossi un gilet ad alta visibilità e il mezzo sia fermo o in lento movimento, la limitata larghezza della corsia e i potenziali angoli ciechi mantengono elevata la soglia di attenzione per prevenire investimenti accidentali.</t>
        </is>
      </c>
      <c r="G8" s="8" t="n">
        <v>47.87</v>
      </c>
      <c r="H8" s="9" t="inlineStr">
        <is>
          <t>giallo</t>
        </is>
      </c>
      <c r="I8" s="8" t="n">
        <v>35</v>
      </c>
      <c r="J8" s="8" t="inlineStr">
        <is>
          <t>Il rischio è moderato a causa della compresenza di un operatore a terra e di un carrello elevatore nella stessa corsia priva di barriere fisiche. La distanza tra i soggetti e l'uso di indumenti ad alta visibilità riducono la probabilità di un incidente immediato.</t>
        </is>
      </c>
      <c r="K8" s="8" t="n">
        <v>32.77</v>
      </c>
      <c r="L8" s="9" t="inlineStr">
        <is>
          <t>giallo</t>
        </is>
      </c>
      <c r="M8" s="8" t="n">
        <v>10</v>
      </c>
      <c r="N8" s="8" t="n">
        <v>15.1</v>
      </c>
      <c r="O8" s="10" t="inlineStr">
        <is>
          <t>accordo</t>
        </is>
      </c>
      <c r="P8" s="8" t="n">
        <v>0.5</v>
      </c>
      <c r="Q8" s="8" t="n">
        <v>0.25</v>
      </c>
      <c r="R8" s="8" t="n">
        <v>0</v>
      </c>
      <c r="S8" s="8" t="n">
        <v>0.5</v>
      </c>
      <c r="T8" s="8" t="n">
        <v>0.25</v>
      </c>
      <c r="U8" s="8" t="n">
        <v>0</v>
      </c>
      <c r="V8" s="8" t="n">
        <v>0</v>
      </c>
    </row>
    <row r="9" ht="34" customHeight="1">
      <c r="A9" s="8" t="n">
        <v>7</v>
      </c>
      <c r="B9" s="8" t="n">
        <v>14</v>
      </c>
      <c r="C9" s="8" t="n">
        <v>18</v>
      </c>
      <c r="D9" s="8" t="n">
        <v>4</v>
      </c>
      <c r="E9" s="8" t="n">
        <v>55</v>
      </c>
      <c r="F9" s="8" t="inlineStr">
        <is>
          <t>Il punteggio di 55 riflette un livello di rischio medio-alto dovuto alla compresenza di operatori a piedi e un carrello elevatore all'interno della stessa corsia stretta senza barriere fisiche di separazione. Sebbene gli operatori indossino indumenti ad alta visibilità e vi sia una temporanea distanza di sicurezza, la condivisione dello spazio operativo in un corridoio stretto aumenta intrinsecamente il rischio di investimento o near-miss in caso di manovre del mezzo non coordinate.</t>
        </is>
      </c>
      <c r="G9" s="8" t="n">
        <v>54.65</v>
      </c>
      <c r="H9" s="12" t="inlineStr">
        <is>
          <t>arancione</t>
        </is>
      </c>
      <c r="I9" s="8" t="n">
        <v>35</v>
      </c>
      <c r="J9" s="8" t="inlineStr">
        <is>
          <t>Il rischio è moderato a causa della compresenza di operatori a piedi e un carrello elevatore nello stesso corridoio senza segregazione fisica. La distanza tra i soggetti e l'uso di DPI ad alta visibilità riducono la probabilità di un incidente immediato.</t>
        </is>
      </c>
      <c r="K9" s="8" t="n">
        <v>34.11</v>
      </c>
      <c r="L9" s="9" t="inlineStr">
        <is>
          <t>giallo</t>
        </is>
      </c>
      <c r="M9" s="8" t="n">
        <v>20</v>
      </c>
      <c r="N9" s="8" t="n">
        <v>20.54</v>
      </c>
      <c r="O9" s="11" t="inlineStr">
        <is>
          <t>disaccordo</t>
        </is>
      </c>
      <c r="P9" s="8" t="n">
        <v>0.5</v>
      </c>
      <c r="Q9" s="8" t="n">
        <v>0.25</v>
      </c>
      <c r="R9" s="8" t="n">
        <v>0</v>
      </c>
      <c r="S9" s="8" t="n">
        <v>0.25</v>
      </c>
      <c r="T9" s="8" t="n">
        <v>0.25</v>
      </c>
      <c r="U9" s="8" t="n">
        <v>0</v>
      </c>
      <c r="V9" s="8" t="n">
        <v>0</v>
      </c>
    </row>
    <row r="10" ht="34" customHeight="1">
      <c r="A10" s="8" t="n">
        <v>8</v>
      </c>
      <c r="B10" s="8" t="n">
        <v>16</v>
      </c>
      <c r="C10" s="8" t="n">
        <v>20</v>
      </c>
      <c r="D10" s="8" t="n">
        <v>4</v>
      </c>
      <c r="E10" s="8" t="n">
        <v>45</v>
      </c>
      <c r="F10" s="8" t="inlineStr">
        <is>
          <t>Il punteggio di 45 riflette un livello di rischio moderato. La compresenza di un operatore a terra e di un carrello elevatore nello stesso corridoio operativo rappresenta un pericolo intrinseco di investimento. Sebbene l'operatore indossi un gilet ad alta visibilità e il mezzo sia distante sullo sfondo, la presenza di ostacoli fisici in primo piano (transpallet e carrello di servizio) riduce lo spazio di manovra e aumenta il rischio di distrazione o mancata visibilità reciproca.</t>
        </is>
      </c>
      <c r="G10" s="8" t="n">
        <v>48.86</v>
      </c>
      <c r="H10" s="9" t="inlineStr">
        <is>
          <t>giallo</t>
        </is>
      </c>
      <c r="I10" s="8" t="n">
        <v>45</v>
      </c>
      <c r="J10" s="8" t="inlineStr">
        <is>
          <t>Il punteggio riflette un rischio moderato dovuto alla compresenza di un carrello elevatore in movimento e di un operatore a piedi nella stessa corsia senza barriere fisiche di separazione. Sebbene vi sia distanza e l'operatore indossi un gilet ad alta visibilità, la mancanza di segregazione strutturale e la visibilità limitata sul fondo richiedono costante attenzione.</t>
        </is>
      </c>
      <c r="K10" s="8" t="n">
        <v>43.14</v>
      </c>
      <c r="L10" s="9" t="inlineStr">
        <is>
          <t>giallo</t>
        </is>
      </c>
      <c r="M10" s="8" t="n">
        <v>0</v>
      </c>
      <c r="N10" s="8" t="n">
        <v>5.72</v>
      </c>
      <c r="O10" s="10" t="inlineStr">
        <is>
          <t>accordo</t>
        </is>
      </c>
      <c r="P10" s="8" t="n">
        <v>0.5</v>
      </c>
      <c r="Q10" s="8" t="n">
        <v>0.25</v>
      </c>
      <c r="R10" s="8" t="n">
        <v>0</v>
      </c>
      <c r="S10" s="8" t="n">
        <v>0.25</v>
      </c>
      <c r="T10" s="8" t="n">
        <v>0</v>
      </c>
      <c r="U10" s="8" t="n">
        <v>0</v>
      </c>
      <c r="V10" s="8" t="n">
        <v>0</v>
      </c>
    </row>
    <row r="11" ht="34" customHeight="1">
      <c r="A11" s="8" t="n">
        <v>9</v>
      </c>
      <c r="B11" s="8" t="n">
        <v>18</v>
      </c>
      <c r="C11" s="8" t="n">
        <v>22</v>
      </c>
      <c r="D11" s="8" t="n">
        <v>4</v>
      </c>
      <c r="E11" s="8" t="n">
        <v>45</v>
      </c>
      <c r="F11" s="8" t="inlineStr">
        <is>
          <t>Il punteggio di 45 indica un rischio moderato. La compresenza di pedoni e un carrello elevatore nella stessa corsia, in assenza di barriere fisiche di separazione, costituisce un rischio latente di investimento. Tuttavia, il carrello è attualmente distante e apparentemente fermo o in manovra lenta, e un operatore indossa indumenti ad alta visibilità, mitigando l'imminenza del pericolo.</t>
        </is>
      </c>
      <c r="G11" s="8" t="n">
        <v>46.54</v>
      </c>
      <c r="H11" s="9" t="inlineStr">
        <is>
          <t>giallo</t>
        </is>
      </c>
      <c r="I11" s="8" t="n">
        <v>72</v>
      </c>
      <c r="J11" s="8" t="inlineStr">
        <is>
          <t>Il punteggio riflette il rischio significativo di investimento dovuto alla compresenza di pedoni e un carrello elevatore nella stessa corsia senza barriere fisiche di separazione. La visibilità potenzialmente ridotta dalle scaffalature aumenta la probabilità di collisione durante le manovre del mezzo.</t>
        </is>
      </c>
      <c r="K11" s="8" t="n">
        <v>67.20999999999999</v>
      </c>
      <c r="L11" s="12" t="inlineStr">
        <is>
          <t>arancione</t>
        </is>
      </c>
      <c r="M11" s="8" t="n">
        <v>27</v>
      </c>
      <c r="N11" s="8" t="n">
        <v>20.67</v>
      </c>
      <c r="O11" s="11" t="inlineStr">
        <is>
          <t>disaccordo</t>
        </is>
      </c>
      <c r="P11" s="8" t="n">
        <v>0.75</v>
      </c>
      <c r="Q11" s="8" t="n">
        <v>0.5</v>
      </c>
      <c r="R11" s="8" t="n">
        <v>0.5</v>
      </c>
      <c r="S11" s="8" t="n">
        <v>0.5</v>
      </c>
      <c r="T11" s="8" t="n">
        <v>0.25</v>
      </c>
      <c r="U11" s="8" t="n">
        <v>0</v>
      </c>
      <c r="V11" s="8" t="n">
        <v>0</v>
      </c>
    </row>
    <row r="12" ht="34" customHeight="1">
      <c r="A12" s="8" t="n">
        <v>10</v>
      </c>
      <c r="B12" s="8" t="n">
        <v>20</v>
      </c>
      <c r="C12" s="8" t="n">
        <v>24</v>
      </c>
      <c r="D12" s="8" t="n">
        <v>4</v>
      </c>
      <c r="E12" s="8" t="n">
        <v>40</v>
      </c>
      <c r="F12" s="8" t="inlineStr">
        <is>
          <t>Il punteggio di 40 indica un rischio moderato. Sebbene l'operatore indossi un gilet ad alta visibilità e il carrello elevatore si trovi sullo sfondo a velocità ridotta o fermo, la compresenza di pedoni e mezzi semoventi nella stessa corsia senza barriere fisiche di segregazione costituisce un rischio intrinseco di interferenza uomo-macchina.</t>
        </is>
      </c>
      <c r="G12" s="8" t="n">
        <v>42.62</v>
      </c>
      <c r="H12" s="9" t="inlineStr">
        <is>
          <t>giallo</t>
        </is>
      </c>
      <c r="I12" s="8" t="n">
        <v>45</v>
      </c>
      <c r="J12" s="8" t="inlineStr">
        <is>
          <t>Il punteggio riflette un rischio moderato dovuto alla compresenza di un operatore a terra e di un carrello elevatore in un corridoio stretto senza barriere fisiche. L'assenza di segregazione delle vie di transito aumenta la probabilità di interferenze uomo-mezzo o di urti accidentali contro le scaffalature.</t>
        </is>
      </c>
      <c r="K12" s="8" t="n">
        <v>53.88</v>
      </c>
      <c r="L12" s="12" t="inlineStr">
        <is>
          <t>arancione</t>
        </is>
      </c>
      <c r="M12" s="8" t="n">
        <v>5</v>
      </c>
      <c r="N12" s="8" t="n">
        <v>11.26</v>
      </c>
      <c r="O12" s="11" t="inlineStr">
        <is>
          <t>disaccordo</t>
        </is>
      </c>
      <c r="P12" s="8" t="n">
        <v>0.5</v>
      </c>
      <c r="Q12" s="8" t="n">
        <v>0.25</v>
      </c>
      <c r="R12" s="8" t="n">
        <v>0.25</v>
      </c>
      <c r="S12" s="8" t="n">
        <v>0.5</v>
      </c>
      <c r="T12" s="8" t="n">
        <v>0.25</v>
      </c>
      <c r="U12" s="8" t="n">
        <v>0</v>
      </c>
      <c r="V12" s="8" t="n">
        <v>0.25</v>
      </c>
    </row>
    <row r="13" ht="34" customHeight="1">
      <c r="A13" s="8" t="n">
        <v>11</v>
      </c>
      <c r="B13" s="8" t="n">
        <v>22</v>
      </c>
      <c r="C13" s="8" t="n">
        <v>26</v>
      </c>
      <c r="D13" s="8" t="n">
        <v>4</v>
      </c>
      <c r="E13" s="8" t="n">
        <v>60</v>
      </c>
      <c r="F13" s="8" t="inlineStr">
        <is>
          <t>Il punteggio di 60 riflette un rischio moderato-alto dovuto alla compresenza di un carrello elevatore in movimento e di un operatore a terra nella stessa area di transito, in assenza di barriere fisiche di segregazione. Sebbene l'operatore indossi un gilet ad alta visibilità, la mancanza di una delimitazione strutturale per i pedoni aumenta la probabilità di investimento in caso di manovre improvvise o distrazioni.</t>
        </is>
      </c>
      <c r="G13" s="8" t="n">
        <v>58.05</v>
      </c>
      <c r="H13" s="12" t="inlineStr">
        <is>
          <t>arancione</t>
        </is>
      </c>
      <c r="I13" s="8" t="n">
        <v>65</v>
      </c>
      <c r="J13" s="8" t="inlineStr">
        <is>
          <t>Il punteggio riflette un rischio significativo dovuto alla compresenza di un carrello elevatore in movimento e operatori a piedi nello stesso corridoio senza barriere fisiche di separazione. Questa configurazione aumenta notevolmente la probabilità di un'interferenza uomo-mezzo o di una collisione accidentale.</t>
        </is>
      </c>
      <c r="K13" s="8" t="n">
        <v>65.55</v>
      </c>
      <c r="L13" s="12" t="inlineStr">
        <is>
          <t>arancione</t>
        </is>
      </c>
      <c r="M13" s="8" t="n">
        <v>5</v>
      </c>
      <c r="N13" s="8" t="n">
        <v>7.5</v>
      </c>
      <c r="O13" s="10" t="inlineStr">
        <is>
          <t>accordo</t>
        </is>
      </c>
      <c r="P13" s="8" t="n">
        <v>0.75</v>
      </c>
      <c r="Q13" s="8" t="n">
        <v>0.25</v>
      </c>
      <c r="R13" s="8" t="n">
        <v>0.25</v>
      </c>
      <c r="S13" s="8" t="n">
        <v>0.5</v>
      </c>
      <c r="T13" s="8" t="n">
        <v>0.25</v>
      </c>
      <c r="U13" s="8" t="n">
        <v>0</v>
      </c>
      <c r="V13" s="8" t="n">
        <v>0</v>
      </c>
    </row>
    <row r="14" ht="34" customHeight="1">
      <c r="A14" s="8" t="n">
        <v>12</v>
      </c>
      <c r="B14" s="8" t="n">
        <v>24</v>
      </c>
      <c r="C14" s="8" t="n">
        <v>28</v>
      </c>
      <c r="D14" s="8" t="n">
        <v>4</v>
      </c>
      <c r="E14" s="8" t="n">
        <v>98</v>
      </c>
      <c r="F14" s="8" t="inlineStr">
        <is>
          <t>Il punteggio riflette una situazione di imminente pericolo di vita e gravità estrema. Il crollo strutturale improvviso e massiccio di scaffalature industriali cariche di merci pesanti avviene in presenza diretta di almeno due operatori a terra e un carrello elevatore nel corridoio. L'evento comporta un rischio altissimo di schiacciamento, seppellimento e lesioni potenzialmente fatali per il personale nell'area di caduta.</t>
        </is>
      </c>
      <c r="G14" s="8" t="n">
        <v>91.52</v>
      </c>
      <c r="H14" s="11" t="inlineStr">
        <is>
          <t>rosso</t>
        </is>
      </c>
      <c r="I14" s="8" t="n">
        <v>98</v>
      </c>
      <c r="J14" s="8" t="inlineStr">
        <is>
          <t>Il punteggio riflette la gravità estrema del crollo strutturale improvviso della scaffalatura, che investe direttamente i lavoratori a terra e il carrellista. L'evento in corso determina un rischio immediato e potenzialmente fatale di schiacciamento e seppellimento sotto tonnellate di merci.</t>
        </is>
      </c>
      <c r="K14" s="8" t="n">
        <v>93.27</v>
      </c>
      <c r="L14" s="11" t="inlineStr">
        <is>
          <t>rosso</t>
        </is>
      </c>
      <c r="M14" s="8" t="n">
        <v>0</v>
      </c>
      <c r="N14" s="8" t="n">
        <v>1.75</v>
      </c>
      <c r="O14" s="10" t="inlineStr">
        <is>
          <t>accordo</t>
        </is>
      </c>
      <c r="P14" s="8" t="n">
        <v>0.75</v>
      </c>
      <c r="Q14" s="8" t="n">
        <v>0.5</v>
      </c>
      <c r="R14" s="8" t="n">
        <v>0.75</v>
      </c>
      <c r="S14" s="8" t="n">
        <v>0.5</v>
      </c>
      <c r="T14" s="8" t="n">
        <v>1</v>
      </c>
      <c r="U14" s="8" t="n">
        <v>0</v>
      </c>
      <c r="V14" s="8" t="n">
        <v>0</v>
      </c>
    </row>
    <row r="15" ht="34" customHeight="1">
      <c r="A15" s="8" t="n">
        <v>13</v>
      </c>
      <c r="B15" s="8" t="n">
        <v>26</v>
      </c>
      <c r="C15" s="8" t="n">
        <v>30</v>
      </c>
      <c r="D15" s="8" t="n">
        <v>4</v>
      </c>
      <c r="E15" s="8" t="n">
        <v>100</v>
      </c>
      <c r="F15" s="8" t="inlineStr">
        <is>
          <t>Il punteggio massimo di 100 è motivato dal cedimento strutturale catastrofico della scaffalatura pesante, che si riversa completamente sulla corsia di lavoro. La presenza accertata di almeno due operatori a terra e di un carrello elevatore nell'area immediatamente interessata dal crollo, ora completamente sepolta sotto tonnellate di merci e detriti con visibilità azzerata, configura uno scenario di imminente e gravissimo pericolo di morte o lesioni fatali per il personale.</t>
        </is>
      </c>
      <c r="G15" s="8" t="n">
        <v>97.11</v>
      </c>
      <c r="H15" s="11" t="inlineStr">
        <is>
          <t>rosso</t>
        </is>
      </c>
      <c r="I15" s="8" t="n">
        <v>98</v>
      </c>
      <c r="J15" s="8" t="inlineStr">
        <is>
          <t>Il punteggio riflette una situazione di imminente pericolo di vita dovuto al collasso totale della scaffalatura con merci pesanti che ostruiscono le vie di fuga. La presenza di un operatore a piedi e di un carrello elevatore in condizioni di visibilità azzerata dalla polvere rende il rischio di schiacciamento o investimento estremamente critico.</t>
        </is>
      </c>
      <c r="K15" s="8" t="n">
        <v>96.11</v>
      </c>
      <c r="L15" s="11" t="inlineStr">
        <is>
          <t>rosso</t>
        </is>
      </c>
      <c r="M15" s="8" t="n">
        <v>2</v>
      </c>
      <c r="N15" s="8" t="n">
        <v>1</v>
      </c>
      <c r="O15" s="10" t="inlineStr">
        <is>
          <t>accordo</t>
        </is>
      </c>
      <c r="P15" s="8" t="n">
        <v>0.5</v>
      </c>
      <c r="Q15" s="8" t="n">
        <v>0.75</v>
      </c>
      <c r="R15" s="8" t="n">
        <v>0</v>
      </c>
      <c r="S15" s="8" t="n">
        <v>0.5</v>
      </c>
      <c r="T15" s="8" t="n">
        <v>1</v>
      </c>
      <c r="U15" s="8" t="n">
        <v>0</v>
      </c>
      <c r="V15" s="8" t="n">
        <v>0</v>
      </c>
    </row>
    <row r="16" ht="34" customHeight="1">
      <c r="A16" s="8" t="n">
        <v>14</v>
      </c>
      <c r="B16" s="8" t="n">
        <v>28</v>
      </c>
      <c r="C16" s="8" t="n">
        <v>32</v>
      </c>
      <c r="D16" s="8" t="n">
        <v>4</v>
      </c>
      <c r="E16" s="8" t="n">
        <v>100</v>
      </c>
      <c r="F16" s="8" t="inlineStr">
        <is>
          <t>Il punteggio massimo di 100 è motivato da un crollo strutturale catastrofico in corso con effetto domino. La caduta massiccia di merci pesanti e detriti, l'azzeramento della visibilità dovuto alla densa nube di polvere e il potenziale seppellimento di un carrello elevatore rappresentano una situazione di imminente pericolo di morte e lesioni gravissime per chiunque si trovi nell'area, con alto rischio di ulteriori cedimenti delle strutture adiacenti.</t>
        </is>
      </c>
      <c r="G16" s="8" t="n">
        <v>98.84</v>
      </c>
      <c r="H16" s="11" t="inlineStr">
        <is>
          <t>rosso</t>
        </is>
      </c>
      <c r="I16" s="8" t="n">
        <v>95</v>
      </c>
      <c r="J16" s="8" t="inlineStr">
        <is>
          <t>Il punteggio riflette una situazione di emergenza critica dovuta al collasso strutturale massivo delle scaffalature che ha travolto un carrello elevatore. La presenza di polvere e l'instabilità residua creano un rischio estremo per l'incolumità di eventuali operatori coinvolti e ostacolano i soccorsi.</t>
        </is>
      </c>
      <c r="K16" s="8" t="n">
        <v>95.44</v>
      </c>
      <c r="L16" s="11" t="inlineStr">
        <is>
          <t>rosso</t>
        </is>
      </c>
      <c r="M16" s="8" t="n">
        <v>5</v>
      </c>
      <c r="N16" s="8" t="n">
        <v>3.4</v>
      </c>
      <c r="O16" s="10" t="inlineStr">
        <is>
          <t>accordo</t>
        </is>
      </c>
      <c r="P16" s="8" t="n">
        <v>0</v>
      </c>
      <c r="Q16" s="8" t="n">
        <v>0.25</v>
      </c>
      <c r="R16" s="8" t="n">
        <v>0</v>
      </c>
      <c r="S16" s="8" t="n">
        <v>0.75</v>
      </c>
      <c r="T16" s="8" t="n">
        <v>1</v>
      </c>
      <c r="U16" s="8" t="n">
        <v>0</v>
      </c>
      <c r="V16" s="8" t="n">
        <v>0</v>
      </c>
    </row>
    <row r="17" ht="34" customHeight="1">
      <c r="A17" s="8" t="n">
        <v>15</v>
      </c>
      <c r="B17" s="8" t="n">
        <v>30</v>
      </c>
      <c r="C17" s="8" t="n">
        <v>34</v>
      </c>
      <c r="D17" s="8" t="n">
        <v>4</v>
      </c>
      <c r="E17" s="8" t="n">
        <v>98</v>
      </c>
      <c r="F17" s="8" t="inlineStr">
        <is>
          <t>Il punteggio di 98 riflette una situazione di imminente e gravissimo pericolo per la vita e la sicurezza. Si è verificato un crollo strutturale catastrofico con totale ostruzione della corsia, presenza di una densa nube di polvere e il forte sospetto di operatori o macchinari sepolti sotto le macerie. Permane un rischio elevatissimo di crolli secondari a catena delle strutture adiacenti instabili e difficoltà estreme di evacuazione e soccorso.</t>
        </is>
      </c>
      <c r="G17" s="8" t="n">
        <v>98.34</v>
      </c>
      <c r="H17" s="11" t="inlineStr">
        <is>
          <t>rosso</t>
        </is>
      </c>
      <c r="I17" s="8" t="n">
        <v>95</v>
      </c>
      <c r="J17" s="8" t="inlineStr">
        <is>
          <t>Il punteggio riflette una situazione di pericolo critico dovuta al collasso strutturale totale delle scaffalature e all'estrema instabilità dei detriti accumulati. La presenza di polvere sospesa e di un mezzo parzialmente sepolto aumenta drasticamente il rischio di crolli secondari durante qualsiasi attività di accesso o sgombero.</t>
        </is>
      </c>
      <c r="K17" s="8" t="n">
        <v>95.18000000000001</v>
      </c>
      <c r="L17" s="11" t="inlineStr">
        <is>
          <t>rosso</t>
        </is>
      </c>
      <c r="M17" s="8" t="n">
        <v>3</v>
      </c>
      <c r="N17" s="8" t="n">
        <v>3.16</v>
      </c>
      <c r="O17" s="10" t="inlineStr">
        <is>
          <t>accordo</t>
        </is>
      </c>
      <c r="P17" s="8" t="n">
        <v>0</v>
      </c>
      <c r="Q17" s="8" t="n">
        <v>0.25</v>
      </c>
      <c r="R17" s="8" t="n">
        <v>0</v>
      </c>
      <c r="S17" s="8" t="n">
        <v>0.25</v>
      </c>
      <c r="T17" s="8" t="n">
        <v>1</v>
      </c>
      <c r="U17" s="8" t="n">
        <v>0</v>
      </c>
      <c r="V17" s="8" t="n">
        <v>0</v>
      </c>
    </row>
    <row r="18" ht="34" customHeight="1">
      <c r="A18" s="8" t="n">
        <v>16</v>
      </c>
      <c r="B18" s="8" t="n">
        <v>32</v>
      </c>
      <c r="C18" s="8" t="n">
        <v>35.867</v>
      </c>
      <c r="D18" s="8" t="n">
        <v>3.867</v>
      </c>
      <c r="E18" s="8" t="n">
        <v>60</v>
      </c>
      <c r="F18" s="8" t="inlineStr">
        <is>
          <t>Il punteggio di 60 riflette un livello di rischio moderato-alto (coerente con la valutazione 3/5 fornita). La presenza di polvere in sospensione indica un recente crollo o cedimento strutturale dei materiali accumulati disordinatamente nella gabbia. I rischi principali includono il potenziale cedimento della griglia di contenimento sotto il peso dei detriti e i gravi pericoli di infortunio per gli operatori durante le delicate operazioni di sblocco e rimozione manuale.</t>
        </is>
      </c>
      <c r="G18" s="8" t="n">
        <v>75.34</v>
      </c>
      <c r="H18" s="11" t="inlineStr">
        <is>
          <t>rosso</t>
        </is>
      </c>
      <c r="I18" s="8" t="n">
        <v>95</v>
      </c>
      <c r="J18" s="8" t="inlineStr">
        <is>
          <t>Il punteggio riflette la gravità del crollo strutturale già avvenuto e l'estrema instabilità delle scaffalature residue, che presentano un rischio imminente di cedimenti secondari. La presenza di polvere in sospensione riduce ulteriormente la visibilità, rendendo l'area estremamente pericolosa per chiunque vi acceda.</t>
        </is>
      </c>
      <c r="K18" s="8" t="n">
        <v>95.06999999999999</v>
      </c>
      <c r="L18" s="11" t="inlineStr">
        <is>
          <t>rosso</t>
        </is>
      </c>
      <c r="M18" s="8" t="n">
        <v>35</v>
      </c>
      <c r="N18" s="8" t="n">
        <v>19.73</v>
      </c>
      <c r="O18" s="10" t="inlineStr">
        <is>
          <t>accordo</t>
        </is>
      </c>
      <c r="P18" s="8" t="n">
        <v>0</v>
      </c>
      <c r="Q18" s="8" t="n">
        <v>0.25</v>
      </c>
      <c r="R18" s="8" t="n">
        <v>0</v>
      </c>
      <c r="S18" s="8" t="n">
        <v>0</v>
      </c>
      <c r="T18" s="8" t="n">
        <v>1</v>
      </c>
      <c r="U18" s="8" t="n">
        <v>0</v>
      </c>
      <c r="V18" s="8" t="n">
        <v>0</v>
      </c>
    </row>
    <row r="19" ht="34" customHeight="1">
      <c r="A19" s="8" t="n">
        <v>17</v>
      </c>
      <c r="B19" s="8" t="n">
        <v>34</v>
      </c>
      <c r="C19" s="8" t="n">
        <v>35.867</v>
      </c>
      <c r="D19" s="8" t="n">
        <v>1.867</v>
      </c>
      <c r="E19" s="8" t="n">
        <v>35</v>
      </c>
      <c r="F19" s="8" t="inlineStr">
        <is>
          <t>Il punteggio di 35 indica un rischio moderato. La presenza di corpi estranei rigidi (elementi rossi e gialli) nel flusso di materiale organico all'interno di un compattatore o trituratore può causare gravi danni meccanici o inceppamenti. Al momento non sono presenti operatori nell'area, il che azzera il rischio di infortunio immediato, ma l'eventuale rimozione manuale del blocco senza l'applicazione delle procedure di Lockout/Tagout (LOTO) rappresenterebbe un grave pericolo potenziale.</t>
        </is>
      </c>
      <c r="G19" s="8" t="n">
        <v>51.14</v>
      </c>
      <c r="H19" s="12" t="inlineStr">
        <is>
          <t>arancione</t>
        </is>
      </c>
      <c r="I19" s="8" t="n">
        <v>0</v>
      </c>
      <c r="J19" s="8" t="inlineStr">
        <is>
          <t>Il punteggio di rischio è nullo a causa della totale assenza di personale operativo, veicoli o elementi vulnerabili esposti nella scena. Il nastro trasportatore opera in un ambiente confinato senza alcuna interazione pericolosa rilevabile.</t>
        </is>
      </c>
      <c r="K19" s="8" t="n">
        <v>38.03</v>
      </c>
      <c r="L19" s="9" t="inlineStr">
        <is>
          <t>giallo</t>
        </is>
      </c>
      <c r="M19" s="8" t="n">
        <v>35</v>
      </c>
      <c r="N19" s="8" t="n">
        <v>13.11</v>
      </c>
      <c r="O19" s="11" t="inlineStr">
        <is>
          <t>disaccordo</t>
        </is>
      </c>
      <c r="P19" s="8" t="n">
        <v>0</v>
      </c>
      <c r="Q19" s="8" t="n">
        <v>0</v>
      </c>
      <c r="R19" s="8" t="n">
        <v>0</v>
      </c>
      <c r="S19" s="8" t="n">
        <v>0</v>
      </c>
      <c r="T19" s="8" t="n">
        <v>0</v>
      </c>
      <c r="U19" s="8" t="n">
        <v>0</v>
      </c>
      <c r="V19"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2026-07-27T15:36:57Z</dcterms:created>
  <dcterms:modified xmlns:dcterms="http://purl.org/dc/terms/" xmlns:xsi="http://www.w3.org/2001/XMLSchema-instance" xsi:type="dcterms:W3CDTF">2026-07-27T15:36:57Z</dcterms:modified>
</cp:coreProperties>
</file>