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CE4D6"/>
      </patternFill>
    </fill>
    <fill>
      <patternFill patternType="solid">
        <fgColor rgb="00F4CCCC"/>
      </patternFill>
    </fill>
    <fill>
      <patternFill patternType="solid">
        <fgColor rgb="00C6EFC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6" borderId="2" applyAlignment="1" pivotButton="0" quotePrefix="0" xfId="0">
      <alignment horizontal="left" vertical="top" wrapText="1"/>
    </xf>
    <xf numFmtId="0" fontId="3" fillId="11" borderId="2" applyAlignment="1" pivotButton="0" quotePrefix="0" xfId="0">
      <alignment horizontal="left" vertical="top" wrapText="1"/>
    </xf>
    <xf numFmtId="0" fontId="3" fillId="10"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'vlm_only_results'!$A$2:$A$19</f>
            </numRef>
          </cat>
          <val>
            <numRef>
              <f>'vlm_only_results'!$G$2:$G$19</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'vlm_only_results'!$A$2:$A$19</f>
            </numRef>
          </cat>
          <val>
            <numRef>
              <f>'vlm_only_results'!$K$2:$K$19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30</v>
      </c>
      <c r="F2" s="8" t="inlineStr">
        <is>
          <t>Il punteggio riflette un rischio basso-moderato. Gli operatori indossano correttamente i DPI necessari (gilet ad alta visibilità ed elmetti) e la pavimentazione è sgombra da ostacoli. Tuttavia, la circolazione a piedi in una corsia di stoccaggio verticale ad alta densità comporta rischi intrinseci legati a potenziali punti ciechi, possibili interferenze con mezzi di movimentazione non visibili e rischio di caduta materiali dall'alto.</t>
        </is>
      </c>
      <c r="G2" s="8" t="n">
        <v>30</v>
      </c>
      <c r="H2" s="9" t="inlineStr">
        <is>
          <t>giallo</t>
        </is>
      </c>
      <c r="I2" s="8" t="n">
        <v>20</v>
      </c>
      <c r="J2" s="8" t="inlineStr">
        <is>
          <t>Il livello di rischio è basso poiché non vi sono mezzi in movimento nel corridoio e gli operatori indossano i gilet ad alta visibilità. Tuttavia, la presenza di attrezzature a terra e la movimentazione manuale richiedono attenzione per prevenire inciampi o piccoli infortuni.</t>
        </is>
      </c>
      <c r="K2" s="8" t="n">
        <v>20</v>
      </c>
      <c r="L2" s="10" t="inlineStr">
        <is>
          <t>verde</t>
        </is>
      </c>
      <c r="M2" s="8" t="n">
        <v>10</v>
      </c>
      <c r="N2" s="8" t="n">
        <v>10</v>
      </c>
      <c r="O2" s="11" t="inlineStr">
        <is>
          <t>disaccordo</t>
        </is>
      </c>
      <c r="P2" s="8" t="n">
        <v>0</v>
      </c>
      <c r="Q2" s="8" t="n">
        <v>0.25</v>
      </c>
      <c r="R2" s="8" t="n">
        <v>0.25</v>
      </c>
      <c r="S2" s="8" t="n">
        <v>0</v>
      </c>
      <c r="T2" s="8" t="n">
        <v>0.25</v>
      </c>
      <c r="U2" s="8" t="n">
        <v>0</v>
      </c>
      <c r="V2" s="8" t="n">
        <v>0.25</v>
      </c>
    </row>
    <row r="3" ht="34" customHeight="1">
      <c r="A3" s="8" t="n">
        <v>1</v>
      </c>
      <c r="B3" s="8" t="n">
        <v>2</v>
      </c>
      <c r="C3" s="8" t="n">
        <v>6</v>
      </c>
      <c r="D3" s="8" t="n">
        <v>4</v>
      </c>
      <c r="E3" s="8" t="n">
        <v>30</v>
      </c>
      <c r="F3" s="8" t="inlineStr">
        <is>
          <t>Il punteggio riflette una situazione operativa standard con rischi intrinseci moderati. Gli operatori indossano i gilet ad alta visibilità e la pavimentazione è sgombra. Tuttavia, lo spazio di manovra limitato nella corsia stretta e la presenza di scaffalature verticali cariche di merci introducono rischi potenziali di schiacciamento o caduta di materiali dall'alto, che richiedono costante coordinazione e vigilanza.</t>
        </is>
      </c>
      <c r="G3" s="8" t="n">
        <v>30</v>
      </c>
      <c r="H3" s="9" t="inlineStr">
        <is>
          <t>giallo</t>
        </is>
      </c>
      <c r="I3" s="8" t="n">
        <v>10</v>
      </c>
      <c r="J3" s="8" t="inlineStr">
        <is>
          <t>L'ambiente si presenta ordinato e conforme, con gli operatori che indossano correttamente i DPI previsti. Non si rilevano comportamenti pericolosi o mezzi in movimento, mantenendo il livello di rischio al minimo.</t>
        </is>
      </c>
      <c r="K3" s="8" t="n">
        <v>14</v>
      </c>
      <c r="L3" s="10" t="inlineStr">
        <is>
          <t>verde</t>
        </is>
      </c>
      <c r="M3" s="8" t="n">
        <v>20</v>
      </c>
      <c r="N3" s="8" t="n">
        <v>16</v>
      </c>
      <c r="O3" s="11" t="inlineStr">
        <is>
          <t>disaccordo</t>
        </is>
      </c>
      <c r="P3" s="8" t="n">
        <v>0</v>
      </c>
      <c r="Q3" s="8" t="n">
        <v>0</v>
      </c>
      <c r="R3" s="8" t="n">
        <v>0</v>
      </c>
      <c r="S3" s="8" t="n">
        <v>0</v>
      </c>
      <c r="T3" s="8" t="n">
        <v>0</v>
      </c>
      <c r="U3" s="8" t="n">
        <v>0</v>
      </c>
      <c r="V3" s="8" t="n">
        <v>0.25</v>
      </c>
    </row>
    <row r="4" ht="34" customHeight="1">
      <c r="A4" s="8" t="n">
        <v>2</v>
      </c>
      <c r="B4" s="8" t="n">
        <v>4</v>
      </c>
      <c r="C4" s="8" t="n">
        <v>8</v>
      </c>
      <c r="D4" s="8" t="n">
        <v>4</v>
      </c>
      <c r="E4" s="8" t="n">
        <v>30</v>
      </c>
      <c r="F4" s="8" t="inlineStr">
        <is>
          <t>Il punteggio di 30 riflette una situazione operativa standard con rischi potenziali ma non imminenti. La presenza di operatori a piedi in una corsia di stoccaggio verticale comporta rischi intrinseci di caduta materiali e interferenza con mezzi di movimentazione. Sebbene l'operatore indossi il gilet ad alta visibilità, l'incertezza sull'uso dell'elmetto e la visibilità ridotta sullo sfondo richiedono attenzione, pur in assenza di pericoli immediati.</t>
        </is>
      </c>
      <c r="G4" s="8" t="n">
        <v>30</v>
      </c>
      <c r="H4" s="9" t="inlineStr">
        <is>
          <t>giallo</t>
        </is>
      </c>
      <c r="I4" s="8" t="n">
        <v>15</v>
      </c>
      <c r="J4" s="8" t="inlineStr">
        <is>
          <t>Il livello di rischio è basso poiché gli operatori indossano correttamente i DPI e l'ambiente è organizzato e privo di mezzi in movimento. Permangono solo rischi minimi e intrinseci legati alla presenza di scaffalature alte e alla movimentazione manuale dei carichi.</t>
        </is>
      </c>
      <c r="K4" s="8" t="n">
        <v>15.85</v>
      </c>
      <c r="L4" s="10" t="inlineStr">
        <is>
          <t>verde</t>
        </is>
      </c>
      <c r="M4" s="8" t="n">
        <v>15</v>
      </c>
      <c r="N4" s="8" t="n">
        <v>14.15</v>
      </c>
      <c r="O4" s="11" t="inlineStr">
        <is>
          <t>disaccordo</t>
        </is>
      </c>
      <c r="P4" s="8" t="n">
        <v>0</v>
      </c>
      <c r="Q4" s="8" t="n">
        <v>0.25</v>
      </c>
      <c r="R4" s="8" t="n">
        <v>0</v>
      </c>
      <c r="S4" s="8" t="n">
        <v>0</v>
      </c>
      <c r="T4" s="8" t="n">
        <v>0.25</v>
      </c>
      <c r="U4" s="8" t="n">
        <v>0</v>
      </c>
      <c r="V4" s="8" t="n">
        <v>0.25</v>
      </c>
    </row>
    <row r="5" ht="34" customHeight="1">
      <c r="A5" s="8" t="n">
        <v>3</v>
      </c>
      <c r="B5" s="8" t="n">
        <v>6</v>
      </c>
      <c r="C5" s="8" t="n">
        <v>10</v>
      </c>
      <c r="D5" s="8" t="n">
        <v>4</v>
      </c>
      <c r="E5" s="8" t="n">
        <v>25</v>
      </c>
      <c r="F5" s="8" t="inlineStr">
        <is>
          <t>Il punteggio di rischio è stimato a 25 (basso-moderato). L'operatore indossa correttamente il gilet ad alta visibilità e opera in una corsia sgombra. Tuttavia, la mancata verifica certa dell'elmetto protettivo e la presenza di scaffalature alte con carichi sospesi mantengono un livello di rischio intrinseco minimo legato alla potenziale caduta di materiali.</t>
        </is>
      </c>
      <c r="G5" s="8" t="n">
        <v>27</v>
      </c>
      <c r="H5" s="9" t="inlineStr">
        <is>
          <t>giallo</t>
        </is>
      </c>
      <c r="I5" s="8" t="n">
        <v>20</v>
      </c>
      <c r="J5" s="8" t="inlineStr">
        <is>
          <t>Il rischio è basso poiché l'operatore indossa correttamente i DPI e utilizza un transpallet manuale, riducendo la gravità di potenziali impatti. La presenza di un secondo pedone in lontananza richiede vigilanza ordinaria, ma non si evidenziano pericoli immediati.</t>
        </is>
      </c>
      <c r="K5" s="8" t="n">
        <v>19.59</v>
      </c>
      <c r="L5" s="10" t="inlineStr">
        <is>
          <t>verde</t>
        </is>
      </c>
      <c r="M5" s="8" t="n">
        <v>5</v>
      </c>
      <c r="N5" s="8" t="n">
        <v>7.41</v>
      </c>
      <c r="O5" s="11" t="inlineStr">
        <is>
          <t>disaccordo</t>
        </is>
      </c>
      <c r="P5" s="8" t="n">
        <v>0.25</v>
      </c>
      <c r="Q5" s="8" t="n">
        <v>0.25</v>
      </c>
      <c r="R5" s="8" t="n">
        <v>0</v>
      </c>
      <c r="S5" s="8" t="n">
        <v>0</v>
      </c>
      <c r="T5" s="8" t="n">
        <v>0.25</v>
      </c>
      <c r="U5" s="8" t="n">
        <v>0</v>
      </c>
      <c r="V5" s="8" t="n">
        <v>0</v>
      </c>
    </row>
    <row r="6" ht="34" customHeight="1">
      <c r="A6" s="8" t="n">
        <v>4</v>
      </c>
      <c r="B6" s="8" t="n">
        <v>8</v>
      </c>
      <c r="C6" s="8" t="n">
        <v>12</v>
      </c>
      <c r="D6" s="8" t="n">
        <v>4</v>
      </c>
      <c r="E6" s="8" t="n">
        <v>30</v>
      </c>
      <c r="F6" s="8" t="inlineStr">
        <is>
          <t>Il punteggio di 30 indica un rischio basso-moderato. L'operatore indossa correttamente il gilet ad alta visibilità e la pavimentazione della corsia è sgombra. Tuttavia, la presenza di scaffalature molto alte cariche di merci senza protezioni frontali visibili e l'impossibilità di confermare l'uso dell'elmetto protettivo a causa della distanza rappresentano fattori di rischio potenziale che richiedono attenzione.</t>
        </is>
      </c>
      <c r="G6" s="8" t="n">
        <v>30.05</v>
      </c>
      <c r="H6" s="9" t="inlineStr">
        <is>
          <t>giallo</t>
        </is>
      </c>
      <c r="I6" s="8" t="n">
        <v>45</v>
      </c>
      <c r="J6" s="8" t="inlineStr">
        <is>
          <t>Il punteggio riflette un rischio moderato dovuto alla compresenza di un operatore a piedi e di un carrello di movimentazione nella stessa corsia senza barriere fisiche. Sebbene l'operatore indossi i DPI ad alta visibilità, l'assenza di segregazione delle vie di transito aumenta la probabilità di interferenze uomo-mezzo.</t>
        </is>
      </c>
      <c r="K6" s="8" t="n">
        <v>41.09</v>
      </c>
      <c r="L6" s="9" t="inlineStr">
        <is>
          <t>giallo</t>
        </is>
      </c>
      <c r="M6" s="8" t="n">
        <v>15</v>
      </c>
      <c r="N6" s="8" t="n">
        <v>11.04</v>
      </c>
      <c r="O6" s="10" t="inlineStr">
        <is>
          <t>accordo</t>
        </is>
      </c>
      <c r="P6" s="8" t="n">
        <v>0.5</v>
      </c>
      <c r="Q6" s="8" t="n">
        <v>0.25</v>
      </c>
      <c r="R6" s="8" t="n">
        <v>0</v>
      </c>
      <c r="S6" s="8" t="n">
        <v>0.25</v>
      </c>
      <c r="T6" s="8" t="n">
        <v>0.25</v>
      </c>
      <c r="U6" s="8" t="n">
        <v>0</v>
      </c>
      <c r="V6" s="8" t="n">
        <v>0</v>
      </c>
    </row>
    <row r="7" ht="34" customHeight="1">
      <c r="A7" s="8" t="n">
        <v>5</v>
      </c>
      <c r="B7" s="8" t="n">
        <v>10</v>
      </c>
      <c r="C7" s="8" t="n">
        <v>14</v>
      </c>
      <c r="D7" s="8" t="n">
        <v>4</v>
      </c>
      <c r="E7" s="8" t="n">
        <v>40</v>
      </c>
      <c r="F7" s="8" t="inlineStr">
        <is>
          <t>Il punteggio di 40 indica un rischio moderato. La presenza contemporanea di un operatore a piedi e di un potenziale mezzo di movimentazione in una corsia stretta aumenta la probabilità di interferenze e investimento. Sebbene l'operatore indossi indumenti ad alta visibilità e la pavimentazione sia sgombra, lo spazio di manovra limitato e l'impossibilità di verificare l'uso dell'elmetto protettivo sotto scaffalature alte richiedono una soglia di attenzione elevata.</t>
        </is>
      </c>
      <c r="G7" s="8" t="n">
        <v>38.52</v>
      </c>
      <c r="H7" s="9" t="inlineStr">
        <is>
          <t>giallo</t>
        </is>
      </c>
      <c r="I7" s="8" t="n">
        <v>35</v>
      </c>
      <c r="J7" s="8" t="inlineStr">
        <is>
          <t>Il rischio è moderato a causa della compresenza di un operatore a piedi e di un potenziale mezzo di movimentazione nello stesso corridoio. Sebbene l'operatore indossi il gilet ad alta visibilità, l'interferenza tra pedone e veicolo richiede costante attenzione.</t>
        </is>
      </c>
      <c r="K7" s="8" t="n">
        <v>37.44</v>
      </c>
      <c r="L7" s="9" t="inlineStr">
        <is>
          <t>giallo</t>
        </is>
      </c>
      <c r="M7" s="8" t="n">
        <v>5</v>
      </c>
      <c r="N7" s="8" t="n">
        <v>1.08</v>
      </c>
      <c r="O7" s="10" t="inlineStr">
        <is>
          <t>accordo</t>
        </is>
      </c>
      <c r="P7" s="8" t="n">
        <v>0.5</v>
      </c>
      <c r="Q7" s="8" t="n">
        <v>0.25</v>
      </c>
      <c r="R7" s="8" t="n">
        <v>0</v>
      </c>
      <c r="S7" s="8" t="n">
        <v>0.25</v>
      </c>
      <c r="T7" s="8" t="n">
        <v>0.25</v>
      </c>
      <c r="U7" s="8" t="n">
        <v>0</v>
      </c>
      <c r="V7" s="8" t="n">
        <v>0.25</v>
      </c>
    </row>
    <row r="8" ht="34" customHeight="1">
      <c r="A8" s="8" t="n">
        <v>6</v>
      </c>
      <c r="B8" s="8" t="n">
        <v>12</v>
      </c>
      <c r="C8" s="8" t="n">
        <v>16</v>
      </c>
      <c r="D8" s="8" t="n">
        <v>4</v>
      </c>
      <c r="E8" s="8" t="n">
        <v>35</v>
      </c>
      <c r="F8" s="8" t="inlineStr">
        <is>
          <t>Il punteggio di 35 indica un rischio moderato. La compresenza di un operatore a terra e di un carrello elevatore nella stessa corsia, in assenza di barriere fisiche di segregazione, genera un rischio intrinseco di investimento o caduta materiali. Tuttavia, la situazione è mitigata dalla distanza significativa tra il mezzo e il pedone, dall'uso di abbigliamento ad alta visibilità e dalla pavimentazione sgombra.</t>
        </is>
      </c>
      <c r="G8" s="8" t="n">
        <v>36.41</v>
      </c>
      <c r="H8" s="9" t="inlineStr">
        <is>
          <t>giallo</t>
        </is>
      </c>
      <c r="I8" s="8" t="n">
        <v>35</v>
      </c>
      <c r="J8" s="8" t="inlineStr">
        <is>
          <t>Il punteggio riflette un rischio moderato dovuto alla compresenza di operatori a piedi e un carrello elevatore nella stessa corsia senza barriere fisiche di separazione. Sebbene il mezzo sia attualmente fermo e i lavoratori indossino gilet ad alta visibilità, la mancanza di segregazione dei flussi rappresenta un potenziale pericolo in caso di manovra.</t>
        </is>
      </c>
      <c r="K8" s="8" t="n">
        <v>35.98</v>
      </c>
      <c r="L8" s="9" t="inlineStr">
        <is>
          <t>giallo</t>
        </is>
      </c>
      <c r="M8" s="8" t="n">
        <v>0</v>
      </c>
      <c r="N8" s="8" t="n">
        <v>0.43</v>
      </c>
      <c r="O8" s="10" t="inlineStr">
        <is>
          <t>accordo</t>
        </is>
      </c>
      <c r="P8" s="8" t="n">
        <v>0.5</v>
      </c>
      <c r="Q8" s="8" t="n">
        <v>0.25</v>
      </c>
      <c r="R8" s="8" t="n">
        <v>0</v>
      </c>
      <c r="S8" s="8" t="n">
        <v>0.25</v>
      </c>
      <c r="T8" s="8" t="n">
        <v>0.25</v>
      </c>
      <c r="U8" s="8" t="n">
        <v>0</v>
      </c>
      <c r="V8" s="8" t="n">
        <v>0.25</v>
      </c>
    </row>
    <row r="9" ht="34" customHeight="1">
      <c r="A9" s="8" t="n">
        <v>7</v>
      </c>
      <c r="B9" s="8" t="n">
        <v>14</v>
      </c>
      <c r="C9" s="8" t="n">
        <v>18</v>
      </c>
      <c r="D9" s="8" t="n">
        <v>4</v>
      </c>
      <c r="E9" s="8" t="n">
        <v>65</v>
      </c>
      <c r="F9" s="8" t="inlineStr">
        <is>
          <t>Il punteggio di 65 è giustificato dalla compresenza di operatori a piedi e di un carrello elevatore all'interno di una corsia stretta priva di barriere fisiche di separazione. Sebbene gli operatori indossino i DPI adeguati (indumenti ad alta visibilità ed elmetto) e si trovino a una certa distanza dal mezzo, lo spazio di manovra limitato configura un rischio concreto di investimento, schiacciamento o caduta materiali dall'alto in caso di movimentazione del mezzo pesante.</t>
        </is>
      </c>
      <c r="G9" s="8" t="n">
        <v>61.06</v>
      </c>
      <c r="H9" s="12" t="inlineStr">
        <is>
          <t>arancione</t>
        </is>
      </c>
      <c r="I9" s="8" t="n">
        <v>30</v>
      </c>
      <c r="J9" s="8" t="inlineStr">
        <is>
          <t>Il rischio è moderato a causa della compresenza di operatori a piedi e di un carrello elevatore nello stesso corridoio. Tuttavia, la distanza di sicurezza mantenuta dal mezzo e l'uso di indumenti ad alta visibilità riducono significativamente la probabilità di un incidente immediato.</t>
        </is>
      </c>
      <c r="K9" s="8" t="n">
        <v>32.39</v>
      </c>
      <c r="L9" s="9" t="inlineStr">
        <is>
          <t>giallo</t>
        </is>
      </c>
      <c r="M9" s="8" t="n">
        <v>35</v>
      </c>
      <c r="N9" s="8" t="n">
        <v>28.67</v>
      </c>
      <c r="O9" s="11" t="inlineStr">
        <is>
          <t>disaccordo</t>
        </is>
      </c>
      <c r="P9" s="8" t="n">
        <v>0.25</v>
      </c>
      <c r="Q9" s="8" t="n">
        <v>0.25</v>
      </c>
      <c r="R9" s="8" t="n">
        <v>0</v>
      </c>
      <c r="S9" s="8" t="n">
        <v>0.25</v>
      </c>
      <c r="T9" s="8" t="n">
        <v>0.25</v>
      </c>
      <c r="U9" s="8" t="n">
        <v>0</v>
      </c>
      <c r="V9" s="8" t="n">
        <v>0.25</v>
      </c>
    </row>
    <row r="10" ht="34" customHeight="1">
      <c r="A10" s="8" t="n">
        <v>8</v>
      </c>
      <c r="B10" s="8" t="n">
        <v>16</v>
      </c>
      <c r="C10" s="8" t="n">
        <v>20</v>
      </c>
      <c r="D10" s="8" t="n">
        <v>4</v>
      </c>
      <c r="E10" s="8" t="n">
        <v>50</v>
      </c>
      <c r="F10" s="8" t="inlineStr">
        <is>
          <t>Il punteggio di 50 indica un rischio moderato dovuto alla compresenza di un operatore a terra e di un carrello elevatore nella stessa corsia stretta. Sebbene il muletto si trovi sullo sfondo e si muova lentamente, la presenza di ostacoli a terra e lo spazio di manovra limitato aumentano il potenziale rischio di collisione o investimento in caso di manovre improvvise o distrazioni.</t>
        </is>
      </c>
      <c r="G10" s="8" t="n">
        <v>54.42</v>
      </c>
      <c r="H10" s="12" t="inlineStr">
        <is>
          <t>arancione</t>
        </is>
      </c>
      <c r="I10" s="8" t="n">
        <v>45</v>
      </c>
      <c r="J10" s="8" t="inlineStr">
        <is>
          <t>Il punteggio riflette un rischio moderato dovuto alla compresenza di un pedone e di un carrello elevatore nella stessa corsia senza barriere fisiche di separazione. La distanza tra i due soggetti e l'uso del gilet ad alta visibilità riducono la probabilità di un impatto immediato.</t>
        </is>
      </c>
      <c r="K10" s="8" t="n">
        <v>43.71</v>
      </c>
      <c r="L10" s="9" t="inlineStr">
        <is>
          <t>giallo</t>
        </is>
      </c>
      <c r="M10" s="8" t="n">
        <v>5</v>
      </c>
      <c r="N10" s="8" t="n">
        <v>10.71</v>
      </c>
      <c r="O10" s="11" t="inlineStr">
        <is>
          <t>disaccordo</t>
        </is>
      </c>
      <c r="P10" s="8" t="n">
        <v>0.5</v>
      </c>
      <c r="Q10" s="8" t="n">
        <v>0.25</v>
      </c>
      <c r="R10" s="8" t="n">
        <v>0.25</v>
      </c>
      <c r="S10" s="8" t="n">
        <v>0.25</v>
      </c>
      <c r="T10" s="8" t="n">
        <v>0.25</v>
      </c>
      <c r="U10" s="8" t="n">
        <v>0</v>
      </c>
      <c r="V10" s="8" t="n">
        <v>0.25</v>
      </c>
    </row>
    <row r="11" ht="34" customHeight="1">
      <c r="A11" s="8" t="n">
        <v>9</v>
      </c>
      <c r="B11" s="8" t="n">
        <v>18</v>
      </c>
      <c r="C11" s="8" t="n">
        <v>22</v>
      </c>
      <c r="D11" s="8" t="n">
        <v>4</v>
      </c>
      <c r="E11" s="8" t="n">
        <v>50</v>
      </c>
      <c r="F11" s="8" t="inlineStr">
        <is>
          <t>Il punteggio di 50 riflette un rischio moderato. Sebbene non vi sia un pericolo imminente a causa della distanza tra il carrello elevatore (in fondo alla corsia) e l'operatore a piedi (in primo piano), la compresenza di pedoni e mezzi semoventi nella stessa corsia di lavoro, senza barriere fisiche di separazione, rappresenta un rischio latente di investimento che richiede costante coordinamento visivo e acustico.</t>
        </is>
      </c>
      <c r="G11" s="8" t="n">
        <v>51.77</v>
      </c>
      <c r="H11" s="12" t="inlineStr">
        <is>
          <t>arancione</t>
        </is>
      </c>
      <c r="I11" s="8" t="n">
        <v>70</v>
      </c>
      <c r="J11" s="8" t="inlineStr">
        <is>
          <t>Il punteggio riflette un rischio significativo dovuto alla compresenza di operatori a piedi e un carrello elevatore nella stessa corsia senza barriere fisiche. Questa condizione aumenta notevolmente la probabilità di investimento in caso di manovre o distrazioni.</t>
        </is>
      </c>
      <c r="K11" s="8" t="n">
        <v>65.73</v>
      </c>
      <c r="L11" s="12" t="inlineStr">
        <is>
          <t>arancione</t>
        </is>
      </c>
      <c r="M11" s="8" t="n">
        <v>20</v>
      </c>
      <c r="N11" s="8" t="n">
        <v>13.96</v>
      </c>
      <c r="O11" s="10" t="inlineStr">
        <is>
          <t>accordo</t>
        </is>
      </c>
      <c r="P11" s="8" t="n">
        <v>0.75</v>
      </c>
      <c r="Q11" s="8" t="n">
        <v>0.5</v>
      </c>
      <c r="R11" s="8" t="n">
        <v>0.25</v>
      </c>
      <c r="S11" s="8" t="n">
        <v>0.5</v>
      </c>
      <c r="T11" s="8" t="n">
        <v>0.25</v>
      </c>
      <c r="U11" s="8" t="n">
        <v>0</v>
      </c>
      <c r="V11" s="8" t="n">
        <v>0.25</v>
      </c>
    </row>
    <row r="12" ht="34" customHeight="1">
      <c r="A12" s="8" t="n">
        <v>10</v>
      </c>
      <c r="B12" s="8" t="n">
        <v>20</v>
      </c>
      <c r="C12" s="8" t="n">
        <v>24</v>
      </c>
      <c r="D12" s="8" t="n">
        <v>4</v>
      </c>
      <c r="E12" s="8" t="n">
        <v>70</v>
      </c>
      <c r="F12" s="8" t="inlineStr">
        <is>
          <t>Il punteggio di 70 è giustificato dalla compresenza di un operatore a terra e di un carrello elevatore potenzialmente attivo in un corridoio stretto. La mancanza di barriere fisiche di separazione tra il flusso pedonale e quello veicolare, combinata con lo spazio di manovra limitato, genera un rischio concreto di investimento o schiacciamento in caso di manovre del mezzo o spostamenti imprevisti del pedone.</t>
        </is>
      </c>
      <c r="G12" s="8" t="n">
        <v>67.70999999999999</v>
      </c>
      <c r="H12" s="12" t="inlineStr">
        <is>
          <t>arancione</t>
        </is>
      </c>
      <c r="I12" s="8" t="n">
        <v>45</v>
      </c>
      <c r="J12" s="8" t="inlineStr">
        <is>
          <t>Il punteggio riflette un rischio moderato dovuto alla compresenza di un operatore a terra e di un carrello elevatore nella stessa corsia priva di barriere fisiche. L'uso di indumenti ad alta visibilità e la bassa velocità del mezzo mitigano parzialmente il pericolo di collisione immediata.</t>
        </is>
      </c>
      <c r="K12" s="8" t="n">
        <v>53.29</v>
      </c>
      <c r="L12" s="12" t="inlineStr">
        <is>
          <t>arancione</t>
        </is>
      </c>
      <c r="M12" s="8" t="n">
        <v>25</v>
      </c>
      <c r="N12" s="8" t="n">
        <v>14.42</v>
      </c>
      <c r="O12" s="10" t="inlineStr">
        <is>
          <t>accordo</t>
        </is>
      </c>
      <c r="P12" s="8" t="n">
        <v>0.5</v>
      </c>
      <c r="Q12" s="8" t="n">
        <v>0.25</v>
      </c>
      <c r="R12" s="8" t="n">
        <v>0</v>
      </c>
      <c r="S12" s="8" t="n">
        <v>0.25</v>
      </c>
      <c r="T12" s="8" t="n">
        <v>0.25</v>
      </c>
      <c r="U12" s="8" t="n">
        <v>0</v>
      </c>
      <c r="V12" s="8" t="n">
        <v>0.25</v>
      </c>
    </row>
    <row r="13" ht="34" customHeight="1">
      <c r="A13" s="8" t="n">
        <v>11</v>
      </c>
      <c r="B13" s="8" t="n">
        <v>22</v>
      </c>
      <c r="C13" s="8" t="n">
        <v>26</v>
      </c>
      <c r="D13" s="8" t="n">
        <v>4</v>
      </c>
      <c r="E13" s="8" t="n">
        <v>75</v>
      </c>
      <c r="F13" s="8" t="inlineStr">
        <is>
          <t>Il punteggio di 75 riflette un rischio elevato dovuto alla compresenza nello stesso spazio di manovra di un carrello elevatore in movimento e un operatore a terra, in assenza di barriere fisiche di separazione. Sebbene l'operatore indossi un gilet ad alta visibilità (fattore mitigante), la mancanza di segregazione delle vie di circolazione pedonale e veicolare aumenta significativamente il rischio di investimento.</t>
        </is>
      </c>
      <c r="G13" s="8" t="n">
        <v>73.33</v>
      </c>
      <c r="H13" s="12" t="inlineStr">
        <is>
          <t>arancione</t>
        </is>
      </c>
      <c r="I13" s="8" t="n">
        <v>65</v>
      </c>
      <c r="J13" s="8" t="inlineStr">
        <is>
          <t>Il punteggio riflette un rischio significativo dovuto alla compresenza di pedoni e di un carrello elevatore nello stesso corridoio stretto senza barriere fisiche di separazione. La presenza di ostacoli a terra riduce ulteriormente lo spazio di manovra, aumentando la probabilità di investimento accidentale.</t>
        </is>
      </c>
      <c r="K13" s="8" t="n">
        <v>65.31999999999999</v>
      </c>
      <c r="L13" s="12" t="inlineStr">
        <is>
          <t>arancione</t>
        </is>
      </c>
      <c r="M13" s="8" t="n">
        <v>10</v>
      </c>
      <c r="N13" s="8" t="n">
        <v>8.01</v>
      </c>
      <c r="O13" s="10" t="inlineStr">
        <is>
          <t>accordo</t>
        </is>
      </c>
      <c r="P13" s="8" t="n">
        <v>0.5</v>
      </c>
      <c r="Q13" s="8" t="n">
        <v>0.25</v>
      </c>
      <c r="R13" s="8" t="n">
        <v>0.25</v>
      </c>
      <c r="S13" s="8" t="n">
        <v>0.5</v>
      </c>
      <c r="T13" s="8" t="n">
        <v>0.25</v>
      </c>
      <c r="U13" s="8" t="n">
        <v>0</v>
      </c>
      <c r="V13" s="8" t="n">
        <v>0.25</v>
      </c>
    </row>
    <row r="14" ht="34" customHeight="1">
      <c r="A14" s="8" t="n">
        <v>12</v>
      </c>
      <c r="B14" s="8" t="n">
        <v>24</v>
      </c>
      <c r="C14" s="8" t="n">
        <v>28</v>
      </c>
      <c r="D14" s="8" t="n">
        <v>4</v>
      </c>
      <c r="E14" s="8" t="n">
        <v>100</v>
      </c>
      <c r="F14" s="8" t="inlineStr">
        <is>
          <t>Il punteggio massimo è determinato dal crollo strutturale catastrofico e immediato delle scaffalature pesanti cariche di merci sulla corsia. La presenza di un carrello elevatore attivo e di almeno due operatori a terra nell'area d'impatto configura una situazione di imminente pericolo di vita per schiacciamento e seppellimento.</t>
        </is>
      </c>
      <c r="G14" s="8" t="n">
        <v>95.58</v>
      </c>
      <c r="H14" s="11" t="inlineStr">
        <is>
          <t>rosso</t>
        </is>
      </c>
      <c r="I14" s="8" t="n">
        <v>98</v>
      </c>
      <c r="J14" s="8" t="inlineStr">
        <is>
          <t>Il punteggio riflette una situazione di imminente e gravissimo pericolo dovuta al collasso strutturale improvviso della scaffalatura pesante direttamente sull'area di transito degli operatori e del carrello elevatore. L'evento in corso genera un rischio critico e immediato di schiacciamento e impatto potenzialmente fatale per il personale presente nel corridoio.</t>
        </is>
      </c>
      <c r="K14" s="8" t="n">
        <v>93.18000000000001</v>
      </c>
      <c r="L14" s="11" t="inlineStr">
        <is>
          <t>rosso</t>
        </is>
      </c>
      <c r="M14" s="8" t="n">
        <v>2</v>
      </c>
      <c r="N14" s="8" t="n">
        <v>2.4</v>
      </c>
      <c r="O14" s="10" t="inlineStr">
        <is>
          <t>accordo</t>
        </is>
      </c>
      <c r="P14" s="8" t="n">
        <v>0.5</v>
      </c>
      <c r="Q14" s="8" t="n">
        <v>0.25</v>
      </c>
      <c r="R14" s="8" t="n">
        <v>0.25</v>
      </c>
      <c r="S14" s="8" t="n">
        <v>0.5</v>
      </c>
      <c r="T14" s="8" t="n">
        <v>1</v>
      </c>
      <c r="U14" s="8" t="n">
        <v>0</v>
      </c>
      <c r="V14" s="8" t="n">
        <v>0</v>
      </c>
    </row>
    <row r="15" ht="34" customHeight="1">
      <c r="A15" s="8" t="n">
        <v>13</v>
      </c>
      <c r="B15" s="8" t="n">
        <v>26</v>
      </c>
      <c r="C15" s="8" t="n">
        <v>30</v>
      </c>
      <c r="D15" s="8" t="n">
        <v>4</v>
      </c>
      <c r="E15" s="8" t="n">
        <v>100</v>
      </c>
      <c r="F15" s="8" t="inlineStr">
        <is>
          <t>Il punteggio massimo è assegnato a causa del collasso strutturale totale e immediato della scaffalatura industriale provocato dall'impatto del carrello elevatore. La caduta libera di merci pesanti e detriti in presenza di almeno due operatori a terra nel corridoio genera un pericolo imminente e gravissimo di schiacciamento e lesioni fatali, azzerando inoltre la visibilità.</t>
        </is>
      </c>
      <c r="G15" s="8" t="n">
        <v>98.23</v>
      </c>
      <c r="H15" s="11" t="inlineStr">
        <is>
          <t>rosso</t>
        </is>
      </c>
      <c r="I15" s="8" t="n">
        <v>100</v>
      </c>
      <c r="J15" s="8" t="inlineStr">
        <is>
          <t>Il punteggio massimo è giustificato dal crollo strutturale catastrofico in corso, che ha travolto direttamente l'operatore a terra e il carrello elevatore, determinando una situazione di imminente pericolo di vita. La totale perdita di visibilità dovuta alla polvere ostacola gravemente i soccorsi immediati.</t>
        </is>
      </c>
      <c r="K15" s="8" t="n">
        <v>97.77</v>
      </c>
      <c r="L15" s="11" t="inlineStr">
        <is>
          <t>rosso</t>
        </is>
      </c>
      <c r="M15" s="8" t="n">
        <v>0</v>
      </c>
      <c r="N15" s="8" t="n">
        <v>0.46</v>
      </c>
      <c r="O15" s="10" t="inlineStr">
        <is>
          <t>accordo</t>
        </is>
      </c>
      <c r="P15" s="8" t="n">
        <v>0.75</v>
      </c>
      <c r="Q15" s="8" t="n">
        <v>1</v>
      </c>
      <c r="R15" s="8" t="n">
        <v>0.25</v>
      </c>
      <c r="S15" s="8" t="n">
        <v>0.5</v>
      </c>
      <c r="T15" s="8" t="n">
        <v>1</v>
      </c>
      <c r="U15" s="8" t="n">
        <v>0</v>
      </c>
      <c r="V15" s="8" t="n">
        <v>0</v>
      </c>
    </row>
    <row r="16" ht="34" customHeight="1">
      <c r="A16" s="8" t="n">
        <v>14</v>
      </c>
      <c r="B16" s="8" t="n">
        <v>28</v>
      </c>
      <c r="C16" s="8" t="n">
        <v>32</v>
      </c>
      <c r="D16" s="8" t="n">
        <v>4</v>
      </c>
      <c r="E16" s="8" t="n">
        <v>98</v>
      </c>
      <c r="F16" s="8" t="inlineStr">
        <is>
          <t>Il punteggio riflette una situazione di estrema criticità e pericolo di vita. Il crollo catastrofico e progressivo delle scaffalature (effetto domino) genera un rischio immediato di schiacciamento e seppellimento per gli operatori. La visibilità azzerata dalla polvere ostacola i soccorsi, e la presenza del montante di un carrello elevatore indica un probabile impatto con operatore potenzialmente intrappolato. Sussiste inoltre un grave rischio di crolli secondari delle strutture adiacenti instabili.</t>
        </is>
      </c>
      <c r="G16" s="8" t="n">
        <v>98.09</v>
      </c>
      <c r="H16" s="11" t="inlineStr">
        <is>
          <t>rosso</t>
        </is>
      </c>
      <c r="I16" s="8" t="n">
        <v>95</v>
      </c>
      <c r="J16" s="8" t="inlineStr">
        <is>
          <t>Il punteggio riflette una situazione di rischio critico dovuta al collasso strutturale delle scaffalature, con pericolo imminente di ulteriori crolli durante l'assestamento delle macerie. La visibilità è inoltre gravemente compromessa dalla polvere, ostacolando qualsiasi intervento di messa in sicurezza immediato.</t>
        </is>
      </c>
      <c r="K16" s="8" t="n">
        <v>96.11</v>
      </c>
      <c r="L16" s="11" t="inlineStr">
        <is>
          <t>rosso</t>
        </is>
      </c>
      <c r="M16" s="8" t="n">
        <v>3</v>
      </c>
      <c r="N16" s="8" t="n">
        <v>1.98</v>
      </c>
      <c r="O16" s="10" t="inlineStr">
        <is>
          <t>accordo</t>
        </is>
      </c>
      <c r="P16" s="8" t="n">
        <v>0</v>
      </c>
      <c r="Q16" s="8" t="n">
        <v>0.5</v>
      </c>
      <c r="R16" s="8" t="n">
        <v>0</v>
      </c>
      <c r="S16" s="8" t="n">
        <v>0.5</v>
      </c>
      <c r="T16" s="8" t="n">
        <v>1</v>
      </c>
      <c r="U16" s="8" t="n">
        <v>0</v>
      </c>
      <c r="V16" s="8" t="n">
        <v>0</v>
      </c>
    </row>
    <row r="17" ht="34" customHeight="1">
      <c r="A17" s="8" t="n">
        <v>15</v>
      </c>
      <c r="B17" s="8" t="n">
        <v>30</v>
      </c>
      <c r="C17" s="8" t="n">
        <v>34</v>
      </c>
      <c r="D17" s="8" t="n">
        <v>4</v>
      </c>
      <c r="E17" s="8" t="n">
        <v>100</v>
      </c>
      <c r="F17" s="8" t="inlineStr">
        <is>
          <t>Il punteggio massimo è giustificato da un collasso strutturale catastrofico e progressivo in corso (effetto domino) delle scaffalature pesanti. La caduta violenta di merci e detriti ostruisce completamente la corsia e compromette gravemente la visibilità. Sebbene non siano visibili operatori, il rischio di schiacciamento e seppellimento per eventuale personale non rilevato, unito al pericolo di ulteriori crolli e potenziali incendi, rappresenta una situazione di emergenza estrema.</t>
        </is>
      </c>
      <c r="G17" s="8" t="n">
        <v>99.73999999999999</v>
      </c>
      <c r="H17" s="11" t="inlineStr">
        <is>
          <t>rosso</t>
        </is>
      </c>
      <c r="I17" s="8" t="n">
        <v>95</v>
      </c>
      <c r="J17" s="8" t="inlineStr">
        <is>
          <t>Il punteggio riflette una situazione di criticità estrema dovuta al crollo totale delle scaffalature e alla presenza di un mezzo schiacciato. L'instabilità strutturale residua e la polvere sospesa rappresentano un pericolo immediato di ulteriori cedimenti per chiunque acceda all'area.</t>
        </is>
      </c>
      <c r="K17" s="8" t="n">
        <v>95.44</v>
      </c>
      <c r="L17" s="11" t="inlineStr">
        <is>
          <t>rosso</t>
        </is>
      </c>
      <c r="M17" s="8" t="n">
        <v>5</v>
      </c>
      <c r="N17" s="8" t="n">
        <v>4.3</v>
      </c>
      <c r="O17" s="10" t="inlineStr">
        <is>
          <t>accordo</t>
        </is>
      </c>
      <c r="P17" s="8" t="n">
        <v>0</v>
      </c>
      <c r="Q17" s="8" t="n">
        <v>0.25</v>
      </c>
      <c r="R17" s="8" t="n">
        <v>0</v>
      </c>
      <c r="S17" s="8" t="n">
        <v>0.75</v>
      </c>
      <c r="T17" s="8" t="n">
        <v>1</v>
      </c>
      <c r="U17" s="8" t="n">
        <v>0</v>
      </c>
      <c r="V17" s="8" t="n">
        <v>0</v>
      </c>
    </row>
    <row r="18" ht="34" customHeight="1">
      <c r="A18" s="8" t="n">
        <v>16</v>
      </c>
      <c r="B18" s="8" t="n">
        <v>32</v>
      </c>
      <c r="C18" s="8" t="n">
        <v>35.867</v>
      </c>
      <c r="D18" s="8" t="n">
        <v>3.867</v>
      </c>
      <c r="E18" s="8" t="n">
        <v>50</v>
      </c>
      <c r="F18" s="8" t="inlineStr">
        <is>
          <t>Il punteggio di 50 riflette un rischio moderato. Sebbene non sia presente personale esposto direttamente, il carico composto da materiali eterogenei (pallet pesanti sopra frazioni vegetali leggere) è estremamente disordinato, instabile e privo di sistemi di ritenuta. Le vibrazioni indicano un potenziale assestamento, aumentando il rischio di spostamenti improvvisi, cedimenti o proiezione di detriti durante la successiva movimentazione.</t>
        </is>
      </c>
      <c r="G18" s="8" t="n">
        <v>69.90000000000001</v>
      </c>
      <c r="H18" s="12" t="inlineStr">
        <is>
          <t>arancione</t>
        </is>
      </c>
      <c r="I18" s="8" t="n">
        <v>35</v>
      </c>
      <c r="J18" s="8" t="inlineStr">
        <is>
          <t>Il punteggio riflette un rischio moderato dovuto all'instabilità strutturale causata dall'accumulo disordinato di detriti nella gabbia, aggravato dalla scarsa visibilità. L'assenza di personale nell'area al momento riduce l'imminenza di infortuni diretti, ma permane il pericolo di cedimento della struttura.</t>
        </is>
      </c>
      <c r="K18" s="8" t="n">
        <v>59.18</v>
      </c>
      <c r="L18" s="12" t="inlineStr">
        <is>
          <t>arancione</t>
        </is>
      </c>
      <c r="M18" s="8" t="n">
        <v>15</v>
      </c>
      <c r="N18" s="8" t="n">
        <v>10.72</v>
      </c>
      <c r="O18" s="10" t="inlineStr">
        <is>
          <t>accordo</t>
        </is>
      </c>
      <c r="P18" s="8" t="n">
        <v>0</v>
      </c>
      <c r="Q18" s="8" t="n">
        <v>0.25</v>
      </c>
      <c r="R18" s="8" t="n">
        <v>0</v>
      </c>
      <c r="S18" s="8" t="n">
        <v>0</v>
      </c>
      <c r="T18" s="8" t="n">
        <v>0.5</v>
      </c>
      <c r="U18" s="8" t="n">
        <v>0</v>
      </c>
      <c r="V18" s="8" t="n">
        <v>0</v>
      </c>
    </row>
    <row r="19" ht="34" customHeight="1">
      <c r="A19" s="8" t="n">
        <v>17</v>
      </c>
      <c r="B19" s="8" t="n">
        <v>34</v>
      </c>
      <c r="C19" s="8" t="n">
        <v>35.867</v>
      </c>
      <c r="D19" s="8" t="n">
        <v>1.867</v>
      </c>
      <c r="E19" s="8" t="n">
        <v>45</v>
      </c>
      <c r="F19" s="8" t="inlineStr">
        <is>
          <t>Il punteggio di 45 indica un rischio moderato. La presenza di corpi estranei rigidi (elementi rossi e gialli) all'interno del flusso di materiale organico destinato alla triturazione o compattazione può causare gravi danni meccanici o la rottura delle lame, con potenziale proiezione di schegge. Inoltre, l'eventuale necessità di un intervento manuale per la rimozione dei blocchi espone gli operatori a rischi di taglio e schiacciamento se le procedure di sicurezza (Lockout/Tagout) non vengono applicate rigorosamente.</t>
        </is>
      </c>
      <c r="G19" s="8" t="n">
        <v>54.96</v>
      </c>
      <c r="H19" s="12" t="inlineStr">
        <is>
          <t>arancione</t>
        </is>
      </c>
      <c r="I19" s="8" t="n">
        <v>10</v>
      </c>
      <c r="J19" s="8" t="inlineStr">
        <is>
          <t>Il rischio è basso poiché non vi sono operatori, mezzi o parti meccaniche in movimento nella scena. L'accumulo di scarti vegetali rappresenta solo un'esigenza di manutenzione ordinaria senza pericoli immediati per la sicurezza.</t>
        </is>
      </c>
      <c r="K19" s="8" t="n">
        <v>29.67</v>
      </c>
      <c r="L19" s="9" t="inlineStr">
        <is>
          <t>giallo</t>
        </is>
      </c>
      <c r="M19" s="8" t="n">
        <v>35</v>
      </c>
      <c r="N19" s="8" t="n">
        <v>25.29</v>
      </c>
      <c r="O19" s="11" t="inlineStr">
        <is>
          <t>disaccordo</t>
        </is>
      </c>
      <c r="P19" s="8" t="n">
        <v>0</v>
      </c>
      <c r="Q19" s="8" t="n">
        <v>0</v>
      </c>
      <c r="R19" s="8" t="n">
        <v>0</v>
      </c>
      <c r="S19" s="8" t="n">
        <v>0</v>
      </c>
      <c r="T19" s="8" t="n">
        <v>0</v>
      </c>
      <c r="U19" s="8" t="n">
        <v>0</v>
      </c>
      <c r="V19"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2026-07-27T16:00:44Z</dcterms:created>
  <dcterms:modified xmlns:dcterms="http://purl.org/dc/terms/" xmlns:xsi="http://www.w3.org/2001/XMLSchema-instance" xsi:type="dcterms:W3CDTF">2026-07-27T16:00:44Z</dcterms:modified>
</cp:coreProperties>
</file>