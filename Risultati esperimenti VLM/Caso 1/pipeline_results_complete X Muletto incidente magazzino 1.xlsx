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branch_comparison" sheetId="2" state="visible" r:id="rId2"/>
    <sheet xmlns:r="http://schemas.openxmlformats.org/officeDocument/2006/relationships" name="vlm_free_branch" sheetId="3" state="visible" r:id="rId3"/>
    <sheet xmlns:r="http://schemas.openxmlformats.org/officeDocument/2006/relationships" name="vlm_guided_branch" sheetId="4" state="visible" r:id="rId4"/>
    <sheet xmlns:r="http://schemas.openxmlformats.org/officeDocument/2006/relationships" name="ahp_branch" sheetId="5" state="visible" r:id="rId5"/>
    <sheet xmlns:r="http://schemas.openxmlformats.org/officeDocument/2006/relationships" name="scoring_json_debug" sheetId="6" state="visible" r:id="rId6"/>
    <sheet xmlns:r="http://schemas.openxmlformats.org/officeDocument/2006/relationships" name="token_audit" sheetId="7" state="visible" r:id="rId7"/>
    <sheet xmlns:r="http://schemas.openxmlformats.org/officeDocument/2006/relationships" name="ahp_risk_analysis" sheetId="8" state="visible" r:id="rId8"/>
    <sheet xmlns:r="http://schemas.openxmlformats.org/officeDocument/2006/relationships" name="ahp_contrib_detail" sheetId="9" state="visible" r:id="rId9"/>
    <sheet xmlns:r="http://schemas.openxmlformats.org/officeDocument/2006/relationships" name="ahp_contrib_summary"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2">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CE4D6"/>
      </patternFill>
    </fill>
    <fill>
      <patternFill patternType="solid">
        <fgColor rgb="00FFF2CC"/>
      </patternFill>
    </fill>
    <fill>
      <patternFill patternType="solid">
        <fgColor rgb="00F4CCCC"/>
      </patternFill>
    </fill>
    <fill>
      <patternFill patternType="solid">
        <fgColor rgb="00C6EFCE"/>
      </patternFill>
    </fill>
    <fill>
      <patternFill patternType="solid">
        <fgColor rgb="00EADCF8"/>
      </patternFill>
    </fill>
    <fill>
      <patternFill patternType="solid">
        <fgColor rgb="00EDEDED"/>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2" fillId="2" borderId="2" applyAlignment="1" pivotButton="0" quotePrefix="0" xfId="0">
      <alignment horizontal="center" vertical="center" wrapText="1"/>
    </xf>
    <xf numFmtId="0" fontId="3" fillId="0" borderId="2" applyAlignment="1" pivotButton="0" quotePrefix="0" xfId="0">
      <alignment horizontal="left" vertical="top" wrapText="1"/>
    </xf>
    <xf numFmtId="0" fontId="3" fillId="7" borderId="2" applyAlignment="1" pivotButton="0" quotePrefix="0" xfId="0">
      <alignment horizontal="left" vertical="top" wrapText="1"/>
    </xf>
    <xf numFmtId="0" fontId="3" fillId="9" borderId="2" applyAlignment="1" pivotButton="0" quotePrefix="0" xfId="0">
      <alignment horizontal="left" vertical="top" wrapText="1"/>
    </xf>
    <xf numFmtId="0" fontId="3" fillId="6" borderId="2" applyAlignment="1" pivotButton="0" quotePrefix="0" xfId="0">
      <alignment horizontal="left" vertical="top" wrapText="1"/>
    </xf>
    <xf numFmtId="0" fontId="3" fillId="8" borderId="2" applyAlignment="1" pivotButton="0" quotePrefix="0" xfId="0">
      <alignment horizontal="left" vertical="top" wrapText="1"/>
    </xf>
    <xf numFmtId="0" fontId="4" fillId="7" borderId="2" applyAlignment="1" pivotButton="0" quotePrefix="0" xfId="0">
      <alignment horizontal="center" vertical="center" wrapText="1"/>
    </xf>
    <xf numFmtId="0" fontId="4" fillId="10" borderId="2" applyAlignment="1" pivotButton="0" quotePrefix="0" xfId="0">
      <alignment horizontal="center" vertical="center" wrapText="1"/>
    </xf>
    <xf numFmtId="0" fontId="4" fillId="11"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Tre rami</a:t>
            </a:r>
          </a:p>
        </rich>
      </tx>
    </title>
    <plotArea>
      <lineChart>
        <grouping val="standard"/>
        <ser>
          <idx val="0"/>
          <order val="0"/>
          <tx>
            <strRef>
              <f>'all_results'!H1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'all_results'!$A$2:$A$19</f>
            </numRef>
          </cat>
          <val>
            <numRef>
              <f>'all_results'!$H$2:$H$19</f>
            </numRef>
          </val>
        </ser>
        <ser>
          <idx val="1"/>
          <order val="1"/>
          <tx>
            <strRef>
              <f>'all_results'!O1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'all_results'!$A$2:$A$19</f>
            </numRef>
          </cat>
          <val>
            <numRef>
              <f>'all_results'!$O$2:$O$19</f>
            </numRef>
          </val>
        </ser>
        <ser>
          <idx val="2"/>
          <order val="2"/>
          <tx>
            <strRef>
              <f>'all_results'!R1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'all_results'!$A$2:$A$19</f>
            </numRef>
          </cat>
          <val>
            <numRef>
              <f>'all_results'!$R$2:$R$19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Confronto punteggi dinamici - Tre rami</a:t>
            </a:r>
          </a:p>
        </rich>
      </tx>
    </title>
    <plotArea>
      <lineChart>
        <grouping val="standard"/>
        <ser>
          <idx val="0"/>
          <order val="0"/>
          <tx>
            <strRef>
              <f>'branch_comparison'!G1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'branch_comparison'!$A$2:$A$19</f>
            </numRef>
          </cat>
          <val>
            <numRef>
              <f>'branch_comparison'!$G$2:$G$19</f>
            </numRef>
          </val>
        </ser>
        <ser>
          <idx val="1"/>
          <order val="1"/>
          <tx>
            <strRef>
              <f>'branch_comparison'!H1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'branch_comparison'!$A$2:$A$19</f>
            </numRef>
          </cat>
          <val>
            <numRef>
              <f>'branch_comparison'!$H$2:$H$19</f>
            </numRef>
          </val>
        </ser>
        <ser>
          <idx val="2"/>
          <order val="2"/>
          <tx>
            <strRef>
              <f>'branch_comparison'!I1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'branch_comparison'!$A$2:$A$19</f>
            </numRef>
          </cat>
          <val>
            <numRef>
              <f>'branch_comparison'!$I$2:$I$19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a:pPr>
            <a:r>
              <a:t>Ramo VLM libero - Dynamic risk score</a:t>
            </a:r>
          </a:p>
        </rich>
      </tx>
    </title>
    <plotArea>
      <lineChart>
        <grouping val="standard"/>
        <ser>
          <idx val="0"/>
          <order val="0"/>
          <tx>
            <strRef>
              <f>'vlm_free_branch'!G1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'vlm_free_branch'!$A$2:$A$19</f>
            </numRef>
          </cat>
          <val>
            <numRef>
              <f>'vlm_free_branch'!$G$2:$G$19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Ramo VLM guidato - Dynamic risk score</a:t>
            </a:r>
          </a:p>
        </rich>
      </tx>
    </title>
    <plotArea>
      <lineChart>
        <grouping val="standard"/>
        <ser>
          <idx val="0"/>
          <order val="0"/>
          <tx>
            <strRef>
              <f>'vlm_guided_branch'!I1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'vlm_guided_branch'!$A$2:$A$19</f>
            </numRef>
          </cat>
          <val>
            <numRef>
              <f>'vlm_guided_branch'!$I$2:$I$19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Ramo AHP - Dynamic risk score</a:t>
            </a:r>
          </a:p>
        </rich>
      </tx>
    </title>
    <plotArea>
      <lineChart>
        <grouping val="standard"/>
        <ser>
          <idx val="0"/>
          <order val="0"/>
          <tx>
            <strRef>
              <f>'ahp_branch'!H1</f>
            </strRef>
          </tx>
          <spPr>
            <a:ln xmlns:a="http://schemas.openxmlformats.org/drawingml/2006/main" w="18000">
              <a:solidFill>
                <a:srgbClr val="ED7D31"/>
              </a:solidFill>
              <a:prstDash val="solid"/>
            </a:ln>
          </spPr>
          <marker>
            <symbol val="none"/>
            <spPr>
              <a:ln xmlns:a="http://schemas.openxmlformats.org/drawingml/2006/main">
                <a:prstDash val="solid"/>
              </a:ln>
            </spPr>
          </marker>
          <cat>
            <numRef>
              <f>'ahp_branch'!$A$2:$A$19</f>
            </numRef>
          </cat>
          <val>
            <numRef>
              <f>'ahp_branch'!$H$2:$H$19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15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25</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11</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BD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18" customWidth="1" min="5" max="5"/>
    <col width="8" customWidth="1" min="6" max="6"/>
    <col width="16" customWidth="1" min="7" max="7"/>
    <col width="8" customWidth="1" min="8" max="8"/>
    <col width="7" customWidth="1" min="9" max="9"/>
    <col width="18" customWidth="1" min="10" max="10"/>
    <col width="18" customWidth="1" min="11" max="11"/>
    <col width="18" customWidth="1" min="12" max="12"/>
    <col width="8" customWidth="1" min="13" max="13"/>
    <col width="16" customWidth="1" min="14" max="14"/>
    <col width="8" customWidth="1" min="15" max="15"/>
    <col width="7" customWidth="1" min="16" max="16"/>
    <col width="8" customWidth="1" min="17" max="17"/>
    <col width="8" customWidth="1" min="18" max="18"/>
    <col width="7" customWidth="1" min="19" max="19"/>
    <col width="8" customWidth="1" min="20" max="20"/>
    <col width="18" customWidth="1" min="21" max="21"/>
    <col width="7" customWidth="1" min="22" max="22"/>
    <col width="8" customWidth="1" min="23" max="23"/>
    <col width="7" customWidth="1" min="24" max="24"/>
    <col width="8" customWidth="1" min="25" max="25"/>
    <col width="8" customWidth="1" min="26" max="26"/>
    <col width="7" customWidth="1" min="27" max="27"/>
    <col width="8" customWidth="1" min="28" max="28"/>
    <col width="7" customWidth="1" min="29" max="29"/>
    <col width="8" customWidth="1" min="30" max="30"/>
    <col width="8" customWidth="1" min="31" max="31"/>
    <col width="7" customWidth="1" min="32" max="32"/>
    <col width="8" customWidth="1" min="33" max="33"/>
    <col width="7" customWidth="1" min="34" max="34"/>
    <col width="8" customWidth="1" min="35" max="35"/>
    <col width="8" customWidth="1" min="36" max="36"/>
    <col width="7" customWidth="1" min="37" max="37"/>
    <col width="8" customWidth="1" min="38" max="38"/>
    <col width="7" customWidth="1" min="39" max="39"/>
    <col width="8" customWidth="1" min="40" max="40"/>
    <col width="8" customWidth="1" min="41" max="41"/>
    <col width="7" customWidth="1" min="42" max="42"/>
    <col width="8" customWidth="1" min="43" max="43"/>
    <col width="7" customWidth="1" min="44" max="44"/>
    <col width="8" customWidth="1" min="45" max="45"/>
    <col width="8" customWidth="1" min="46" max="46"/>
    <col width="7" customWidth="1" min="47" max="47"/>
    <col width="8" customWidth="1" min="48" max="48"/>
    <col width="7" customWidth="1" min="49" max="49"/>
    <col width="8" customWidth="1" min="50" max="50"/>
    <col width="8" customWidth="1" min="51" max="51"/>
    <col width="7" customWidth="1" min="52" max="52"/>
    <col width="8" customWidth="1" min="53" max="53"/>
    <col width="7" customWidth="1" min="54" max="54"/>
    <col width="8" customWidth="1" min="55" max="55"/>
    <col width="8" customWidth="1" min="56" max="56"/>
  </cols>
  <sheetData>
    <row r="1" ht="16" customHeight="1">
      <c r="A1" s="2" t="inlineStr">
        <is>
          <t>window_id</t>
        </is>
      </c>
      <c r="B1" s="2" t="inlineStr">
        <is>
          <t>start_time_s</t>
        </is>
      </c>
      <c r="C1" s="2" t="inlineStr">
        <is>
          <t>end_time_s</t>
        </is>
      </c>
      <c r="D1" s="2" t="inlineStr">
        <is>
          <t>window_duration_s</t>
        </is>
      </c>
      <c r="E1" s="3" t="inlineStr">
        <is>
          <t>free_descriptive_causal_output_json</t>
        </is>
      </c>
      <c r="F1" s="3" t="inlineStr">
        <is>
          <t>instantaneous_risk_score_vlm_free</t>
        </is>
      </c>
      <c r="G1" s="3" t="inlineStr">
        <is>
          <t>score_rationale_vlm_free</t>
        </is>
      </c>
      <c r="H1" s="3" t="inlineStr">
        <is>
          <t>dynamic_risk_score_vlm_free</t>
        </is>
      </c>
      <c r="I1" s="3" t="inlineStr">
        <is>
          <t>traffic_light_color_vlm_free</t>
        </is>
      </c>
      <c r="J1" s="4" t="inlineStr">
        <is>
          <t>descriptive_prompt_output_json</t>
        </is>
      </c>
      <c r="K1" s="4" t="inlineStr">
        <is>
          <t>question_set_prompt_output_json</t>
        </is>
      </c>
      <c r="L1" s="4" t="inlineStr">
        <is>
          <t>causal_prompt_output_json</t>
        </is>
      </c>
      <c r="M1" s="4" t="inlineStr">
        <is>
          <t>instantaneous_risk_score_vlm</t>
        </is>
      </c>
      <c r="N1" s="4" t="inlineStr">
        <is>
          <t>score_rationale_vlm</t>
        </is>
      </c>
      <c r="O1" s="4" t="inlineStr">
        <is>
          <t>dynamic_risk_score_vlm</t>
        </is>
      </c>
      <c r="P1" s="4" t="inlineStr">
        <is>
          <t>traffic_light_color_vlm</t>
        </is>
      </c>
      <c r="Q1" s="5" t="inlineStr">
        <is>
          <t>instantaneous_risk_score_ahp</t>
        </is>
      </c>
      <c r="R1" s="5" t="inlineStr">
        <is>
          <t>dynamic_risk_score_ahp</t>
        </is>
      </c>
      <c r="S1" s="5" t="inlineStr">
        <is>
          <t>traffic_light_color_ahp</t>
        </is>
      </c>
      <c r="T1" s="6" t="inlineStr">
        <is>
          <t>cue_confidence</t>
        </is>
      </c>
      <c r="U1" s="6" t="inlineStr">
        <is>
          <t>diagnostic_notes</t>
        </is>
      </c>
      <c r="V1" s="6" t="inlineStr">
        <is>
          <t>S1_raw</t>
        </is>
      </c>
      <c r="W1" s="6" t="inlineStr">
        <is>
          <t>S1_transformed</t>
        </is>
      </c>
      <c r="X1" s="6" t="inlineStr">
        <is>
          <t>S1_weight</t>
        </is>
      </c>
      <c r="Y1" s="6" t="inlineStr">
        <is>
          <t>S1_contribution</t>
        </is>
      </c>
      <c r="Z1" s="6" t="inlineStr">
        <is>
          <t>S1_contribution_pct</t>
        </is>
      </c>
      <c r="AA1" s="6" t="inlineStr">
        <is>
          <t>S2_raw</t>
        </is>
      </c>
      <c r="AB1" s="6" t="inlineStr">
        <is>
          <t>S2_transformed</t>
        </is>
      </c>
      <c r="AC1" s="6" t="inlineStr">
        <is>
          <t>S2_weight</t>
        </is>
      </c>
      <c r="AD1" s="6" t="inlineStr">
        <is>
          <t>S2_contribution</t>
        </is>
      </c>
      <c r="AE1" s="6" t="inlineStr">
        <is>
          <t>S2_contribution_pct</t>
        </is>
      </c>
      <c r="AF1" s="6" t="inlineStr">
        <is>
          <t>S3_raw</t>
        </is>
      </c>
      <c r="AG1" s="6" t="inlineStr">
        <is>
          <t>S3_transformed</t>
        </is>
      </c>
      <c r="AH1" s="6" t="inlineStr">
        <is>
          <t>S3_weight</t>
        </is>
      </c>
      <c r="AI1" s="6" t="inlineStr">
        <is>
          <t>S3_contribution</t>
        </is>
      </c>
      <c r="AJ1" s="6" t="inlineStr">
        <is>
          <t>S3_contribution_pct</t>
        </is>
      </c>
      <c r="AK1" s="6" t="inlineStr">
        <is>
          <t>S4_raw</t>
        </is>
      </c>
      <c r="AL1" s="6" t="inlineStr">
        <is>
          <t>S4_transformed</t>
        </is>
      </c>
      <c r="AM1" s="6" t="inlineStr">
        <is>
          <t>S4_weight</t>
        </is>
      </c>
      <c r="AN1" s="6" t="inlineStr">
        <is>
          <t>S4_contribution</t>
        </is>
      </c>
      <c r="AO1" s="6" t="inlineStr">
        <is>
          <t>S4_contribution_pct</t>
        </is>
      </c>
      <c r="AP1" s="6" t="inlineStr">
        <is>
          <t>S5_raw</t>
        </is>
      </c>
      <c r="AQ1" s="6" t="inlineStr">
        <is>
          <t>S5_transformed</t>
        </is>
      </c>
      <c r="AR1" s="6" t="inlineStr">
        <is>
          <t>S5_weight</t>
        </is>
      </c>
      <c r="AS1" s="6" t="inlineStr">
        <is>
          <t>S5_contribution</t>
        </is>
      </c>
      <c r="AT1" s="6" t="inlineStr">
        <is>
          <t>S5_contribution_pct</t>
        </is>
      </c>
      <c r="AU1" s="6" t="inlineStr">
        <is>
          <t>S6_raw</t>
        </is>
      </c>
      <c r="AV1" s="6" t="inlineStr">
        <is>
          <t>S6_transformed</t>
        </is>
      </c>
      <c r="AW1" s="6" t="inlineStr">
        <is>
          <t>S6_weight</t>
        </is>
      </c>
      <c r="AX1" s="6" t="inlineStr">
        <is>
          <t>S6_contribution</t>
        </is>
      </c>
      <c r="AY1" s="6" t="inlineStr">
        <is>
          <t>S6_contribution_pct</t>
        </is>
      </c>
      <c r="AZ1" s="6" t="inlineStr">
        <is>
          <t>S7_raw</t>
        </is>
      </c>
      <c r="BA1" s="6" t="inlineStr">
        <is>
          <t>S7_transformed</t>
        </is>
      </c>
      <c r="BB1" s="6" t="inlineStr">
        <is>
          <t>S7_weight</t>
        </is>
      </c>
      <c r="BC1" s="6" t="inlineStr">
        <is>
          <t>S7_contribution</t>
        </is>
      </c>
      <c r="BD1" s="6" t="inlineStr">
        <is>
          <t>S7_contribution_pct</t>
        </is>
      </c>
    </row>
    <row r="2" ht="34" customHeight="1">
      <c r="A2" s="7" t="n">
        <v>0</v>
      </c>
      <c r="B2" s="7" t="n">
        <v>0</v>
      </c>
      <c r="C2" s="7" t="n">
        <v>4</v>
      </c>
      <c r="D2" s="7" t="n">
        <v>4</v>
      </c>
      <c r="E2" s="7" t="inlineStr">
        <is>
          <t>{"analisi_scena": {"descrizione_generale": "Inquadratura dall'alto di una corsia di un magazzino logistico con scaffalature industriali verticali su entrambi i lati, cariche di merci imballate.", "contesto": "Logistica e stoccaggio merci in ambiente industriale indoor."}, "elementi_rilevati": {"persone": "Due operatori situati nella parte inferiore dell'inquadratura, vicino a un carrello di movimentazione.", "macchinari_e_attrezzature": "Un transpallet e un carrello di servizio con scatole posizionato al centro della corsia.", "oggetti": "Scaffalature metalliche multipiano, pallet con merci avvolte in pellicola protettiva, scatole di cartone."}, "condizioni_ambientali_e_visibilita": {"illuminazione": "Illuminazione artificiale uniforme da interno.", "pavimentazione": "Pavimento industriale di colore verde, apparentemente sgombro da ostacoli nella via di transito principale.", "limiti_visibilita": "La telecamera grandangolare posizionata in alto crea distorsioni prospettiche. La distanza degli operatori rende difficile identificare con certezza dettagli sui DPI della testa (es. elmetti)."}, "analisi_sicurezza_e_prevenzione": {"dpi_osservati": "I due operatori indossano gilet ad alta visibilità di colore arancione. La presenza di calzature antinfortunistiche ed elmetti è dubbia a causa della distanza e della risoluzione.", "dinamiche_in_corso": "Gli operatori sono fermi o in fase di preparazione per la movimentazione manuale o assistita di merci dal carrello di servizio.", "fattori_di_rischio_potenziali": {"collisione": "Presenza di pedoni nella corsia di transito. Sebbene non si vedano carrelli elevatori in movimento nella clip, l'accesso alla corsia deve essere regolamentato per evitare interferenze tra mezzi e pedoni.", "caduta_dall_alto": "Le scaffalature sono molto alte; esiste un rischio potenziale di caduta materiali in caso di instabilità dei pallet sovrastanti.", "ergonomia": "Movimentazione manuale dei carichi dal carrello che richiede posture adeguate per prevenire infortuni muscolo-scheletrici."}}}</t>
        </is>
      </c>
      <c r="F2" s="7" t="n">
        <v>25</v>
      </c>
      <c r="G2" s="7" t="inlineStr">
        <is>
          <t>La scena mostra operazioni standard in un magazzino. Gli operatori indossano gilet ad alta visibilità e non vi sono mezzi in movimento o pericoli immediati visibili. Il punteggio di 25 riflette i rischi intrinseci dell'ambiente industriale (movimentazione manuale dei carichi, potenziale caduta di materiali dall'alto e incertezza sull'uso di elmetti/scarpe antinfortunistiche), pur in assenza di situazioni critiche attive.</t>
        </is>
      </c>
      <c r="H2" s="7" t="n">
        <v>25</v>
      </c>
      <c r="I2" s="8" t="inlineStr">
        <is>
          <t>giallo</t>
        </is>
      </c>
      <c r="J2" s="7" t="inlineStr">
        <is>
          <t>{"scene_state": "Un corridoio di un magazzino con scaffalature industriali alte su entrambi i lati, cariche di merci pallettizzate.", "environmental_conditions": ["Illuminazione artificiale interna", "Pavimentazione liscia di colore verde"], "people": ["Due operatori situati nella parte inferiore del corridoio"], "objects": ["Scaffalature metalliche", "Pallet con merci imballate", "Scatole"], "machines": ["Un transpallet o carrello per la movimentazione interna"], "observable_actions": ["Gli operatori sono posizionati vicino al transpallet nel corridoio"], "visible_ppe": ["Gilet ad alta visibilità"], "notes_visibility_limitations": "Inquadratura dall'alto con lente grandangolare che distorce la prospettiva; distanza elevata dai soggetti."}</t>
        </is>
      </c>
      <c r="K2" s="7" t="inlineStr">
        <is>
          <t>{"unsafe_behaviors": ["Presenza ravvicinata di pedoni al mezzo di movimentazione in un corridoio stretto"], "vulnerable_elements": ["Due operatori a piedi nel corridoio di stoccaggio"], "risk_cues": {"S1_people_vehicle_interference": 0.5, "S2_visibility_attention_reduction": 0.25, "S3_non_compliant_behavior": 0.25, "S4_vehicle_infrastructure_interference": 0.5, "S5_storage_structural_instability": 0.25, "S6_access_to_moving_mechanical_parts": 0.0, "S7_manual_handling_heavy_unstable_loads": 0.25}, "cue_confidence": 0.7, "diagnostic_notes": "La presenza di operatori a piedi vicino a un transpallet in un corridoio di stoccaggio stretto evidenzia un rischio moderato di interferenza (S1, S4). La distorsione grandangolare e la distanza limitano l'analisi di comportamenti non conformi specifici."}</t>
        </is>
      </c>
      <c r="L2" s="7" t="inlineStr">
        <is>
          <t>{"causal_chain_plausible": true, "causal_chain_text": "La compresenza di operatori a piedi e di un transpallet in un corridoio stretto riduce lo spazio di manovra sicuro. Un movimento imprevisto del mezzo o una distrazione degli operatori può causare un contatto accidentale.", "near_miss_or_incident_scenario": "Investimento o schiacciamento di un operatore a piedi da parte del transpallet durante una manovra di movimentazione nel corridoio.", "contributing_factors": ["Spazio di manovra limitato nel corridoio di stoccaggio", "Prossimità ravvicinata tra pedoni e mezzo di movimentazione", "Potenziale riduzione della visibilità e dell'attenzione nell'area di lavoro"]}</t>
        </is>
      </c>
      <c r="M2" s="7" t="n">
        <v>45</v>
      </c>
      <c r="N2" s="7" t="inlineStr">
        <is>
          <t>Il punteggio riflette un rischio moderato dovuto alla compresenza di operatori a piedi e un transpallet in un corridoio stretto, che limita lo spazio di manovra. Sebbene indossino gilet ad alta visibilità, la vicinanza al mezzo aumenta la probabilità di contatti accidentali o schiacciamenti.</t>
        </is>
      </c>
      <c r="O2" s="7" t="n">
        <v>45</v>
      </c>
      <c r="P2" s="8" t="inlineStr">
        <is>
          <t>giallo</t>
        </is>
      </c>
      <c r="Q2" s="7" t="n">
        <v>22.97</v>
      </c>
      <c r="R2" s="7" t="n">
        <v>22.97</v>
      </c>
      <c r="S2" s="9" t="inlineStr">
        <is>
          <t>verde</t>
        </is>
      </c>
      <c r="T2" s="7" t="n">
        <v>0.7</v>
      </c>
      <c r="U2" s="7" t="inlineStr">
        <is>
          <t>La presenza di operatori a piedi vicino a un transpallet in un corridoio di stoccaggio stretto evidenzia un rischio moderato di interferenza (S1, S4). La distorsione grandangolare e la distanza limitano l'analisi di comportamenti non conformi specifici.</t>
        </is>
      </c>
      <c r="V2" s="7" t="n">
        <v>0.5</v>
      </c>
      <c r="W2" s="7" t="n">
        <v>0.5</v>
      </c>
      <c r="X2" s="7" t="n">
        <v>0.1109</v>
      </c>
      <c r="Y2" s="7" t="n">
        <v>5.545</v>
      </c>
      <c r="Z2" s="7" t="n">
        <v>24.14</v>
      </c>
      <c r="AA2" s="7" t="n">
        <v>0.25</v>
      </c>
      <c r="AB2" s="7" t="n">
        <v>0.5553</v>
      </c>
      <c r="AC2" s="7" t="n">
        <v>0.037</v>
      </c>
      <c r="AD2" s="7" t="n">
        <v>2.0546</v>
      </c>
      <c r="AE2" s="7" t="n">
        <v>8.94</v>
      </c>
      <c r="AF2" s="7" t="n">
        <v>0.25</v>
      </c>
      <c r="AG2" s="7" t="n">
        <v>0.2689</v>
      </c>
      <c r="AH2" s="7" t="n">
        <v>0.0549</v>
      </c>
      <c r="AI2" s="7" t="n">
        <v>1.4763</v>
      </c>
      <c r="AJ2" s="7" t="n">
        <v>6.43</v>
      </c>
      <c r="AK2" s="7" t="n">
        <v>0.5</v>
      </c>
      <c r="AL2" s="7" t="n">
        <v>0.7685</v>
      </c>
      <c r="AM2" s="7" t="n">
        <v>0.1538</v>
      </c>
      <c r="AN2" s="7" t="n">
        <v>11.8195</v>
      </c>
      <c r="AO2" s="7" t="n">
        <v>51.46</v>
      </c>
      <c r="AP2" s="7" t="n">
        <v>0.25</v>
      </c>
      <c r="AQ2" s="7" t="n">
        <v>0.0359</v>
      </c>
      <c r="AR2" s="7" t="n">
        <v>0.2228</v>
      </c>
      <c r="AS2" s="7" t="n">
        <v>0.7999000000000001</v>
      </c>
      <c r="AT2" s="7" t="n">
        <v>3.48</v>
      </c>
      <c r="AU2" s="7" t="n">
        <v>0</v>
      </c>
      <c r="AV2" s="7" t="n">
        <v>0.0266</v>
      </c>
      <c r="AW2" s="7" t="n">
        <v>0.3447</v>
      </c>
      <c r="AX2" s="7" t="n">
        <v>0.9169</v>
      </c>
      <c r="AY2" s="7" t="n">
        <v>3.99</v>
      </c>
      <c r="AZ2" s="7" t="n">
        <v>0.25</v>
      </c>
      <c r="BA2" s="7" t="n">
        <v>0.0474</v>
      </c>
      <c r="BB2" s="7" t="n">
        <v>0.0759</v>
      </c>
      <c r="BC2" s="7" t="n">
        <v>0.3598</v>
      </c>
      <c r="BD2" s="7" t="n">
        <v>1.57</v>
      </c>
    </row>
    <row r="3" ht="34" customHeight="1">
      <c r="A3" s="7" t="n">
        <v>1</v>
      </c>
      <c r="B3" s="7" t="n">
        <v>2</v>
      </c>
      <c r="C3" s="7" t="n">
        <v>6</v>
      </c>
      <c r="D3" s="7" t="n">
        <v>4</v>
      </c>
      <c r="E3" s="7" t="inlineStr">
        <is>
          <t>{"analisi_temporale": {"inizio_s": 2.0, "fine_s": 6.0}, "descrizione_generale": "Inquadratura zenitale/dall'alto di una corsia di un magazzino logistico con scaffalature verticali ad alta densità cariche di pallet.", "contesto_operativo": "Magazzino di stoccaggio e movimentazione merci.", "personale_rilevato": [{"ruolo": "Operatori a terra", "posizione": "Parte inferiore dell'inquadratura, vicino a un carrello", "dpi_osservati": ["Gilet ad alta visibilità (arancione/giallo)", "Elmetto protettivo"]}, {"ruolo": "Operatore distante", "posizione": "Sullo sfondo, in fondo alla corsia", "dpi_osservati": ["Non chiaramente distinguibili causa distanza"]}], "attrezzature_e_macchinari": ["Transpallet manuale posizionato sul lato sinistro della corsia", "Carrello manuale a piattaforma al centro della corsia", "Scaffalature industriali portapallet cariche di merci imballate"], "condizioni_ambientali_e_visibilita": {"illuminazione": "Artificiale, uniforme lungo la corsia", "stato_pavimentazione": "Pavimento verde, apparentemente sgombro da detriti immediati", "limiti_visivi": "Effetto grandangolare/fisheye della telecamera che distorce i lati; forte riduzione della visibilità e dei dettagli nella parte distale della corsia"}, "valutazione_rischi_e_sicurezza": {"dinamica_in_corso": "Gli operatori sono fermi o in fase di preparazione per la movimentazione manuale di merci tramite carrello.", "fattori_contribuenti": ["Presenza di attrezzature manuali (transpallet e carrello) nella via di transito", "Stoccaggio verticale ad altezza elevata"], "sviluppi_rischiosi_plausibili": ["Rischio di caduta materiali dall'alto dalle scaffalature sovrastanti durante le operazioni a terra", "Rischio di inciampo o collisione con le attrezzature manuali lasciate nella corsia di transito", "Rischio legato alla movimentazione manuale dei carichi se non eseguita secondo le procedure ergonomiche"]}}</t>
        </is>
      </c>
      <c r="F3" s="7" t="n">
        <v>30</v>
      </c>
      <c r="G3" s="7" t="inlineStr">
        <is>
          <t>Il punteggio di 30 riflette una situazione operativa standard con rischi intrinseci moderati. Gli operatori a terra indossano correttamente i DPI (elmetti e gilet ad alta visibilità), mitigando i rischi principali. Rimangono fattori di attenzione legati alla presenza di attrezzature manuali nella via di transito e al potenziale rischio di caduta materiali dalle scaffalature verticali ad alta densità.</t>
        </is>
      </c>
      <c r="H3" s="7" t="n">
        <v>29.25</v>
      </c>
      <c r="I3" s="8" t="inlineStr">
        <is>
          <t>giallo</t>
        </is>
      </c>
      <c r="J3" s="7" t="inlineStr">
        <is>
          <t>{"scene_state": "Corridoio di un magazzino con scaffalature industriali alte cariche di merci pallettizzate.", "environmental_conditions": ["Illuminazione artificiale interna", "Pavimentazione sgombra e pulita"], "people": ["Due operatori in primo piano in basso", "Una persona visibile in lontananza lungo il corridoio"], "objects": ["Scaffalature metalliche", "Pallet con merci imballate", "Carrello manuale con scatole", "Transpallet manuale di colore rosso"], "machines": [], "observable_actions": ["Gli operatori in primo piano sono fermi vicino al carrello", "La persona in fondo al corridoio cammina allontanandosi"], "visible_ppe": ["Gilet ad alta visibilità di colore arancione"], "notes_visibility_limitations": "Inquadratura dall'alto con effetto grandangolare (fisheye) e risoluzione limitata, che rende difficile identificare dettagli minuti come calzature di sicurezza o elmetti."}</t>
        </is>
      </c>
      <c r="K3" s="7" t="inlineStr">
        <is>
          <t>{"unsafe_behaviors": [], "vulnerable_elements": ["Operatori nel corridoio"], "risk_cues": {"S1_people_vehicle_interference": 0.0, "S2_visibility_attention_reduction": 0.0, "S3_non_compliant_behavior": 0.0, "S4_vehicle_infrastructure_interference": 0.0, "S5_storage_structural_instability": 0.25, "S6_access_to_moving_mechanical_parts": 0.0, "S7_manual_handling_heavy_unstable_loads": 0.25}, "cue_confidence": 0.8, "diagnostic_notes": "La scena mostra un corridoio sgombro e ben illuminato. Gli operatori sono fermi vicino a un carrello manuale e non vi sono mezzi di movimentazione motorizzati in transito. La presenza di scaffalature industriali alte e di attrezzature per la movimentazione manuale (transpallet e carrello) costituisce un rischio intrinseco standard per l'ambiente (valutato come debole evidenza), ma non si rilevano situazioni di pericolo attivo, instabilità dei carichi o comportamenti non conformità comportamenti non conformi."}</t>
        </is>
      </c>
      <c r="L3" s="7" t="inlineStr">
        <is>
          <t>{"causal_chain_plausible": false, "causal_chain_text": "La scena mostra un ambiente di lavoro ordinato e conforme. Non si rilevano comportamenti non conformi o instabilità dei carichi che possano innescare una catena causale verso un incidente.", "near_miss_or_incident_scenario": "Nessuno scenario di near miss o incidente è ritenuto probabile nelle condizioni attuali.", "contributing_factors": ["Presenza di scaffalature industriali alte", "Movimentazione manuale dei carichi con transpallet e carrello"]}</t>
        </is>
      </c>
      <c r="M3" s="7" t="n">
        <v>15</v>
      </c>
      <c r="N3" s="7" t="inlineStr">
        <is>
          <t>L'ambiente si presenta ordinato, pulito e ben illuminato, senza evidenze di comportamenti non conformi o pericoli immediati. Il punteggio riflette unicamente il rischio intrinseco standard legato alla presenza di scaffalature alte e alla movimentazione manuale dei carichi.</t>
        </is>
      </c>
      <c r="O3" s="7" t="n">
        <v>27</v>
      </c>
      <c r="P3" s="8" t="inlineStr">
        <is>
          <t>giallo</t>
        </is>
      </c>
      <c r="Q3" s="7" t="n">
        <v>2.36</v>
      </c>
      <c r="R3" s="7" t="n">
        <v>10.6</v>
      </c>
      <c r="S3" s="9" t="inlineStr">
        <is>
          <t>verde</t>
        </is>
      </c>
      <c r="T3" s="7" t="n">
        <v>0.8</v>
      </c>
      <c r="U3" s="7" t="inlineStr">
        <is>
          <t>La scena mostra un corridoio sgombro e ben illuminato. Gli operatori sono fermi vicino a un carrello manuale e non vi sono mezzi di movimentazione motorizzati in transito. La presenza di scaffalature industriali alte e di attrezzature per la movimentazione manuale (transpallet e carrello) costituisce un rischio intrinseco standard per l'ambiente (valutato come debole evidenza), ma non si rilevano situazioni di pericolo attivo, instabilità dei carichi o comportamenti non conformità comportamenti non conformi.</t>
        </is>
      </c>
      <c r="V3" s="7" t="n">
        <v>0</v>
      </c>
      <c r="W3" s="7" t="n">
        <v>0</v>
      </c>
      <c r="X3" s="7" t="n">
        <v>0.1109</v>
      </c>
      <c r="Y3" s="7" t="n">
        <v>0</v>
      </c>
      <c r="Z3" s="7" t="n">
        <v>0</v>
      </c>
      <c r="AA3" s="7" t="n">
        <v>0</v>
      </c>
      <c r="AB3" s="7" t="n">
        <v>0</v>
      </c>
      <c r="AC3" s="7" t="n">
        <v>0.037</v>
      </c>
      <c r="AD3" s="7" t="n">
        <v>0</v>
      </c>
      <c r="AE3" s="7" t="n">
        <v>0</v>
      </c>
      <c r="AF3" s="7" t="n">
        <v>0</v>
      </c>
      <c r="AG3" s="7" t="n">
        <v>0.0293</v>
      </c>
      <c r="AH3" s="7" t="n">
        <v>0.0549</v>
      </c>
      <c r="AI3" s="7" t="n">
        <v>0.1609</v>
      </c>
      <c r="AJ3" s="7" t="n">
        <v>6.82</v>
      </c>
      <c r="AK3" s="7" t="n">
        <v>0</v>
      </c>
      <c r="AL3" s="7" t="n">
        <v>0.008200000000000001</v>
      </c>
      <c r="AM3" s="7" t="n">
        <v>0.1538</v>
      </c>
      <c r="AN3" s="7" t="n">
        <v>0.1261</v>
      </c>
      <c r="AO3" s="7" t="n">
        <v>5.34</v>
      </c>
      <c r="AP3" s="7" t="n">
        <v>0.25</v>
      </c>
      <c r="AQ3" s="7" t="n">
        <v>0.0359</v>
      </c>
      <c r="AR3" s="7" t="n">
        <v>0.2228</v>
      </c>
      <c r="AS3" s="7" t="n">
        <v>0.7999000000000001</v>
      </c>
      <c r="AT3" s="7" t="n">
        <v>33.89</v>
      </c>
      <c r="AU3" s="7" t="n">
        <v>0</v>
      </c>
      <c r="AV3" s="7" t="n">
        <v>0.0266</v>
      </c>
      <c r="AW3" s="7" t="n">
        <v>0.3447</v>
      </c>
      <c r="AX3" s="7" t="n">
        <v>0.9169</v>
      </c>
      <c r="AY3" s="7" t="n">
        <v>38.85</v>
      </c>
      <c r="AZ3" s="7" t="n">
        <v>0.25</v>
      </c>
      <c r="BA3" s="7" t="n">
        <v>0.0474</v>
      </c>
      <c r="BB3" s="7" t="n">
        <v>0.0759</v>
      </c>
      <c r="BC3" s="7" t="n">
        <v>0.3598</v>
      </c>
      <c r="BD3" s="7" t="n">
        <v>15.25</v>
      </c>
    </row>
    <row r="4" ht="34" customHeight="1">
      <c r="A4" s="7" t="n">
        <v>2</v>
      </c>
      <c r="B4" s="7" t="n">
        <v>4</v>
      </c>
      <c r="C4" s="7" t="n">
        <v>8</v>
      </c>
      <c r="D4" s="7" t="n">
        <v>4</v>
      </c>
      <c r="E4" s="7" t="inlineStr">
        <is>
          <t>{"analisi_scena": {"descrizione_generale": "Inquadratura zenitale di una corsia di un magazzino logistico con scaffalature industriali verticali.", "contesto": "Stoccaggio e movimentazione merci in ambito logistico."}, "soggetti_e_oggetti": {"persone": "Due operatori in primo piano in basso; una terza figura scarsamente visibile sullo sfondo della corsia.", "macchinari_attrezzature": "Transpallet manuale e carrello di servizio per prelievo merci.", "oggetti": "Scaffalature metalliche multipiano, pallet con merci imballate in pellicola protettiva."}, "dinamiche_e_ambiente": {"azioni": "Gli operatori movimentano merci o preparano un carico nei pressi del carrello.", "condizioni_ambientali": "Illuminazione artificiale interna, pavimentazione verde apparentemente pulita e sgombra.", "limiti_visibilita": "La prospettiva dall'alto e la risoluzione limitano la visibilità dei dettagli sullo sfondo e la nitidezza dei volti."}, "valutazione_sicurezza": {"dpi_rilevati": "Gilet ad alta visibilità di colore giallo. L'uso di elmetti o scarpe antinfortunistiche è presumibile ma non chiaramente verificabile.", "ragionamento_causale": "La compresenza di operatori a piedi e attrezzature manuali in spazi definiti richiede attenzione per evitare interferenze.", "rischi_potenziali": "Rischio moderato di piccoli urti con il carrello o di caduta di oggetti durante la manipolazione manuale dei carichi.", "fattori_contribuenti": "Spazio operativo ristretto attorno al transpallet e altezza elevata delle scaffalature adiacenti."}}</t>
        </is>
      </c>
      <c r="F4" s="7" t="n">
        <v>30</v>
      </c>
      <c r="G4" s="7" t="inlineStr">
        <is>
          <t>Il punteggio di 30 indica un rischio basso-moderato, tipico di un'area di lavoro logistica attiva ma ordinata. Gli operatori indossano i gilet ad alta visibilità e la pavimentazione è sgombra. I fattori di rischio sono limitati alla movimentazione manuale dei carichi in spazi ristretti e alla potenziale caduta di oggetti dalle scaffalature verticali adiacenti.</t>
        </is>
      </c>
      <c r="H4" s="7" t="n">
        <v>29.7</v>
      </c>
      <c r="I4" s="8" t="inlineStr">
        <is>
          <t>giallo</t>
        </is>
      </c>
      <c r="J4" s="7" t="inlineStr">
        <is>
          <t>{"scene_state": "Corridoio di un magazzino con scaffalature industriali alte su entrambi i lati cariche di merci pallettizzate.", "environmental_conditions": ["Illuminazione artificiale interna uniforme", "Pavimentazione liscia di colore verde", "Ambiente pulito e ordinato"], "people": ["Due operatori in primo piano in basso", "Una persona visibile in lontananza lungo il corridoio"], "objects": ["Pallet avvolti in pellicola protettiva sulle scaffalature", "Scatole di cartone", "Carrello per il trasporto di merci"], "machines": ["Transpallet manuale posizionato vicino ai lavoratori"], "observable_actions": ["I lavoratori sono fermi o compiono piccoli movimenti vicino al carrello merci"], "visible_ppe": ["Indumenti ad alta visibilità di colore giallo e arancione"], "notes_visibility_limitations": "Inquadratura dall'alto con lente grandangolare che distorce i dettagli e rende difficile l'identificazione precisa di piccoli DPI."}</t>
        </is>
      </c>
      <c r="K4" s="7" t="inlineStr">
        <is>
          <t>{"unsafe_behaviors": [], "vulnerable_elements": ["Due operatori in primo piano nel corridoio", "Persona in lontananza lungo il corridoio"], "risk_cues": {"S1_people_vehicle_interference": 0.25, "S2_visibility_attention_reduction": 0.25, "S3_non_compliant_behavior": 0.0, "S4_vehicle_infrastructure_interference": 0.2, "S5_storage_structural_instability": 0.25, "S6_access_to_moving_mechanical_parts": 0.0, "S7_manual_handling_heavy_unstable_loads": 0.25}, "cue_confidence": 0.75, "diagnostic_notes": "L'ambiente si presenta ordinato e pulito, con gli operatori che indossano indumenti ad alta visibilità. La presenza di un transpallet manuale e di scaffalature alte cariche di pallet configura un livello di rischio intrinseco basso e gestito. Non si rilevano comportamenti non conformi o interferenze critiche. L'inquadratura dall'alto e la lente grandangolare limitano la visibilità dei dettagli più dettagliata dei dettagliata di piccoli."}</t>
        </is>
      </c>
      <c r="L4" s="7" t="inlineStr">
        <is>
          <t>{"causal_chain_plausible": false, "causal_chain_text": "Non si identifica una catena causale plausibile per un incidente significativo. L'ambiente è pulito, ordinato e i lavoratori indossano DPI ad alta visibilità, riducendo al minimo i rischi di interferenza.", "near_miss_or_incident_scenario": "Nessun scenario di rilievo. L'unico rischio residuo è rappresentato da un potenziale e lieve inciampo accidentale sul transpallet manuale fermo nel corridoio.", "contributing_factors": ["Presenza di un transpallet manuale fermo nel corridoio di transito", "Limitazione visiva dei piccoli dettagli dovuta all'inquadratura grandangolare dall'alto"]}</t>
        </is>
      </c>
      <c r="M4" s="7" t="n">
        <v>15</v>
      </c>
      <c r="N4" s="7" t="inlineStr">
        <is>
          <t>L'ambiente di lavoro si presenta pulito e ordinato, con gli operatori che indossano regolarmente i DPI ad alta visibilità. Non si rilevano comportamenti non conformi o interferenze critiche, mantenendo il livello di rischio estremamente basso e limitato ai pericoli intrinseci dell'area.</t>
        </is>
      </c>
      <c r="O4" s="7" t="n">
        <v>19.8</v>
      </c>
      <c r="P4" s="9" t="inlineStr">
        <is>
          <t>verde</t>
        </is>
      </c>
      <c r="Q4" s="7" t="n">
        <v>8.34</v>
      </c>
      <c r="R4" s="7" t="n">
        <v>10.74</v>
      </c>
      <c r="S4" s="9" t="inlineStr">
        <is>
          <t>verde</t>
        </is>
      </c>
      <c r="T4" s="7" t="n">
        <v>0.75</v>
      </c>
      <c r="U4" s="7" t="inlineStr">
        <is>
          <t>L'ambiente si presenta ordinato e pulito, con gli operatori che indossano indumenti ad alta visibilità. La presenza di un transpallet manuale e di scaffalature alte cariche di pallet configura un livello di rischio intrinseco basso e gestito. Non si rilevano comportamenti non conformi o interferenze critiche. L'inquadratura dall'alto e la lente grandangolare limitano la visibilità dei dettagli più dettagliata dei dettagliata di piccoli.</t>
        </is>
      </c>
      <c r="V4" s="7" t="n">
        <v>0.25</v>
      </c>
      <c r="W4" s="7" t="n">
        <v>0.25</v>
      </c>
      <c r="X4" s="7" t="n">
        <v>0.1109</v>
      </c>
      <c r="Y4" s="7" t="n">
        <v>2.7725</v>
      </c>
      <c r="Z4" s="7" t="n">
        <v>33.24</v>
      </c>
      <c r="AA4" s="7" t="n">
        <v>0.25</v>
      </c>
      <c r="AB4" s="7" t="n">
        <v>0.5553</v>
      </c>
      <c r="AC4" s="7" t="n">
        <v>0.037</v>
      </c>
      <c r="AD4" s="7" t="n">
        <v>2.0546</v>
      </c>
      <c r="AE4" s="7" t="n">
        <v>24.64</v>
      </c>
      <c r="AF4" s="7" t="n">
        <v>0</v>
      </c>
      <c r="AG4" s="7" t="n">
        <v>0.0293</v>
      </c>
      <c r="AH4" s="7" t="n">
        <v>0.0549</v>
      </c>
      <c r="AI4" s="7" t="n">
        <v>0.1609</v>
      </c>
      <c r="AJ4" s="7" t="n">
        <v>1.93</v>
      </c>
      <c r="AK4" s="7" t="n">
        <v>0.2</v>
      </c>
      <c r="AL4" s="7" t="n">
        <v>0.0832</v>
      </c>
      <c r="AM4" s="7" t="n">
        <v>0.1538</v>
      </c>
      <c r="AN4" s="7" t="n">
        <v>1.2796</v>
      </c>
      <c r="AO4" s="7" t="n">
        <v>15.34</v>
      </c>
      <c r="AP4" s="7" t="n">
        <v>0.25</v>
      </c>
      <c r="AQ4" s="7" t="n">
        <v>0.0359</v>
      </c>
      <c r="AR4" s="7" t="n">
        <v>0.2228</v>
      </c>
      <c r="AS4" s="7" t="n">
        <v>0.7999000000000001</v>
      </c>
      <c r="AT4" s="7" t="n">
        <v>9.59</v>
      </c>
      <c r="AU4" s="7" t="n">
        <v>0</v>
      </c>
      <c r="AV4" s="7" t="n">
        <v>0.0266</v>
      </c>
      <c r="AW4" s="7" t="n">
        <v>0.3447</v>
      </c>
      <c r="AX4" s="7" t="n">
        <v>0.9169</v>
      </c>
      <c r="AY4" s="7" t="n">
        <v>10.99</v>
      </c>
      <c r="AZ4" s="7" t="n">
        <v>0.25</v>
      </c>
      <c r="BA4" s="7" t="n">
        <v>0.0474</v>
      </c>
      <c r="BB4" s="7" t="n">
        <v>0.0759</v>
      </c>
      <c r="BC4" s="7" t="n">
        <v>0.3598</v>
      </c>
      <c r="BD4" s="7" t="n">
        <v>4.31</v>
      </c>
    </row>
    <row r="5" ht="34" customHeight="1">
      <c r="A5" s="7" t="n">
        <v>3</v>
      </c>
      <c r="B5" s="7" t="n">
        <v>6</v>
      </c>
      <c r="C5" s="7" t="n">
        <v>10</v>
      </c>
      <c r="D5" s="7" t="n">
        <v>4</v>
      </c>
      <c r="E5" s="7" t="inlineStr">
        <is>
          <t>{"contesto_e_scena": {"descrizione_generale": "Corsia di un magazzino di stoccaggio intensivo con scaffalature metalliche verticali.", "contesto": "Logistica e movimentazione merci."}, "soggetti_e_risorse": {"persone": "Un operatore visibile in primo piano in basso; una seconda figura difficilmente identificabile sullo sfondo.", "macchinari": "Transpallet posizionato nella parte inferiore della corsia.", "oggetti": "Pallet stoccati su scaffali multilivello, avvolti in film protettivo."}, "dinamiche_e_condizioni": {"azioni": "L'operatore in primo piano è fermo o in fase di preparazione della movimentazione del transpallet.", "condizioni_ambientali": "Illuminazione artificiale uniforme, pavimentazione verde apparentemente pulita.", "limiti_visibilita": "Inquadratura zenitale grandangolare che distorce le proporzioni; forte sfocatura e perdita di dettaglio sulla distanza."}, "analisi_sicurezza": {"dpi_rilevati": "Gilet ad alta visibilità ed elmetto protettivo (visibili ma con dettagli limitati dalla distanza).", "ragionamento_causale": "La compresenza di operatori a piedi e attrezzature di movimentazione in corsie strette richiede costante controllo visivo.", "rischi_potenziali": "Rischio di investimento da parte di altri mezzi in transito se non segnalati; rischio di caduta materiali dall'alto in caso di urto accidentale delle scaffalature.", "fattori_contribuenti": "Spazio di manovra limitato dalla larghezza della corsia e visibilità ridotta alle estremità della stessa."}}</t>
        </is>
      </c>
      <c r="F5" s="7" t="n">
        <v>45</v>
      </c>
      <c r="G5" s="7" t="inlineStr">
        <is>
          <t>Il punteggio riflette un rischio moderato (45/100). L'operatore indossa i DPI visibili (elmetto e gilet), ma la compresenza di una seconda figura sullo sfondo in una corsia stretta, unita alla presenza di un transpallet e alla visibilità ridotta alle estremità della corsia, genera potenziali rischi di investimento o di urto accidentale contro le scaffalature verticali.</t>
        </is>
      </c>
      <c r="H5" s="7" t="n">
        <v>42.63</v>
      </c>
      <c r="I5" s="8" t="inlineStr">
        <is>
          <t>giallo</t>
        </is>
      </c>
      <c r="J5" s="7" t="inlineStr">
        <is>
          <t>{"scene_state": "Corsia di un magazzino con scaffalature industriali alte su entrambi i lati, cariche di merci pallettizzate.", "environmental_conditions": ["Illuminazione artificiale interna uniforme", "Pavimentazione di colore verde, apparentemente pulita e sgombra"], "people": ["Un operatore in primo piano in basso al centro", "Un secondo operatore visibile in lontananza lungo la corsia"], "objects": ["Scaffalature metalliche", "Pallet con merci imballate in pellicola plastica", "Carrello manuale o transpallet"], "machines": ["Transpallet manuale posizionato nella corsia"], "observable_actions": ["L'operatore in primo piano è fermo vicino al transpallet", "L'operatore sullo sfondo è statico o in movimento lento lungo la corsia"], "visible_ppe": ["Giacca o gilet ad alta visibilità di colore giallo/arancione indossato dall'operatore in primo piano"], "notes_visibility_limitations": "Inquadratura dall'alto con lente grandangolare che distorce i dettagli ai margini e rende difficile identificare con precisione i dettagli dei DPI e i volti delle persone."}</t>
        </is>
      </c>
      <c r="K5" s="7" t="inlineStr">
        <is>
          <t>{"unsafe_behaviors": [], "vulnerable_elements": ["Operatore in primo piano", "Operatore sullo sfondo"], "risk_cues": {"S1_people_vehicle_interference": 0.25, "S2_visibility_attention_reduction": 0.25, "S3_non_compliant_behavior": 0.0, "S4_vehicle_infrastructure_interference": 0.0, "S5_storage_structural_instability": 0.25, "S6_access_to_moving_mechanical_parts": 0.0, "S7_manual_handling_heavy_unstable_loads": 0.0}, "cue_confidence": 0.8, "diagnostic_notes": "La scena presenta una situazione di lavoro stabile e apparentemente sicura. Gli operatori sono statici e il transpallet manuale non è in fase di manovra attiva, minimizzando i rischi di interferenza immediata. I punteggi bassi ma non nulli su S1, S2 e S5 riflettono i rischi intrinseci legati alla presenza di scaffalature alte e alla condivisione degli spazi con attrezzature di movimentazione, oltre ai limiti di visibilità imposti dall'inquadratura grandangolare."}</t>
        </is>
      </c>
      <c r="L5" s="7" t="inlineStr">
        <is>
          <t>{"causal_chain_plausible": true, "causal_chain_text": "La compresenza di operatori a piedi e di un transpallet in una corsia stretta con scaffalature alte configura un rischio intrinseco. Se l'operatore in primo piano iniziasse a movimentare il transpallet senza accertarsi della posizione del collega sullo sfondo, o se si verificasse un urto accidentale contro i montanti delle scaffalature, potrebbe innescarsi la caduta di materiali dall'alto o un investimento.", "near_miss_or_incident_scenario": "Urto accidentale della scaffalatura da parte del transpallet manuale con potenziale caduta di oggetti o instabilità del carico pallettizzato, oppure interferenza stretta con l'operatore sullo sfondo.", "contributing_factors": ["Presenza di attrezzature di movimentazione e pedoni nello stesso spazio di lavoro", "Stoccaggio di merci pallettizzate ad altezze elevate", "Limitazioni di visibilità e percezione dello spazio dovute alla configurazione della corsia"]}</t>
        </is>
      </c>
      <c r="M5" s="7" t="n">
        <v>15</v>
      </c>
      <c r="N5" s="7" t="inlineStr">
        <is>
          <t>Il livello di rischio è basso poiché gli operatori sono attualmente statici e non vi sono manovre attive con il transpallet. Permangono solo i rischi intrinseci legati alla presenza di scaffalature alte e alla condivisione dello spazio di lavoro.</t>
        </is>
      </c>
      <c r="O5" s="7" t="n">
        <v>16.92</v>
      </c>
      <c r="P5" s="9" t="inlineStr">
        <is>
          <t>verde</t>
        </is>
      </c>
      <c r="Q5" s="7" t="n">
        <v>6.83</v>
      </c>
      <c r="R5" s="7" t="n">
        <v>8.390000000000001</v>
      </c>
      <c r="S5" s="9" t="inlineStr">
        <is>
          <t>verde</t>
        </is>
      </c>
      <c r="T5" s="7" t="n">
        <v>0.8</v>
      </c>
      <c r="U5" s="7" t="inlineStr">
        <is>
          <t>La scena presenta una situazione di lavoro stabile e apparentemente sicura. Gli operatori sono statici e il transpallet manuale non è in fase di manovra attiva, minimizzando i rischi di interferenza immediata. I punteggi bassi ma non nulli su S1, S2 e S5 riflettono i rischi intrinseci legati alla presenza di scaffalature alte e alla condivisione degli spazi con attrezzature di movimentazione, oltre ai limiti di visibilità imposti dall'inquadratura grandangolare.</t>
        </is>
      </c>
      <c r="V5" s="7" t="n">
        <v>0.25</v>
      </c>
      <c r="W5" s="7" t="n">
        <v>0.25</v>
      </c>
      <c r="X5" s="7" t="n">
        <v>0.1109</v>
      </c>
      <c r="Y5" s="7" t="n">
        <v>2.7725</v>
      </c>
      <c r="Z5" s="7" t="n">
        <v>40.59</v>
      </c>
      <c r="AA5" s="7" t="n">
        <v>0.25</v>
      </c>
      <c r="AB5" s="7" t="n">
        <v>0.5553</v>
      </c>
      <c r="AC5" s="7" t="n">
        <v>0.037</v>
      </c>
      <c r="AD5" s="7" t="n">
        <v>2.0546</v>
      </c>
      <c r="AE5" s="7" t="n">
        <v>30.08</v>
      </c>
      <c r="AF5" s="7" t="n">
        <v>0</v>
      </c>
      <c r="AG5" s="7" t="n">
        <v>0.0293</v>
      </c>
      <c r="AH5" s="7" t="n">
        <v>0.0549</v>
      </c>
      <c r="AI5" s="7" t="n">
        <v>0.1609</v>
      </c>
      <c r="AJ5" s="7" t="n">
        <v>2.36</v>
      </c>
      <c r="AK5" s="7" t="n">
        <v>0</v>
      </c>
      <c r="AL5" s="7" t="n">
        <v>0.008200000000000001</v>
      </c>
      <c r="AM5" s="7" t="n">
        <v>0.1538</v>
      </c>
      <c r="AN5" s="7" t="n">
        <v>0.1261</v>
      </c>
      <c r="AO5" s="7" t="n">
        <v>1.85</v>
      </c>
      <c r="AP5" s="7" t="n">
        <v>0.25</v>
      </c>
      <c r="AQ5" s="7" t="n">
        <v>0.0359</v>
      </c>
      <c r="AR5" s="7" t="n">
        <v>0.2228</v>
      </c>
      <c r="AS5" s="7" t="n">
        <v>0.7999000000000001</v>
      </c>
      <c r="AT5" s="7" t="n">
        <v>11.71</v>
      </c>
      <c r="AU5" s="7" t="n">
        <v>0</v>
      </c>
      <c r="AV5" s="7" t="n">
        <v>0.0266</v>
      </c>
      <c r="AW5" s="7" t="n">
        <v>0.3447</v>
      </c>
      <c r="AX5" s="7" t="n">
        <v>0.9169</v>
      </c>
      <c r="AY5" s="7" t="n">
        <v>13.42</v>
      </c>
      <c r="AZ5" s="7" t="n">
        <v>0</v>
      </c>
      <c r="BA5" s="7" t="n">
        <v>0</v>
      </c>
      <c r="BB5" s="7" t="n">
        <v>0.0759</v>
      </c>
      <c r="BC5" s="7" t="n">
        <v>0</v>
      </c>
      <c r="BD5" s="7" t="n">
        <v>0</v>
      </c>
    </row>
    <row r="6" ht="34" customHeight="1">
      <c r="A6" s="7" t="n">
        <v>4</v>
      </c>
      <c r="B6" s="7" t="n">
        <v>8</v>
      </c>
      <c r="C6" s="7" t="n">
        <v>12</v>
      </c>
      <c r="D6" s="7" t="n">
        <v>4</v>
      </c>
      <c r="E6" s="7" t="inlineStr">
        <is>
          <t>{"descrizione_generale": "Inquadratura dall'alto di un corridoio di un magazzino logistico con scaffalature industriali verticali su entrambi i lati.", "contesto_industriale": "Area di stoccaggio e movimentazione merci ad alta densità.", "persone_presenti": "Un operatore visibile in primo piano nel corridoio; una seconda figura difficilmente identificabile sullo sfondo.", "oggetti_presenti": "Pallet stoccati, imballaggi plastici, merci su scaffali e un carrello di trasporto.", "macchinari_presenti": "Transpallet manuale o carrello per la movimentazione interna delle merci.", "azioni_osservabili": "L'operatore in primo piano staziona o si muove lentamente accanto al carrello merci.", "condizioni_ambientali": "Illuminazione artificiale interna costante, pavimentazione liscia con segnaletica verde.", "limiti_visibilita": "Prospettiva grandangolare dall'alto che distorce le distanze; scarsa visibilità dei dettagli in fondo al corridoio per via della distanza.", "ragionamento_causale": "La presenza di un operatore a piedi in un corridoio di stoccaggio richiede vigilanza per evitare interferenze con eventuali mezzi di movimentazione rapida.", "sviluppi_rischiosi": "Rischio di investimento dell'operatore a piedi in caso di ingresso improvviso di carrelli elevatori; rischio di caduta materiali dall'alto in assenza di reti di contenimento visibili.", "fattori_contribuenti": "Stoccaggio verticale molto elevato e corridoio stretto che limita le vie di fuga rapide.", "dpi_rilevati": "Indumento ad alta visibilità (giallo/arancione) indossato dall'operatore in primo piano."}</t>
        </is>
      </c>
      <c r="F6" s="7" t="n">
        <v>30</v>
      </c>
      <c r="G6" s="7" t="inlineStr">
        <is>
          <t>Il punteggio riflette una situazione di normale operatività con rischi intrinseci moderati. L'operatore indossa correttamente il gilet ad alta visibilità e l'area presenta segnaletica di sicurezza sulla pavimentazione. I rischi sono legati esclusivamente alla natura dell'ambiente (stoccaggio verticale elevato, corridoio stretto e potenziale transito di mezzi), ma non si rilevano comportamenti pericolosi o minacce immediate nel frame temporale indicato.</t>
        </is>
      </c>
      <c r="H6" s="7" t="n">
        <v>35.05</v>
      </c>
      <c r="I6" s="8" t="inlineStr">
        <is>
          <t>giallo</t>
        </is>
      </c>
      <c r="J6" s="7" t="inlineStr">
        <is>
          <t>{"scene_state": "Inquadratura dall'alto di un corridoio di un magazzino logistico con scaffalature industriali cariche di merci su entrambi i lati.", "environmental_conditions": ["Illuminazione artificiale interna uniforme", "Pavimentazione liscia e sgombra nel corridoio centrale"], "people": ["Un operatore situato nel corridoio centrale vicino a un carrello/transpallet."], "objects": ["Scaffalature metalliche", "Pallet con merci imballate in pellicola plastica", "Scatole di cartone", "Carrello manuale o transpallet"], "machines": ["Transpallet o carrello di movimentazione merci"], "observable_actions": ["L'operatore è fermo nel corridoio accanto al carrello, apparentemente intento a gestire le merci."], "visible_ppe": ["Gilet o giubbotto ad alta visibilità di colore giallo/arancione", "Copricapo o elmetto protettivo giallo"], "notes_visibility_limitations": "La visuale dall'alto e la distanza della telecamera limitano la nitidezza dei dettagli del volto dell'operatore e dei DPI specifici."}</t>
        </is>
      </c>
      <c r="K6" s="7" t="inlineStr">
        <is>
          <t>{"unsafe_behaviors": [], "vulnerable_elements": ["Operatore nel corridoio centrale"], "risk_cues": {"S1_people_vehicle_interference": 0.25, "S2_visibility_attention_reduction": 0.25, "S3_non_compliant_behavior": 0.0, "S4_vehicle_infrastructure_interference": 0.0, "S5_storage_structural_instability": 0.25, "S6_access_to_moving_mechanical_parts": 0.0, "S7_manual_handling_heavy_unstable_loads": 0.25}, "cue_confidence": 0.8, "diagnostic_notes": "L'operatore risulta correttamente equipaggiato con DPI visibili (gilet ad alta visibilità ed elmetto) ed è fermo accanto a un transpallet manuale. Non si osservano mezzi motorizzati in movimento né comportamenti non conformi. La presenza di scaffalature industriali cariche in quota comporta un rischio intrinseco di instabilità/caduta materiali (S5), sebbene non si notino anomalie strutturali. Le attività di gestione merci vicino al carrello mantengono un livello di rischio debole/potenziale per movimentazione carichi e distrazione temporanea."}</t>
        </is>
      </c>
      <c r="L6" s="7" t="inlineStr">
        <is>
          <t>{"causal_chain_plausible": false, "causal_chain_text": "Non si ravvisano catene causali attive. L'operatore indossa i DPI necessari (elmetto, gilet) e opera con un transpallet manuale in un corridoio sgombro, senza interferenze di mezzi motorizzati o comportamenti non conformi.", "near_miss_or_incident_scenario": "Nessun incidente altamente probabile. L'unico scenario latente e a bassa probabilità riguarda la perdita di equilibrio del carico durante la movimentazione manuale o la caduta di oggetti dalle scaffalature.", "contributing_factors": ["Presenza di merci stoccate in quota sulle scaffalature", "Operazioni di movimentazione manuale dei carichi"]}</t>
        </is>
      </c>
      <c r="M6" s="7" t="n">
        <v>15</v>
      </c>
      <c r="N6" s="7" t="inlineStr">
        <is>
          <t>Il rischio è basso poiché l'operatore indossa correttamente i DPI necessari e opera in un corridoio sgombro senza interferenze di mezzi in movimento. Permangono solo i rischi intrinseci minimi legati allo stoccaggio in quota e alla movimentazione manuale.</t>
        </is>
      </c>
      <c r="O6" s="7" t="n">
        <v>15.77</v>
      </c>
      <c r="P6" s="9" t="inlineStr">
        <is>
          <t>verde</t>
        </is>
      </c>
      <c r="Q6" s="7" t="n">
        <v>7.19</v>
      </c>
      <c r="R6" s="7" t="n">
        <v>7.76</v>
      </c>
      <c r="S6" s="9" t="inlineStr">
        <is>
          <t>verde</t>
        </is>
      </c>
      <c r="T6" s="7" t="n">
        <v>0.8</v>
      </c>
      <c r="U6" s="7" t="inlineStr">
        <is>
          <t>L'operatore risulta correttamente equipaggiato con DPI visibili (gilet ad alta visibilità ed elmetto) ed è fermo accanto a un transpallet manuale. Non si osservano mezzi motorizzati in movimento né comportamenti non conformi. La presenza di scaffalature industriali cariche in quota comporta un rischio intrinseco di instabilità/caduta materiali (S5), sebbene non si notino anomalie strutturali. Le attività di gestione merci vicino al carrello mantengono un livello di rischio debole/potenziale per movimentazione carichi e distrazione temporanea.</t>
        </is>
      </c>
      <c r="V6" s="7" t="n">
        <v>0.25</v>
      </c>
      <c r="W6" s="7" t="n">
        <v>0.25</v>
      </c>
      <c r="X6" s="7" t="n">
        <v>0.1109</v>
      </c>
      <c r="Y6" s="7" t="n">
        <v>2.7725</v>
      </c>
      <c r="Z6" s="7" t="n">
        <v>38.56</v>
      </c>
      <c r="AA6" s="7" t="n">
        <v>0.25</v>
      </c>
      <c r="AB6" s="7" t="n">
        <v>0.5553</v>
      </c>
      <c r="AC6" s="7" t="n">
        <v>0.037</v>
      </c>
      <c r="AD6" s="7" t="n">
        <v>2.0546</v>
      </c>
      <c r="AE6" s="7" t="n">
        <v>28.58</v>
      </c>
      <c r="AF6" s="7" t="n">
        <v>0</v>
      </c>
      <c r="AG6" s="7" t="n">
        <v>0.0293</v>
      </c>
      <c r="AH6" s="7" t="n">
        <v>0.0549</v>
      </c>
      <c r="AI6" s="7" t="n">
        <v>0.1609</v>
      </c>
      <c r="AJ6" s="7" t="n">
        <v>2.24</v>
      </c>
      <c r="AK6" s="7" t="n">
        <v>0</v>
      </c>
      <c r="AL6" s="7" t="n">
        <v>0.008200000000000001</v>
      </c>
      <c r="AM6" s="7" t="n">
        <v>0.1538</v>
      </c>
      <c r="AN6" s="7" t="n">
        <v>0.1261</v>
      </c>
      <c r="AO6" s="7" t="n">
        <v>1.75</v>
      </c>
      <c r="AP6" s="7" t="n">
        <v>0.25</v>
      </c>
      <c r="AQ6" s="7" t="n">
        <v>0.0359</v>
      </c>
      <c r="AR6" s="7" t="n">
        <v>0.2228</v>
      </c>
      <c r="AS6" s="7" t="n">
        <v>0.7999000000000001</v>
      </c>
      <c r="AT6" s="7" t="n">
        <v>11.13</v>
      </c>
      <c r="AU6" s="7" t="n">
        <v>0</v>
      </c>
      <c r="AV6" s="7" t="n">
        <v>0.0266</v>
      </c>
      <c r="AW6" s="7" t="n">
        <v>0.3447</v>
      </c>
      <c r="AX6" s="7" t="n">
        <v>0.9169</v>
      </c>
      <c r="AY6" s="7" t="n">
        <v>12.75</v>
      </c>
      <c r="AZ6" s="7" t="n">
        <v>0.25</v>
      </c>
      <c r="BA6" s="7" t="n">
        <v>0.0474</v>
      </c>
      <c r="BB6" s="7" t="n">
        <v>0.0759</v>
      </c>
      <c r="BC6" s="7" t="n">
        <v>0.3598</v>
      </c>
      <c r="BD6" s="7" t="n">
        <v>5</v>
      </c>
    </row>
    <row r="7" ht="34" customHeight="1">
      <c r="A7" s="7" t="n">
        <v>5</v>
      </c>
      <c r="B7" s="7" t="n">
        <v>10</v>
      </c>
      <c r="C7" s="7" t="n">
        <v>14</v>
      </c>
      <c r="D7" s="7" t="n">
        <v>4</v>
      </c>
      <c r="E7" s="7" t="inlineStr">
        <is>
          <t>{"descrizione_generale": "Vista dall'alto di una corsia di un magazzino logistico con scaffalature industriali.", "contesto": "Ambiente di stoccaggio e logistica intensiva con scaffalature alte.", "persone": [{"ruolo": "Operatore a terra", "posizione": "Parte inferiore della corsia, vicino a un transpallet", "dpi_rilevati": "Giacca/gilet ad alta visibilità giallo/arancione. Altri DPI (es. scarpe antinfortunistiche, elmetto) non sono chiaramente verificabili a causa della distanza della telecamera."}], "oggetti": "Scaffalature metalliche, merci pallettizzate, transpallet manuale.", "macchinari": "Veicolo per la movimentazione dei materiali (AGV o carrello elevatore) in movimento lungo la corsia centrale.", "azioni": "Il veicolo si sposta lungo la corsia mentre l'operatore staziona a terra vicino alle scaffalature.", "condizioni_ambientali": "Illuminazione artificiale uniforme, pavimentazione sgombra e pulita.", "limiti_visibilita": "Inquadratura zenitale/grandangolare che distorce le distanze reali; zone d'ombra sotto le scaffalature e risoluzione limitata sui dettagli dei DPI.", "ragionamento_causale": "La compresenza di un veicolo in movimento e di un pedone nella stessa corsia stretta aumenta la probabilità di interazione ravvicinata.", "sviluppi_rischiosi": "Rischio di investimento o schiacciamento dell'operatore qualora il veicolo deviasse dalla traiettoria o l'operatore entrasse improvvisamente nel suo raggio d'azione.", "fattori_contribuenti": "Condivisione dello spazio di manovra tra pedoni e mezzi semoventi in una corsia priva di barriere fisiche di separazione."}</t>
        </is>
      </c>
      <c r="F7" s="7" t="n">
        <v>70</v>
      </c>
      <c r="G7" s="7" t="inlineStr">
        <is>
          <t>Il punteggio di 70 riflette un rischio elevato dovuto alla compresenza e condivisione dello spazio di manovra tra un operatore a terra e un veicolo industriale in movimento in una corsia stretta priva di barriere fisiche di separazione. Sebbene l'operatore indossi un gilet ad alta visibilità, la mancanza di segregazione fisica e la potenziale deviazione del mezzo o un movimento improvviso del pedone generano un rischio concreto di investimento o schiacciamento.</t>
        </is>
      </c>
      <c r="H7" s="7" t="n">
        <v>66.02</v>
      </c>
      <c r="I7" s="10" t="inlineStr">
        <is>
          <t>arancione</t>
        </is>
      </c>
      <c r="J7" s="7" t="inlineStr">
        <is>
          <t>{"scene_state": "Inquadratura dall'alto di un corridoio di un magazzino con scaffalature industriali su entrambi i lati.", "environmental_conditions": ["Illuminazione artificiale interna", "Pavimentazione liscia di colore verde", "Ambiente pulito e ordinato"], "people": ["Un operatore situato nella parte inferiore centrale del corridoio, vicino a un transpallet."], "objects": ["Scaffalature metalliche verticali", "Pallet stoccati carichi di merci imballate con pellicola trasparente"], "machines": ["Un transpallet manuale o elettrico nel corridoio", "Un possibile carrello elevatore o veicolo automatizzato visibile in lontananza lungo il corridoio"], "observable_actions": ["L'operatore è fermo vicino al transpallet", "La scena appare prevalentemente statica durante l'intervallo temporale"], "visible_ppe": ["Giacca o gilet ad alta visibilità di colore giallo/arancione"], "notes_visibility_limitations": "La telecamera è posizionata molto in alto con un obiettivo grandangolare, riducendo la risoluzione dei dettagli sui singoli operatori e sui DPI specifici."}</t>
        </is>
      </c>
      <c r="K7" s="7" t="inlineStr">
        <is>
          <t>{"unsafe_behaviors": [], "vulnerable_elements": ["Operatore situato nel corridoio vicino al transpallet"], "risk_cues": {"S1_people_vehicle_interference": 0.25, "S2_visibility_attention_reduction": 0.0, "S3_non_compliant_behavior": 0.0, "S4_vehicle_infrastructure_interference": 0.0, "S5_storage_structural_instability": 0.0, "S6_access_to_moving_mechanical_parts": 0.0, "S7_manual_handling_heavy_unstable_loads": 0.0}, "cue_confidence": 0.8, "diagnostic_notes": "La scena si presenta ordinata e prevalentemente statica. L'operatore indossa un gilet ad alta visibilità ed è fermo vicino a un transpallet. Un secondo mezzo è visibile solo in lontananza, riducendo il rischio immediato di interferenza (S1 valutato 0.25 come presenza potenziale nello stesso corridoio). La distanza e l'altezza della telecamera limitano la visibilità dei dettagli più piccoli."}</t>
        </is>
      </c>
      <c r="L7" s="7" t="inlineStr">
        <is>
          <t>{"causal_chain_plausible": true, "causal_chain_text": "La compresenza di un operatore a piedi e di un veicolo, seppur distante, nello stesso corridoio di transito configura un rischio di interferenza. Un eventuale movimento del veicolo verso l'operatore, combinato con una distrazione o mancata percezione reciproca, può portare a un investimento.", "near_miss_or_incident_scenario": "Collisione o mancato investimento dell'operatore a piedi da parte del veicolo in transito nel corridoio.", "contributing_factors": ["Presenza contemporanea di pedone e mezzo semovente nello stesso corridoio", "Potenziale distrazione dell'operatore fermo vicino al transpallet"]}</t>
        </is>
      </c>
      <c r="M7" s="7" t="n">
        <v>15</v>
      </c>
      <c r="N7" s="7" t="inlineStr">
        <is>
          <t>Il livello di rischio è basso poiché l'operatore indossa regolarmente il gilet ad alta visibilità e il veicolo si trova a distanza di sicurezza in fondo al corridoio. L'ambiente ordinato e la natura statica della scena riducono al minimo la probabilità di incidenti immediati.</t>
        </is>
      </c>
      <c r="O7" s="7" t="n">
        <v>15.31</v>
      </c>
      <c r="P7" s="9" t="inlineStr">
        <is>
          <t>verde</t>
        </is>
      </c>
      <c r="Q7" s="7" t="n">
        <v>3.98</v>
      </c>
      <c r="R7" s="7" t="n">
        <v>5.49</v>
      </c>
      <c r="S7" s="9" t="inlineStr">
        <is>
          <t>verde</t>
        </is>
      </c>
      <c r="T7" s="7" t="n">
        <v>0.8</v>
      </c>
      <c r="U7" s="7" t="inlineStr">
        <is>
          <t>La scena si presenta ordinata e prevalentemente statica. L'operatore indossa un gilet ad alta visibilità ed è fermo vicino a un transpallet. Un secondo mezzo è visibile solo in lontananza, riducendo il rischio immediato di interferenza (S1 valutato 0.25 come presenza potenziale nello stesso corridoio). La distanza e l'altezza della telecamera limitano la visibilità dei dettagli più piccoli.</t>
        </is>
      </c>
      <c r="V7" s="7" t="n">
        <v>0.25</v>
      </c>
      <c r="W7" s="7" t="n">
        <v>0.25</v>
      </c>
      <c r="X7" s="7" t="n">
        <v>0.1109</v>
      </c>
      <c r="Y7" s="7" t="n">
        <v>2.7725</v>
      </c>
      <c r="Z7" s="7" t="n">
        <v>69.66</v>
      </c>
      <c r="AA7" s="7" t="n">
        <v>0</v>
      </c>
      <c r="AB7" s="7" t="n">
        <v>0</v>
      </c>
      <c r="AC7" s="7" t="n">
        <v>0.037</v>
      </c>
      <c r="AD7" s="7" t="n">
        <v>0</v>
      </c>
      <c r="AE7" s="7" t="n">
        <v>0</v>
      </c>
      <c r="AF7" s="7" t="n">
        <v>0</v>
      </c>
      <c r="AG7" s="7" t="n">
        <v>0.0293</v>
      </c>
      <c r="AH7" s="7" t="n">
        <v>0.0549</v>
      </c>
      <c r="AI7" s="7" t="n">
        <v>0.1609</v>
      </c>
      <c r="AJ7" s="7" t="n">
        <v>4.04</v>
      </c>
      <c r="AK7" s="7" t="n">
        <v>0</v>
      </c>
      <c r="AL7" s="7" t="n">
        <v>0.008200000000000001</v>
      </c>
      <c r="AM7" s="7" t="n">
        <v>0.1538</v>
      </c>
      <c r="AN7" s="7" t="n">
        <v>0.1261</v>
      </c>
      <c r="AO7" s="7" t="n">
        <v>3.17</v>
      </c>
      <c r="AP7" s="7" t="n">
        <v>0</v>
      </c>
      <c r="AQ7" s="7" t="n">
        <v>0</v>
      </c>
      <c r="AR7" s="7" t="n">
        <v>0.2228</v>
      </c>
      <c r="AS7" s="7" t="n">
        <v>0</v>
      </c>
      <c r="AT7" s="7" t="n">
        <v>0</v>
      </c>
      <c r="AU7" s="7" t="n">
        <v>0</v>
      </c>
      <c r="AV7" s="7" t="n">
        <v>0.0266</v>
      </c>
      <c r="AW7" s="7" t="n">
        <v>0.3447</v>
      </c>
      <c r="AX7" s="7" t="n">
        <v>0.9169</v>
      </c>
      <c r="AY7" s="7" t="n">
        <v>23.04</v>
      </c>
      <c r="AZ7" s="7" t="n">
        <v>0</v>
      </c>
      <c r="BA7" s="7" t="n">
        <v>0</v>
      </c>
      <c r="BB7" s="7" t="n">
        <v>0.0759</v>
      </c>
      <c r="BC7" s="7" t="n">
        <v>0</v>
      </c>
      <c r="BD7" s="7" t="n">
        <v>0</v>
      </c>
    </row>
    <row r="8" ht="34" customHeight="1">
      <c r="A8" s="7" t="n">
        <v>6</v>
      </c>
      <c r="B8" s="7" t="n">
        <v>12</v>
      </c>
      <c r="C8" s="7" t="n">
        <v>16</v>
      </c>
      <c r="D8" s="7" t="n">
        <v>4</v>
      </c>
      <c r="E8" s="7" t="inlineStr">
        <is>
          <t>{"descrizione_scena": {"contesto": "Magazzino logistico con scaffalature verticali ad alta densità e corsia centrale.", "condizioni_ambientali": "Illuminazione artificiale interna uniforme, pavimentazione verde con segnaletica orizzontale."}, "soggetti_e_risorse": {"persone": "Un operatore visibile in primo piano vicino a un carrello.", "macchinari": "Un transpallet manuale in primo piano e un carrello elevatore posizionato più avanti nella corsia.", "oggetti": "Scaffalature metalliche, pallet stoccati con merci imballate."}, "analisi_operativa": {"azioni": "L'operatore in primo piano è fermo o in fase di movimentazione manuale; il muletto sullo sfondo appare statico o in manovra lenta.", "dpi": "Gilet ad alta visibilità indossato dall'operatore. Altri DPI come scarpe antinfortunistiche o elmetto non sono verificabili per la distanza."}, "limitazioni_visive": {"descrizione": "Inquadratura dall'alto che crea distorsione prospettica. Presenza di punti ciechi dietro i montanti delle scaffalature e ridotta visibilità dei dettagli in fondo alla corsia."}, "valutazione_rischi": {"ragionamento_causale": "La compresenza di un operatore a piedi e di un mezzo di movimentazione nella stessa corsia stretta aumenta il rischio di interferenza.", "sviluppi_rischiosi": "Possibile collisione o investimento se il carrello elevatore esegue manovre senza rilevare l'operatore a piedi.", "fattori_contribuenti": "Spazio di manovra limitato nella corsia e potenziale mancanza di contatto visivo diretto tra i soggetti."}}</t>
        </is>
      </c>
      <c r="F8" s="7" t="n">
        <v>65</v>
      </c>
      <c r="G8" s="7" t="inlineStr">
        <is>
          <t>Il punteggio di 65 è giustificato dalla compresenza di un operatore a piedi e di un carrello elevatore all'interno di una corsia stretta. Nonostante l'uso del gilet ad alta visibilità e la distanza tra i soggetti, la presenza di punti ciechi strutturali e lo spazio limitato di manovra configurano un rischio concreto di interferenza e potenziale collisione in caso di manovre repentine o mancato contatto visivo.</t>
        </is>
      </c>
      <c r="H8" s="7" t="n">
        <v>65.41</v>
      </c>
      <c r="I8" s="10" t="inlineStr">
        <is>
          <t>arancione</t>
        </is>
      </c>
      <c r="J8" s="7" t="inlineStr">
        <is>
          <t>{"scene_state": "Interno di un magazzino logistico con alte scaffalature verticali contenenti merci pallettizzate.", "environmental_conditions": ["Illuminazione artificiale interna", "Pavimentazione industriale verde", "Corsia di transito sgombra da ostacoli improvvisi"], "people": ["Un operatore situato nella parte inferiore dell'inquadratura", "Un secondo operatore visibile in fondo alla corsia vicino al muletto"], "objects": ["Scaffali metallici industriali", "Pallet carichi di merci imballate con pellicola protettiva", "Transpallet manuale"], "machines": ["Carrello elevatore (muletto) posizionato nella corsia centrale"], "observable_actions": ["L'operatore in primo piano si sposta vicino al transpallet", "Il carrello elevatore è posizionato lungo la corsia di passaggio"], "visible_ppe": ["Gilet ad alta visibilità (colore giallo/arancione)"], "notes_visibility_limitations": "Inquadratura dall'alto con lente grandangolare che distorce leggermente i lati e riduce la visibilità dei dettagli dei DPI minori."}</t>
        </is>
      </c>
      <c r="K8" s="7" t="inlineStr">
        <is>
          <t>{"unsafe_behaviors": ["Presenza di pedoni nella stessa corsia di transito del carrello elevatore senza evidente separazione fisica"], "vulnerable_elements": ["Operatore in primo piano vicino al transpallet", "Operatore in fondo alla corsia vicino al carrello elevatore"], "risk_cues": {"S1_people_vehicle_interference": 0.5, "S2_visibility_attention_reduction": 0.25, "S3_non_compliant_behavior": 0.0, "S4_vehicle_infrastructure_interference": 0.25, "S5_storage_structural_instability": 0.25, "S6_access_to_moving_mechanical_parts": 0.0, "S7_manual_handling_heavy_unstable_loads": 0.0}, "cue_confidence": 0.8, "diagnostic_notes": "Rilevata compresenza di pedoni e un carrello elevatore nella corsia di transito (S1). L'inquadratura grandangolare dall'alto limita la visibilità dei dettagli dei DPI minori e la valutazione di eventuali riduzioni di visibilità specifiche (S2)."}</t>
        </is>
      </c>
      <c r="L8" s="7" t="inlineStr">
        <is>
          <t>{"causal_chain_plausible": true, "causal_chain_text": "La compresenza di pedoni e del carrello elevatore nella stessa corsia, priva di barriere fisiche di separazione, crea un rischio di interferenza. Se il carrello si mette in movimento o effettua manovre di svolta o retromarcia, la distrazione degli operatori a piedi o la visibilità limitata del conducente possono portare a un impatto.", "near_miss_or_incident_scenario": "Investimento o quasi-investimento di un operatore a piedi da parte del carrello elevatore in movimento o in fase di manovra nella corsia comune.", "contributing_factors": ["Mancata segregazione fisica tra flusso pedonale e veicolare nella corsia", "Presenza di operatori a piedi nell'area di transito e manovra del muletto", "Potenziale distrazione dovuta alle attività di movimentazione manuale con transpallet"]}</t>
        </is>
      </c>
      <c r="M8" s="7" t="n">
        <v>45</v>
      </c>
      <c r="N8" s="7" t="inlineStr">
        <is>
          <t>Il punteggio riflette un rischio moderato dovuto alla compresenza di pedoni e un carrello elevatore nella stessa corsia senza barriere fisiche di separazione. Sebbene gli operatori indossino gilet ad alta visibilità, la mancanza di segregazione dei flussi aumenta la probabilità di interferenze e investimenti durante le manovre.</t>
        </is>
      </c>
      <c r="O8" s="7" t="n">
        <v>40.62</v>
      </c>
      <c r="P8" s="8" t="inlineStr">
        <is>
          <t>giallo</t>
        </is>
      </c>
      <c r="Q8" s="7" t="n">
        <v>11.66</v>
      </c>
      <c r="R8" s="7" t="n">
        <v>11.11</v>
      </c>
      <c r="S8" s="9" t="inlineStr">
        <is>
          <t>verde</t>
        </is>
      </c>
      <c r="T8" s="7" t="n">
        <v>0.8</v>
      </c>
      <c r="U8" s="7" t="inlineStr">
        <is>
          <t>Rilevata compresenza di pedoni e un carrello elevatore nella corsia di transito (S1). L'inquadratura grandangolare dall'alto limita la visibilità dei dettagli dei DPI minori e la valutazione di eventuali riduzioni di visibilità specifiche (S2).</t>
        </is>
      </c>
      <c r="V8" s="7" t="n">
        <v>0.5</v>
      </c>
      <c r="W8" s="7" t="n">
        <v>0.5</v>
      </c>
      <c r="X8" s="7" t="n">
        <v>0.1109</v>
      </c>
      <c r="Y8" s="7" t="n">
        <v>5.545</v>
      </c>
      <c r="Z8" s="7" t="n">
        <v>47.56</v>
      </c>
      <c r="AA8" s="7" t="n">
        <v>0.25</v>
      </c>
      <c r="AB8" s="7" t="n">
        <v>0.5553</v>
      </c>
      <c r="AC8" s="7" t="n">
        <v>0.037</v>
      </c>
      <c r="AD8" s="7" t="n">
        <v>2.0546</v>
      </c>
      <c r="AE8" s="7" t="n">
        <v>17.62</v>
      </c>
      <c r="AF8" s="7" t="n">
        <v>0</v>
      </c>
      <c r="AG8" s="7" t="n">
        <v>0.0293</v>
      </c>
      <c r="AH8" s="7" t="n">
        <v>0.0549</v>
      </c>
      <c r="AI8" s="7" t="n">
        <v>0.1609</v>
      </c>
      <c r="AJ8" s="7" t="n">
        <v>1.38</v>
      </c>
      <c r="AK8" s="7" t="n">
        <v>0.25</v>
      </c>
      <c r="AL8" s="7" t="n">
        <v>0.1419</v>
      </c>
      <c r="AM8" s="7" t="n">
        <v>0.1538</v>
      </c>
      <c r="AN8" s="7" t="n">
        <v>2.1824</v>
      </c>
      <c r="AO8" s="7" t="n">
        <v>18.72</v>
      </c>
      <c r="AP8" s="7" t="n">
        <v>0.25</v>
      </c>
      <c r="AQ8" s="7" t="n">
        <v>0.0359</v>
      </c>
      <c r="AR8" s="7" t="n">
        <v>0.2228</v>
      </c>
      <c r="AS8" s="7" t="n">
        <v>0.7999000000000001</v>
      </c>
      <c r="AT8" s="7" t="n">
        <v>6.86</v>
      </c>
      <c r="AU8" s="7" t="n">
        <v>0</v>
      </c>
      <c r="AV8" s="7" t="n">
        <v>0.0266</v>
      </c>
      <c r="AW8" s="7" t="n">
        <v>0.3447</v>
      </c>
      <c r="AX8" s="7" t="n">
        <v>0.9169</v>
      </c>
      <c r="AY8" s="7" t="n">
        <v>7.86</v>
      </c>
      <c r="AZ8" s="7" t="n">
        <v>0</v>
      </c>
      <c r="BA8" s="7" t="n">
        <v>0</v>
      </c>
      <c r="BB8" s="7" t="n">
        <v>0.0759</v>
      </c>
      <c r="BC8" s="7" t="n">
        <v>0</v>
      </c>
      <c r="BD8" s="7" t="n">
        <v>0</v>
      </c>
    </row>
    <row r="9" ht="34" customHeight="1">
      <c r="A9" s="7" t="n">
        <v>7</v>
      </c>
      <c r="B9" s="7" t="n">
        <v>14</v>
      </c>
      <c r="C9" s="7" t="n">
        <v>18</v>
      </c>
      <c r="D9" s="7" t="n">
        <v>4</v>
      </c>
      <c r="E9" s="7" t="inlineStr">
        <is>
          <t>{"analisi_scena": {"contesto": "Magazzino logistico con scaffalature industriali verticali e corridoio centrale per la movimentazione merci.", "condizioni_ambientali": "Illuminazione artificiale interna costante, pavimentazione apparentemente asciutta e sgombra nel corridoio principale."}, "elementi_rilevati": {"persone": "Almeno due operatori a terra visibili in primo piano; potenziale operatore a bordo del carrello elevatore sullo sfondo.", "macchinari": "Un carrello elevatore (reach truck) posizionato in fondo al corridoio; un transpallet manuale e un carrello di servizio/picking in primo piano.", "oggetti": "Scaffalature metalliche pesanti, pallet caricati con merci imballate in film plastico.", "dpi": "Gilet ad alta visibilità (giallo/arancione) chiaramente indossati dagli operatori a terra. Altri DPI (scarpe antinfortunistiche, elmetti) non sono chiaramente verificabili a causa della distanza."}, "dinamiche_e_limitazioni": {"azioni": "Gli operatori in primo piano svolgono attività manuali nei pressi del carrello di servizio. Il carrello elevatore sullo sfondo appare statico o in fase di manovra lenta.", "limiti_visibilita": "L'inquadratura dall'alto e la struttura delle scaffalature creano parziali occlusioni, limitando la visibilità dettagliata delle operazioni manuali e dei punti ciechi dietro i montanti."}, "valutazione_rischi": {"ragionamento_causale": "La compresenza di operatori a terra (pedoni) e mezzi di movimentazione semoventi nello stesso corridoio operativo rappresenta una configurazione che richiede costante coordinamento visivo.", "sviluppi_rischiosi": "Rischio di investimento o collisione qualora il carrello elevatore avanzi lungo il corridoio senza che gli operatori a terra ne avvertano la presenza, o in caso di manovre improvvise in prossimità degli angoli ciechi.", "fattori_contribuenti": "Assenza di barriere fisiche di segregazione tra flusso pedonale e veicolare nel corridoio; potenziale distrazione degli operatori focalizzati sulle attività di picking."}}</t>
        </is>
      </c>
      <c r="F9" s="7" t="n">
        <v>50</v>
      </c>
      <c r="G9" s="7" t="inlineStr">
        <is>
          <t>Il punteggio di 50 indica un livello di rischio moderato. La compresenza di operatori a piedi e un carrello elevatore nello stesso corridoio operativo, in assenza di barriere fisiche di segregazione, configura un rischio intrinseco di investimento. Tuttavia, la situazione è parzialmente mitigata dal fatto che il carrello è sullo sfondo (statico o in manovra lenta), la visibilità è buona e i pedoni indossano gilet ad alta visibilità.</t>
        </is>
      </c>
      <c r="H9" s="7" t="n">
        <v>56.16</v>
      </c>
      <c r="I9" s="10" t="inlineStr">
        <is>
          <t>arancione</t>
        </is>
      </c>
      <c r="J9" s="7" t="inlineStr">
        <is>
          <t>{"scene_state": "Corsia di un magazzino intensivo con scaffalature industriali su entrambi i lati cariche di merci pallettizzate.", "environmental_conditions": ["Illuminazione artificiale interna costante", "Pavimentazione verde pulita"], "people": ["Due operatori situati nella parte inferiore dell'inquadratura vicino a un carrello."], "objects": ["Scaffalature metalliche", "Pallet con merci imballate", "Carrello manuale", "Scatole"], "machines": ["Un carrello elevatore posizionato in fondo alla corsia."], "observable_actions": ["Gli operatori sono fermi vicino al carrello in primo piano.", "Il carrello elevatore in fondo alla corsia è fermo o in manovra."], "visible_ppe": ["Gilet ad alta visibilità giallo/arancione", "Caschetti di protezione gialli"], "notes_visibility_limitations": "Inquadratura grandangolare dall'alto (effetto fisheye) che riduce la visibilità dei dettagli più lontani."}</t>
        </is>
      </c>
      <c r="K9" s="7" t="inlineStr">
        <is>
          <t>{"unsafe_behaviors": [], "vulnerable_elements": ["Due operatori a piedi nella corsia di transito"], "risk_cues": {"S1_people_vehicle_interference": 0.25, "S2_visibility_attention_reduction": 0.25, "S3_non_compliant_behavior": 0.0, "S4_vehicle_infrastructure_interference": 0.25, "S5_storage_structural_instability": 0.0, "S6_access_to_moving_mechanical_parts": 0.0, "S7_manual_handling_heavy_unstable_loads": 0.0}, "cue_confidence": 0.8, "diagnostic_notes": "La compresenza di operatori a piedi e di un carrello elevatore nella stessa corsia, sebbene a distanza di sicurezza temporanea, configura un potenziale rischio di interferenza (S1). La manovra del carrello in fondo alla corsia stretta richiede attenzione per evitare contatti con le scaffalature (S4). La visibilità dei dettagli in fondo è parzialmente ridotta dall'effetto grandangolare della telecamera (S2)."}</t>
        </is>
      </c>
      <c r="L9" s="7" t="inlineStr">
        <is>
          <t>{"causal_chain_plausible": true, "causal_chain_text": "La compresenza di operatori a piedi e di un carrello elevatore in manovra nella stessa corsia stretta crea un rischio di interferenza. Se il conducente del carrello effettua una manovra senza avvedersi della presenza dei pedoni a causa della distanza o di angoli ciechi, o se i pedoni si muovono improvvisamente verso l'area di manovra, si può verificare un impatto.", "near_miss_or_incident_scenario": "Quasi-investimento di un operatore a piedi da parte del carrello elevatore in fase di manovra o retromarcia all'interno della corsia.", "contributing_factors": ["Presenza simultanea di pedoni e mezzi d'opera semoventi nella stessa corsia di transito", "Spazio di manovra ristretto delimitato da scaffalature industriali cariche", "Possibile limitazione della visibilità reciproca dovuta alla distanza lungo la corsia"]}</t>
        </is>
      </c>
      <c r="M9" s="7" t="n">
        <v>30</v>
      </c>
      <c r="N9" s="7" t="inlineStr">
        <is>
          <t>Il rischio è moderato a causa della compresenza di operatori a piedi e di un carrello elevatore nella stessa corsia stretta. Tuttavia, la distanza di sicurezza temporanea e l'uso corretto dei DPI da parte dei lavoratori riducono l'imminenza di un pericolo diretto.</t>
        </is>
      </c>
      <c r="O9" s="7" t="n">
        <v>34.25</v>
      </c>
      <c r="P9" s="8" t="inlineStr">
        <is>
          <t>giallo</t>
        </is>
      </c>
      <c r="Q9" s="7" t="n">
        <v>8.09</v>
      </c>
      <c r="R9" s="7" t="n">
        <v>9.300000000000001</v>
      </c>
      <c r="S9" s="9" t="inlineStr">
        <is>
          <t>verde</t>
        </is>
      </c>
      <c r="T9" s="7" t="n">
        <v>0.8</v>
      </c>
      <c r="U9" s="7" t="inlineStr">
        <is>
          <t>La compresenza di operatori a piedi e di un carrello elevatore nella stessa corsia, sebbene a distanza di sicurezza temporanea, configura un potenziale rischio di interferenza (S1). La manovra del carrello in fondo alla corsia stretta richiede attenzione per evitare contatti con le scaffalature (S4). La visibilità dei dettagli in fondo è parzialmente ridotta dall'effetto grandangolare della telecamera (S2).</t>
        </is>
      </c>
      <c r="V9" s="7" t="n">
        <v>0.25</v>
      </c>
      <c r="W9" s="7" t="n">
        <v>0.25</v>
      </c>
      <c r="X9" s="7" t="n">
        <v>0.1109</v>
      </c>
      <c r="Y9" s="7" t="n">
        <v>2.7725</v>
      </c>
      <c r="Z9" s="7" t="n">
        <v>34.27</v>
      </c>
      <c r="AA9" s="7" t="n">
        <v>0.25</v>
      </c>
      <c r="AB9" s="7" t="n">
        <v>0.5553</v>
      </c>
      <c r="AC9" s="7" t="n">
        <v>0.037</v>
      </c>
      <c r="AD9" s="7" t="n">
        <v>2.0546</v>
      </c>
      <c r="AE9" s="7" t="n">
        <v>25.4</v>
      </c>
      <c r="AF9" s="7" t="n">
        <v>0</v>
      </c>
      <c r="AG9" s="7" t="n">
        <v>0.0293</v>
      </c>
      <c r="AH9" s="7" t="n">
        <v>0.0549</v>
      </c>
      <c r="AI9" s="7" t="n">
        <v>0.1609</v>
      </c>
      <c r="AJ9" s="7" t="n">
        <v>1.99</v>
      </c>
      <c r="AK9" s="7" t="n">
        <v>0.25</v>
      </c>
      <c r="AL9" s="7" t="n">
        <v>0.1419</v>
      </c>
      <c r="AM9" s="7" t="n">
        <v>0.1538</v>
      </c>
      <c r="AN9" s="7" t="n">
        <v>2.1824</v>
      </c>
      <c r="AO9" s="7" t="n">
        <v>26.98</v>
      </c>
      <c r="AP9" s="7" t="n">
        <v>0</v>
      </c>
      <c r="AQ9" s="7" t="n">
        <v>0</v>
      </c>
      <c r="AR9" s="7" t="n">
        <v>0.2228</v>
      </c>
      <c r="AS9" s="7" t="n">
        <v>0</v>
      </c>
      <c r="AT9" s="7" t="n">
        <v>0</v>
      </c>
      <c r="AU9" s="7" t="n">
        <v>0</v>
      </c>
      <c r="AV9" s="7" t="n">
        <v>0.0266</v>
      </c>
      <c r="AW9" s="7" t="n">
        <v>0.3447</v>
      </c>
      <c r="AX9" s="7" t="n">
        <v>0.9169</v>
      </c>
      <c r="AY9" s="7" t="n">
        <v>11.33</v>
      </c>
      <c r="AZ9" s="7" t="n">
        <v>0</v>
      </c>
      <c r="BA9" s="7" t="n">
        <v>0</v>
      </c>
      <c r="BB9" s="7" t="n">
        <v>0.0759</v>
      </c>
      <c r="BC9" s="7" t="n">
        <v>0</v>
      </c>
      <c r="BD9" s="7" t="n">
        <v>0</v>
      </c>
    </row>
    <row r="10" ht="34" customHeight="1">
      <c r="A10" s="7" t="n">
        <v>8</v>
      </c>
      <c r="B10" s="7" t="n">
        <v>16</v>
      </c>
      <c r="C10" s="7" t="n">
        <v>20</v>
      </c>
      <c r="D10" s="7" t="n">
        <v>4</v>
      </c>
      <c r="E10" s="7" t="inlineStr">
        <is>
          <t>{"analisi_scena": {"contesto": "Interno di un magazzino logistico con scaffalature industriali alte disposte su entrambi i lati di un corridoio centrale con pavimentazione verde.", "persone_presenti": [{"ruolo": "Operatore a terra", "posizione": "Primo piano, parte inferiore centrale del corridoio", "abbigliamento_dpi": "Indossa una maglietta o gilet ad alta visibilità giallo. La presenza di elmetto o scarpe antinfortunistiche non è chiaramente verificabile a causa della distanza e dell'angolazione."}], "macchinari_e_attrezzature": [{"tipo": "Carrello elevatore", "posizione": "Sullo sfondo, al centro del corridoio", "stato": "Apparentemente fermo o in lento movimento"}, {"tipo": "Transpallet manuale", "posizione": "In primo piano a sinistra, vicino all'operatore", "stato": "Non utilizzato"}], "condizioni_ambientali": {"illuminazione": "Artificiale, uniforme ma con zone d'ombra dovute all'altezza delle scaffalature", "visibilita": "Limitata dalla prospettiva dall'alto e dalla distanza dei soggetti sullo sfondo"}, "analisi_sicurezza": {"rischi_rilevati": "Presenza simultanea di un operatore a terra e di un carrello elevatore nello stesso corridoio stretto.", "sviluppi_rischiosi_plausibili": "Rischio di investimento dell'operatore a terra in caso di manovra improvvisa del carrello o mancata visibilità da parte del conducente.", "fattori_contribuenti": "Spazio di manovra ristretto nel corridoio e potenziale distrazione degli operatori.", "limitazioni_osservative": "L'altezza e l'angolo della telecamera impediscono di confermare l'uso di tutti i DPI necessari e l'esatta direzione dello sguardo del conducente del carrello."}}}</t>
        </is>
      </c>
      <c r="F10" s="7" t="n">
        <v>65</v>
      </c>
      <c r="G10" s="7" t="inlineStr">
        <is>
          <t>Il punteggio di 65 è giustificato dalla compresenza di un operatore a terra e di un carrello elevatore all'interno dello stesso corridoio stretto, in assenza di barriere fisiche di segregazione. Sebbene l'operatore indossi un gilet ad alta visibilità e il mezzo sembri muoversi lentamente o essere fermo, la configurazione spaziale e le potenziali zone d'ombra creano un rischio concreto di investimento dovuto a distrazioni o manovre impreviste.</t>
        </is>
      </c>
      <c r="H10" s="7" t="n">
        <v>65.20999999999999</v>
      </c>
      <c r="I10" s="10" t="inlineStr">
        <is>
          <t>arancione</t>
        </is>
      </c>
      <c r="J10" s="7" t="inlineStr">
        <is>
          <t>{"scene_state": "Corsia interna di un magazzino con scaffalature industriali alte su entrambi i lati, cariche di merci pallettizzate.", "environmental_conditions": ["Illuminazione artificiale interna uniforme", "Pavimentazione liscia e pulita di colore verde/grigio"], "people": ["Un operatore a piedi in primo piano", "Un operatore a bordo del carrello elevatore sullo sfondo"], "objects": ["Scaffalature metalliche", "Pallet con merci imballate in film plastico", "Un transpallet manuale", "Un carrello manuale con scatole"], "machines": ["Un carrello elevatore (muletto) in movimento lungo la corsia sullo sfondo"], "observable_actions": ["Il carrello elevatore si muove lungo la corsia centrale", "L'operatore in primo piano si muove vicino al carrello manuale"], "visible_ppe": ["Gilet o maglietta ad alta visibilità di colore giallo per l'operatore in primo piano"], "notes_visibility_limitations": "Inquadratura dall'alto con lente grandangolare che distorce leggermente i lati. La distanza e la risoluzione limitano la visibilità dei dettagli del volto e di altri DPI specifici."}</t>
        </is>
      </c>
      <c r="K10" s="7" t="inlineStr">
        <is>
          <t>{"unsafe_behaviors": ["Transito di pedone in corsia di manovra del carrello elevatore senza separazione fisica visibile"], "vulnerable_elements": ["Operatore a piedi in primo piano"], "risk_cues": {"S1_people_vehicle_interference": 0.5, "S2_visibility_attention_reduction": 0.25, "S3_non_compliant_behavior": 0.25, "S4_vehicle_infrastructure_interference": 0.25, "S5_storage_structural_instability": 0.25, "S6_access_to_moving_mechanical_parts": 0.0, "S7_manual_handling_heavy_unstable_loads": 0.25}, "cue_confidence": 0.7, "diagnostic_notes": "Presenza contemporanea di un carrello elevatore in movimento e un operatore a piedi nella stessa corsia di stoccaggio. L'operatore a piedi indossa un gilet ad alta visibilità, riducendo parzialmente il rischio di investimento. L'inquadratura grandangolare e la distanza limitano la verifica di altri DPI specifici."}</t>
        </is>
      </c>
      <c r="L10" s="7" t="inlineStr">
        <is>
          <t>{"causal_chain_plausible": true, "causal_chain_text": "La compresenza di un carrello elevatore in movimento e di un pedone nella stessa corsia, priva di barriere fisiche, genera rischio di interferenza. Un movimento improvviso del pedone o una distrazione del conducente può causare un impatto.", "near_miss_or_incident_scenario": "Investimento del pedone da parte del carrello elevatore in transito nella corsia centrale del magazzino.", "contributing_factors": ["Mancanza di separazione fisica tra flusso pedonale e veicolare", "Presenza contemporanea di pedone e muletto nella stessa corsia", "Limitazioni di visibilità dovute alla distanza e alla configurazione della corsia"]}</t>
        </is>
      </c>
      <c r="M10" s="7" t="n">
        <v>50</v>
      </c>
      <c r="N10" s="7" t="inlineStr">
        <is>
          <t>Il punteggio riflette un rischio significativo dovuto alla compresenza di un pedone e di un carrello elevatore in movimento nella stessa corsia senza barriere fisiche di separazione. L'uso del gilet ad alta visibilità da parte dell'operatore a piedi mitiga parzialmente il pericolo di investimento.</t>
        </is>
      </c>
      <c r="O10" s="7" t="n">
        <v>48.7</v>
      </c>
      <c r="P10" s="8" t="inlineStr">
        <is>
          <t>giallo</t>
        </is>
      </c>
      <c r="Q10" s="7" t="n">
        <v>13.33</v>
      </c>
      <c r="R10" s="7" t="n">
        <v>13.03</v>
      </c>
      <c r="S10" s="9" t="inlineStr">
        <is>
          <t>verde</t>
        </is>
      </c>
      <c r="T10" s="7" t="n">
        <v>0.7</v>
      </c>
      <c r="U10" s="7" t="inlineStr">
        <is>
          <t>Presenza contemporanea di un carrello elevatore in movimento e un operatore a piedi nella stessa corsia di stoccaggio. L'operatore a piedi indossa un gilet ad alta visibilità, riducendo parzialmente il rischio di investimento. L'inquadratura grandangolare e la distanza limitano la verifica di altri DPI specifici.</t>
        </is>
      </c>
      <c r="V10" s="7" t="n">
        <v>0.5</v>
      </c>
      <c r="W10" s="7" t="n">
        <v>0.5</v>
      </c>
      <c r="X10" s="7" t="n">
        <v>0.1109</v>
      </c>
      <c r="Y10" s="7" t="n">
        <v>5.545</v>
      </c>
      <c r="Z10" s="7" t="n">
        <v>41.6</v>
      </c>
      <c r="AA10" s="7" t="n">
        <v>0.25</v>
      </c>
      <c r="AB10" s="7" t="n">
        <v>0.5553</v>
      </c>
      <c r="AC10" s="7" t="n">
        <v>0.037</v>
      </c>
      <c r="AD10" s="7" t="n">
        <v>2.0546</v>
      </c>
      <c r="AE10" s="7" t="n">
        <v>15.41</v>
      </c>
      <c r="AF10" s="7" t="n">
        <v>0.25</v>
      </c>
      <c r="AG10" s="7" t="n">
        <v>0.2689</v>
      </c>
      <c r="AH10" s="7" t="n">
        <v>0.0549</v>
      </c>
      <c r="AI10" s="7" t="n">
        <v>1.4763</v>
      </c>
      <c r="AJ10" s="7" t="n">
        <v>11.08</v>
      </c>
      <c r="AK10" s="7" t="n">
        <v>0.25</v>
      </c>
      <c r="AL10" s="7" t="n">
        <v>0.1419</v>
      </c>
      <c r="AM10" s="7" t="n">
        <v>0.1538</v>
      </c>
      <c r="AN10" s="7" t="n">
        <v>2.1824</v>
      </c>
      <c r="AO10" s="7" t="n">
        <v>16.37</v>
      </c>
      <c r="AP10" s="7" t="n">
        <v>0.25</v>
      </c>
      <c r="AQ10" s="7" t="n">
        <v>0.0359</v>
      </c>
      <c r="AR10" s="7" t="n">
        <v>0.2228</v>
      </c>
      <c r="AS10" s="7" t="n">
        <v>0.7999000000000001</v>
      </c>
      <c r="AT10" s="7" t="n">
        <v>6</v>
      </c>
      <c r="AU10" s="7" t="n">
        <v>0</v>
      </c>
      <c r="AV10" s="7" t="n">
        <v>0.0266</v>
      </c>
      <c r="AW10" s="7" t="n">
        <v>0.3447</v>
      </c>
      <c r="AX10" s="7" t="n">
        <v>0.9169</v>
      </c>
      <c r="AY10" s="7" t="n">
        <v>6.88</v>
      </c>
      <c r="AZ10" s="7" t="n">
        <v>0.25</v>
      </c>
      <c r="BA10" s="7" t="n">
        <v>0.0474</v>
      </c>
      <c r="BB10" s="7" t="n">
        <v>0.0759</v>
      </c>
      <c r="BC10" s="7" t="n">
        <v>0.3598</v>
      </c>
      <c r="BD10" s="7" t="n">
        <v>2.7</v>
      </c>
    </row>
    <row r="11" ht="34" customHeight="1">
      <c r="A11" s="7" t="n">
        <v>9</v>
      </c>
      <c r="B11" s="7" t="n">
        <v>18</v>
      </c>
      <c r="C11" s="7" t="n">
        <v>22</v>
      </c>
      <c r="D11" s="7" t="n">
        <v>4</v>
      </c>
      <c r="E11" s="7" t="inlineStr">
        <is>
          <t>{"analisi_temporale": {"inizio_s": 18.0, "fine_s": 22.0, "durata_s": 4.0}, "descrizione_generale": "Inquadratura dall'alto di una corsia di un magazzino logistico con scaffalature industriali alte su entrambi i lati. Si osserva la compresenza di operatori a piedi e mezzi di movimentazione.", "contesto_industriale": "Magazzino di stoccaggio e logistica con corsie strette e scaffalature verticali a più livelli cariche di merci pallettizzate.", "elementi_rilevati": {"persone": [{"ruolo": "Operatore a terra", "posizione": "Primo piano, parte inferiore dell'inquadratura", "abbigliamento_dpi": "Indossa una maglietta o gilet ad alta visibilità di colore giallo. Altri DPI non sono chiaramente distinguibili a causa della risoluzione."}], "macchinari_e_attrezzature": [{"tipo": "Carrello elevatore (muletto)", "posizione": "Sullo sfondo, al centro della corsia", "stato": "In transito o stazionario nella corsia di marcia"}, {"tipo": "Transpallet manuale o carrello di prelievo", "posizione": "In primo piano vicino all'operatore", "stato": "Stazionario"}]}, "condizioni_ambientali_e_visive": {"illuminazione": "Artificiale, uniforme ma tipica da interni industriali.", "limiti_visibilita": "Inquadratura grandangolare dall'alto (telecamera di sicurezza) che crea distorsione prospettica. La distanza del carrello elevatore limita la visibilità dei dettagli operativi e della direzione dello sguardo del conducente."}, "valutazione_rischi_safety": {"dinamica_in_corso": "Compresenza nello stesso corridoio di un carrello elevatore in movimento (o pronto al movimento) e di personale a piedi in prossimità di attrezzature manuali.", "fattori_contribuenti": "Spazio di manovra limitato dalla presenza di scaffalature e merci; potenziale mancanza di barriere fisiche di separazione tra flusso pedonale e veicolare nella corsia.", "sviluppi_rischiosi_plausibili": ["Rischio di investimento o schiacciamento del pedone in caso di manovra improvvisa o retromarcia del carrello elevatore senza adeguata visibilità.", "Collisione tra il transpallet manuale e il carrello elevatore dovuto a distrazione o spazi di frenata ridotti."]}}</t>
        </is>
      </c>
      <c r="F11" s="7" t="n">
        <v>60</v>
      </c>
      <c r="G11" s="7" t="inlineStr">
        <is>
          <t>Il punteggio di 60 riflette un rischio moderato-alto dovuto alla compresenza di un operatore a piedi e di un carrello elevatore all'interno della stessa corsia stretta senza barriere fisiche di separazione. Sebbene l'operatore indossi un gilet ad alta visibilità e il carrello sia sullo sfondo, la mancanza di segregazione dei flussi pedonali e veicolari in spazi ristretti rappresenta un potenziale pericolo di investimento o schiacciamento in caso di manovre improvvise o distrazioni.</t>
        </is>
      </c>
      <c r="H11" s="7" t="n">
        <v>62.08</v>
      </c>
      <c r="I11" s="10" t="inlineStr">
        <is>
          <t>arancione</t>
        </is>
      </c>
      <c r="J11" s="7" t="inlineStr">
        <is>
          <t>{"scene_state": "Inquadratura dall'alto di un corridoio di un magazzino con scaffalature industriali alte su entrambi i lati.", "environmental_conditions": ["Illuminazione artificiale interna", "Pavimentazione liscia di colore verde con corsia centrale sgombra"], "people": ["Un operatore con maglia gialla situato nella parte inferiore centrale", "Un secondo operatore parzialmente visibile in basso a destra vicino alle scaffalature"], "objects": ["Scaffalature metalliche portapallet", "Merci imballate su pallet", "Un transpallet manuale o carrello nella parte inferiore"], "machines": ["Un carrello elevatore posizionato lungo il corridoio sullo sfondo"], "observable_actions": ["L'operatore in maglia gialla è fermo o in leggero movimento vicino al transpallet", "Il carrello elevatore sullo sfondo appare fermo o in fase di manovra lenta"], "visible_ppe": ["Maglia di colore giallo (potenziale alta visibilità, non chiaramente verificabile)"], "notes_visibility_limitations": "La prospettiva dall'alto e la distanza della telecamera limitano la visibilità dei dettagli dei DPI specifici e dei volti."}</t>
        </is>
      </c>
      <c r="K11" s="7" t="inlineStr">
        <is>
          <t>{"unsafe_behaviors": ["Presenza di pedoni nella stessa corsia di manovra del carrello elevatore", "Mancata verifica dell'uso di DPI specifici (es. scarpe antinfortunistiche, elmetto) a causa della distanza"], "vulnerable_elements": ["Operatore in maglia gialla vicino al transpallet", "Secondo operatore parzialmente visibile vicino alle scaffalature"], "risk_cues": {"S1_people_vehicle_interference": 0.5, "S2_visibility_attention_reduction": 0.25, "S3_non_compliant_behavior": 0.25, "S4_vehicle_infrastructure_interference": 0.5, "S5_storage_structural_instability": 0.25, "S6_access_to_moving_mechanical_parts": 0.0, "S7_manual_handling_heavy_unstable_loads": 0.25}, "cue_confidence": 0.7, "diagnostic_notes": "La compresenza di operatori a piedi e di un carrello elevatore nello stesso corridoio, sebbene a distanza, configura un rischio moderato di interferenza (S1). Le manovre del carrello elevatore in un corridoio stretto con scaffalature alte presentano un potenziale rischio di urto con le strutture (S4). La prospettiva dall'alto e la distanza limitano la valutazione dettagliata dei DPI e di eventuali comportamenti non conformi specifici."}</t>
        </is>
      </c>
      <c r="L11" s="7" t="inlineStr">
        <is>
          <t>{"causal_chain_plausible": true, "causal_chain_text": "La compresenza di pedoni e di un carrello elevatore in movimento nello stesso corridoio stretto può generare una collisione se l'operatore del mezzo ha la visuale ostruita o se i pedoni non avvertono l'avvicinamento del veicolo.", "near_miss_or_incident_scenario": "Investimento di un operatore a piedi da parte del carrello elevatore durante una manovra nel corridoio, o urto del carrello contro le scaffalature con caduta di merci.", "contributing_factors": ["Presenza contemporanea di pedoni e carrello elevatore nella stessa corsia", "Spazio di manovra limitato nel corridoio stretto", "Possibile visibilità limitata tra operatori e conducente"]}</t>
        </is>
      </c>
      <c r="M11" s="7" t="n">
        <v>45</v>
      </c>
      <c r="N11" s="7" t="inlineStr">
        <is>
          <t>Il punteggio riflette un rischio moderato dovuto alla compresenza di pedoni e di un carrello elevatore all'interno dello stesso corridoio stretto. Sebbene il mezzo sia distante o in manovra lenta, la mancanza di barriere fisiche di separazione aumenta la probabilità di interferenze e collisioni.</t>
        </is>
      </c>
      <c r="O11" s="7" t="n">
        <v>46.48</v>
      </c>
      <c r="P11" s="8" t="inlineStr">
        <is>
          <t>giallo</t>
        </is>
      </c>
      <c r="Q11" s="7" t="n">
        <v>22.97</v>
      </c>
      <c r="R11" s="7" t="n">
        <v>21.4</v>
      </c>
      <c r="S11" s="9" t="inlineStr">
        <is>
          <t>verde</t>
        </is>
      </c>
      <c r="T11" s="7" t="n">
        <v>0.7</v>
      </c>
      <c r="U11" s="7" t="inlineStr">
        <is>
          <t>La compresenza di operatori a piedi e di un carrello elevatore nello stesso corridoio, sebbene a distanza, configura un rischio moderato di interferenza (S1). Le manovre del carrello elevatore in un corridoio stretto con scaffalature alte presentano un potenziale rischio di urto con le strutture (S4). La prospettiva dall'alto e la distanza limitano la valutazione dettagliata dei DPI e di eventuali comportamenti non conformi specifici.</t>
        </is>
      </c>
      <c r="V11" s="7" t="n">
        <v>0.5</v>
      </c>
      <c r="W11" s="7" t="n">
        <v>0.5</v>
      </c>
      <c r="X11" s="7" t="n">
        <v>0.1109</v>
      </c>
      <c r="Y11" s="7" t="n">
        <v>5.545</v>
      </c>
      <c r="Z11" s="7" t="n">
        <v>24.14</v>
      </c>
      <c r="AA11" s="7" t="n">
        <v>0.25</v>
      </c>
      <c r="AB11" s="7" t="n">
        <v>0.5553</v>
      </c>
      <c r="AC11" s="7" t="n">
        <v>0.037</v>
      </c>
      <c r="AD11" s="7" t="n">
        <v>2.0546</v>
      </c>
      <c r="AE11" s="7" t="n">
        <v>8.94</v>
      </c>
      <c r="AF11" s="7" t="n">
        <v>0.25</v>
      </c>
      <c r="AG11" s="7" t="n">
        <v>0.2689</v>
      </c>
      <c r="AH11" s="7" t="n">
        <v>0.0549</v>
      </c>
      <c r="AI11" s="7" t="n">
        <v>1.4763</v>
      </c>
      <c r="AJ11" s="7" t="n">
        <v>6.43</v>
      </c>
      <c r="AK11" s="7" t="n">
        <v>0.5</v>
      </c>
      <c r="AL11" s="7" t="n">
        <v>0.7685</v>
      </c>
      <c r="AM11" s="7" t="n">
        <v>0.1538</v>
      </c>
      <c r="AN11" s="7" t="n">
        <v>11.8195</v>
      </c>
      <c r="AO11" s="7" t="n">
        <v>51.46</v>
      </c>
      <c r="AP11" s="7" t="n">
        <v>0.25</v>
      </c>
      <c r="AQ11" s="7" t="n">
        <v>0.0359</v>
      </c>
      <c r="AR11" s="7" t="n">
        <v>0.2228</v>
      </c>
      <c r="AS11" s="7" t="n">
        <v>0.7999000000000001</v>
      </c>
      <c r="AT11" s="7" t="n">
        <v>3.48</v>
      </c>
      <c r="AU11" s="7" t="n">
        <v>0</v>
      </c>
      <c r="AV11" s="7" t="n">
        <v>0.0266</v>
      </c>
      <c r="AW11" s="7" t="n">
        <v>0.3447</v>
      </c>
      <c r="AX11" s="7" t="n">
        <v>0.9169</v>
      </c>
      <c r="AY11" s="7" t="n">
        <v>3.99</v>
      </c>
      <c r="AZ11" s="7" t="n">
        <v>0.25</v>
      </c>
      <c r="BA11" s="7" t="n">
        <v>0.0474</v>
      </c>
      <c r="BB11" s="7" t="n">
        <v>0.0759</v>
      </c>
      <c r="BC11" s="7" t="n">
        <v>0.3598</v>
      </c>
      <c r="BD11" s="7" t="n">
        <v>1.57</v>
      </c>
    </row>
    <row r="12" ht="34" customHeight="1">
      <c r="A12" s="7" t="n">
        <v>10</v>
      </c>
      <c r="B12" s="7" t="n">
        <v>20</v>
      </c>
      <c r="C12" s="7" t="n">
        <v>24</v>
      </c>
      <c r="D12" s="7" t="n">
        <v>4</v>
      </c>
      <c r="E12" s="7" t="inlineStr">
        <is>
          <t>{"analisi_scena": {"descrizione_generale": "Ripresa dall'alto di una corsia stretta in un magazzino logistico con scaffalature industriali verticali.", "contesto": "Stoccaggio e movimentazione merci in ambito logistico.", "condizioni_ambientali": "Illuminazione artificiale interna, pavimentazione industriale verde con corsia definita."}, "soggetti_e_asset": {"persone": [{"ruolo": "Operatore a terra", "posizione": "In primo piano, vicino a un carrello manuale", "dpi_osservabili": "Gilet o maglia ad alta visibilità giallo. L'uso di elmetto o scarpe antinfortunistiche non è chiaramente distinguibile a causa della distanza."}], "macchinari": [{"tipo": "Carrello elevatore", "stato": "Attivo e posizionato lungo la corsia di stoccaggio"}], "oggetti": "Scaffalature metalliche portapallet cariche di merci imballate."}, "dinamiche_e_rischi": {"azioni_osservabili": "Il carrello elevatore è posizionato nella corsia mentre l'operatore a terra si trova all'estremità della stessa area di transito.", "limiti_visivi": "La prospettiva zenitale e la distanza non permettono di verificare con certezza tutti i DPI individuali o lo stato di attivazione dei segnalatori acustici/visivi del carrello.", "ragionamento_causale": "La presenza simultanea di un mezzo in movimento e di un pedone in una corsia di larghezza ridotta genera un'area di potenziale interferenza.", "sviluppi_rischiosi": "Rischio di investimento o schiacciamento del pedone qualora il carrello effettui manovre in retromarcia senza visibilità. Rischio di caduta materiali dall'alto durante il prelievo dai livelli superiori.", "fattori_contribuenti": "Spazio di manovra ristretto e assenza di segregazione fisica tra percorsi pedonali e veicolari nella corsia."}}</t>
        </is>
      </c>
      <c r="F12" s="7" t="n">
        <v>75</v>
      </c>
      <c r="G12" s="7" t="inlineStr">
        <is>
          <t>La compresenza di un operatore a terra e di un carrello elevatore attivo all'interno di una corsia di stoccaggio stretta, priva di segregazione fisica tra flussi pedonali e veicolari, genera un rischio elevato di investimento o schiacciamento. Sebbene l'operatore indossi un gilet ad alta visibilità, lo spazio di manovra ridotto e la potenziale visibilità limitata del conducente durante le manovre aumentano sensibilmente la criticità.</t>
        </is>
      </c>
      <c r="H12" s="7" t="n">
        <v>73.58</v>
      </c>
      <c r="I12" s="10" t="inlineStr">
        <is>
          <t>arancione</t>
        </is>
      </c>
      <c r="J12" s="7" t="inlineStr">
        <is>
          <t>{"scene_state": "Interno di un magazzino con scaffalature industriali alte su entrambi i lati di un corridoio centrale.", "environmental_conditions": ["Illuminazione artificiale", "Pavimentazione verde"], "people": ["Un operatore a piedi in primo piano", "Un possibile operatore a bordo del carrello elevatore in fondo al corridoio"], "objects": ["Scaffalature metalliche", "Pallet con merci imballate", "Transpallet manuale"], "machines": ["Carrello elevatore (muletto) posizionato nel corridoio"], "observable_actions": ["L'operatore in primo piano è fermo vicino al transpallet manuale", "Il carrello elevatore è posizionato lungo il corridoio centrale"], "visible_ppe": ["Indumento ad alta visibilità di colore giallo indossato dall'operatore in primo piano"], "notes_visibility_limitations": "Inquadratura dall'alto con lente grandangolare e risoluzione che limita la visibilità dei dettagli minuti."}</t>
        </is>
      </c>
      <c r="K12" s="7" t="inlineStr">
        <is>
          <t>{"unsafe_behaviors": [], "vulnerable_elements": ["Operatore a piedi nel corridoio centrale"], "risk_cues": {"S1_people_vehicle_interference": 0.5, "S2_visibility_attention_reduction": 0.25, "S3_non_compliant_behavior": 0.0, "S4_vehicle_infrastructure_interference": 0.25, "S5_storage_structural_instability": 0.25, "S6_access_to_moving_mechanical_parts": 0.0, "S7_manual_handling_heavy_unstable_loads": 0.0}, "cue_confidence": 0.8, "diagnostic_notes": "Si rileva la compresenza nello stesso corridoio di un operatore a piedi e di un carrello elevatore, configurando un potenziale rischio di interferenza (S1), sebbene i soggetti si trovino a distanza. L'operatore indossa DPI ad alta visibilità. Non si osservano comportamenti non conformi o instabilità strutturali evidenti, ma la risoluzione e l'inquadratura grandangolare limitano l'analisi di dettagli minuti."}</t>
        </is>
      </c>
      <c r="L12" s="7" t="inlineStr">
        <is>
          <t>{"causal_chain_plausible": true, "causal_chain_text": "La compresenza di un operatore a piedi e di un carrello elevatore nello stesso corridoio di transito crea un rischio di interferenza. Se il carrello si mette in movimento o l'operatore si sposta senza reciproca visibilità o coordinamento, si può verificare una collisione.", "near_miss_or_incident_scenario": "Investimento del pedone da parte del carrello elevatore durante le manovre di movimentazione nel corridoio centrale.", "contributing_factors": ["Compresenza di pedoni e mezzi semoventi nello stesso corridoio", "Spazio di manovra limitato dalla presenza di scaffalature e merci", "Possibile riduzione dell'attenzione o della visibilità reciproca a distanza"]}</t>
        </is>
      </c>
      <c r="M12" s="7" t="n">
        <v>35</v>
      </c>
      <c r="N12" s="7" t="inlineStr">
        <is>
          <t>Il punteggio riflette un rischio moderato dovuto alla compresenza di un operatore a piedi e di un carrello elevatore nello stesso corridoio. Sebbene l'operatore indossi DPI ad alta visibilità e i soggetti siano distanti, la condivisione dello spazio di transito richiede costante attenzione per evitare interferenze.</t>
        </is>
      </c>
      <c r="O12" s="7" t="n">
        <v>39.59</v>
      </c>
      <c r="P12" s="8" t="inlineStr">
        <is>
          <t>giallo</t>
        </is>
      </c>
      <c r="Q12" s="7" t="n">
        <v>11.66</v>
      </c>
      <c r="R12" s="7" t="n">
        <v>15.56</v>
      </c>
      <c r="S12" s="9" t="inlineStr">
        <is>
          <t>verde</t>
        </is>
      </c>
      <c r="T12" s="7" t="n">
        <v>0.8</v>
      </c>
      <c r="U12" s="7" t="inlineStr">
        <is>
          <t>Si rileva la compresenza nello stesso corridoio di un operatore a piedi e di un carrello elevatore, configurando un potenziale rischio di interferenza (S1), sebbene i soggetti si trovino a distanza. L'operatore indossa DPI ad alta visibilità. Non si osservano comportamenti non conformi o instabilità strutturali evidenti, ma la risoluzione e l'inquadratura grandangolare limitano l'analisi di dettagli minuti.</t>
        </is>
      </c>
      <c r="V12" s="7" t="n">
        <v>0.5</v>
      </c>
      <c r="W12" s="7" t="n">
        <v>0.5</v>
      </c>
      <c r="X12" s="7" t="n">
        <v>0.1109</v>
      </c>
      <c r="Y12" s="7" t="n">
        <v>5.545</v>
      </c>
      <c r="Z12" s="7" t="n">
        <v>47.56</v>
      </c>
      <c r="AA12" s="7" t="n">
        <v>0.25</v>
      </c>
      <c r="AB12" s="7" t="n">
        <v>0.5553</v>
      </c>
      <c r="AC12" s="7" t="n">
        <v>0.037</v>
      </c>
      <c r="AD12" s="7" t="n">
        <v>2.0546</v>
      </c>
      <c r="AE12" s="7" t="n">
        <v>17.62</v>
      </c>
      <c r="AF12" s="7" t="n">
        <v>0</v>
      </c>
      <c r="AG12" s="7" t="n">
        <v>0.0293</v>
      </c>
      <c r="AH12" s="7" t="n">
        <v>0.0549</v>
      </c>
      <c r="AI12" s="7" t="n">
        <v>0.1609</v>
      </c>
      <c r="AJ12" s="7" t="n">
        <v>1.38</v>
      </c>
      <c r="AK12" s="7" t="n">
        <v>0.25</v>
      </c>
      <c r="AL12" s="7" t="n">
        <v>0.1419</v>
      </c>
      <c r="AM12" s="7" t="n">
        <v>0.1538</v>
      </c>
      <c r="AN12" s="7" t="n">
        <v>2.1824</v>
      </c>
      <c r="AO12" s="7" t="n">
        <v>18.72</v>
      </c>
      <c r="AP12" s="7" t="n">
        <v>0.25</v>
      </c>
      <c r="AQ12" s="7" t="n">
        <v>0.0359</v>
      </c>
      <c r="AR12" s="7" t="n">
        <v>0.2228</v>
      </c>
      <c r="AS12" s="7" t="n">
        <v>0.7999000000000001</v>
      </c>
      <c r="AT12" s="7" t="n">
        <v>6.86</v>
      </c>
      <c r="AU12" s="7" t="n">
        <v>0</v>
      </c>
      <c r="AV12" s="7" t="n">
        <v>0.0266</v>
      </c>
      <c r="AW12" s="7" t="n">
        <v>0.3447</v>
      </c>
      <c r="AX12" s="7" t="n">
        <v>0.9169</v>
      </c>
      <c r="AY12" s="7" t="n">
        <v>7.86</v>
      </c>
      <c r="AZ12" s="7" t="n">
        <v>0</v>
      </c>
      <c r="BA12" s="7" t="n">
        <v>0</v>
      </c>
      <c r="BB12" s="7" t="n">
        <v>0.0759</v>
      </c>
      <c r="BC12" s="7" t="n">
        <v>0</v>
      </c>
      <c r="BD12" s="7" t="n">
        <v>0</v>
      </c>
    </row>
    <row r="13" ht="34" customHeight="1">
      <c r="A13" s="7" t="n">
        <v>11</v>
      </c>
      <c r="B13" s="7" t="n">
        <v>22</v>
      </c>
      <c r="C13" s="7" t="n">
        <v>26</v>
      </c>
      <c r="D13" s="7" t="n">
        <v>4</v>
      </c>
      <c r="E13" s="7" t="inlineStr">
        <is>
          <t>{"contesto_e_scena": {"descrizione_generale": "Inquadratura dall'alto di una corsia di un magazzino logistico con scaffalature industriali alte e merce pallettizzata.", "condizioni_ambientali": "Illuminazione interna artificiale uniforme, pavimentazione verde con segnaletica non chiaramente visibile."}, "soggetti_e_macchinari": {"persone": [{"ruolo": "Operatore a terra", "posizione": "Parte inferiore della corsia, vicino a un transpallet", "dpi_osservabili": "Gilet o maglietta ad alta visibilità gialla. Elmetto e scarpe antinfortunistiche non chiaramente distinguibili per la distanza."}], "macchinari": [{"tipo": "Carrello elevatore (forklift) giallo", "stato": "Posizionato al centro della corsia, apparentemente operativo."}, {"tipo": "Transpallet manuale", "stato": "Fermo in prossimità dell'operatore a terra."}]}, "analisi_sicurezza": {"interazioni_rilevanti": "Presenza contemporanea di un carrello elevatore operativo e di un operatore a terra nella stessa corsia di lavoro.", "limitazioni_visive": "La visuale dall'alto e la distanza riducono la precisione nel valutare i dettagli dei DPI e la direzione esatta dello sguardo dell'operatore del carrello.", "rischi_potenziali": "Rischio di investimento o schiacciamento dell'operatore a terra qualora entrasse nell'area di manovra del carrello elevatore senza adeguata coordinazione o comunicazione visiva.", "fattori_contribuenti": "Spazio di manovra limitato dalla larghezza della corsia e dalla presenza di attrezzature a terra."}}</t>
        </is>
      </c>
      <c r="F13" s="7" t="n">
        <v>70</v>
      </c>
      <c r="G13" s="7" t="inlineStr">
        <is>
          <t>La compresenza di un carrello elevatore operativo e di un operatore a terra all'interno della stessa corsia stretta configura un rischio medio-alto (70) di investimento o schiacciamento. Sebbene l'operatore indossi un gilet ad alta visibilità, lo spazio di manovra limitato e la mancanza di barriere fisiche di separazione aumentano la criticità della situazione.</t>
        </is>
      </c>
      <c r="H13" s="7" t="n">
        <v>71.43000000000001</v>
      </c>
      <c r="I13" s="10" t="inlineStr">
        <is>
          <t>arancione</t>
        </is>
      </c>
      <c r="J13" s="7" t="inlineStr">
        <is>
          <t>{"scene_state": "Corridoio interno di un magazzino con scaffalature industriali alte su entrambi i lati, cariche di merci pallettizzate.", "environmental_conditions": ["Illuminazione artificiale interna", "Pavimentazione verde con corsia centrale"], "people": ["Un operatore a terra in primo piano", "Un operatore alla guida del carrello elevatore", "Un operatore parzialmente visibile in basso a destra"], "objects": ["Scaffalature metalliche", "Pallet con merci imballate", "Transpallet manuale"], "machines": ["Carrello elevatore di colore giallo in movimento nel corridoio"], "observable_actions": ["Il carrello elevatore si muove lungo il corridoio centrale", "L'operatore in primo piano staziona vicino al transpallet"], "visible_ppe": ["Gilet o indumento ad alta visibilità giallo indossato dall'operatore in primo piano"], "notes_visibility_limitations": "Inquadratura dall'alto e distanza della telecamera che limitano la visibilità dei dettagli e l'identificazione di ulteriori DPI."}</t>
        </is>
      </c>
      <c r="K13" s="7" t="inlineStr">
        <is>
          <t>{"unsafe_behaviors": ["Stazionamento di operatori a terra nella corsia di transito del carrello elevatore in movimento"], "vulnerable_elements": ["Operatore a terra in primo piano", "Operatore parzialmente visibile in basso a destra"], "risk_cues": {"S1_people_vehicle_interference": 0.75, "S2_visibility_attention_reduction": 0.5, "S3_non_compliant_behavior": 0.5, "S4_vehicle_infrastructure_interference": 0.5, "S5_storage_structural_instability": 0.25, "S6_access_to_moving_mechanical_parts": 0.0, "S7_manual_handling_heavy_unstable_loads": 0.0}, "cue_confidence": 0.8, "diagnostic_notes": "Forte rischio di interferenza (S1) dovuto alla compresenza di pedoni e carrello elevatore nello stesso corridoio senza separazione fisica. Possibile riduzione della visibilità/attenzione (S2) durante le manovre. Limitazioni visive dovute all'altezza della telecamera."}</t>
        </is>
      </c>
      <c r="L13" s="7" t="inlineStr">
        <is>
          <t>{"causal_chain_plausible": true, "causal_chain_text": "La compresenza di operatori a terra e di un carrello elevatore in movimento nello stesso corridoio, privo di barriere fisiche di separazione, genera un'interferenza diretta. Una distrazione del conducente o del pedone, o un angolo cieco durante la marcia, può portare a un impatto improvviso.", "near_miss_or_incident_scenario": "Investimento di un operatore a terra da parte del carrello elevatore in transito lungo il corridoio del magazzino.", "contributing_factors": ["Mancata segregazione fisica tra la via di transito del mezzo e l'area di stazionamento dei pedoni", "Presenza di operatori a terra nella traiettoria di movimento del carrello elevatore", "Possibile riduzione della visibilità e dell'attenzione reciproca all'interno del corridoio"]}</t>
        </is>
      </c>
      <c r="M13" s="7" t="n">
        <v>70</v>
      </c>
      <c r="N13" s="7" t="inlineStr">
        <is>
          <t>Il punteggio riflette un rischio significativo dovuto alla compresenza di operatori a terra e di un carrello elevatore in movimento nello stesso corridoio senza barriere fisiche di separazione. Questa situazione genera un'elevata probabilità di interferenza e potenziale investimento in caso di distrazione o presenza di angoli ciechi.</t>
        </is>
      </c>
      <c r="O13" s="7" t="n">
        <v>66.59</v>
      </c>
      <c r="P13" s="10" t="inlineStr">
        <is>
          <t>arancione</t>
        </is>
      </c>
      <c r="Q13" s="7" t="n">
        <v>29.37</v>
      </c>
      <c r="R13" s="7" t="n">
        <v>28.27</v>
      </c>
      <c r="S13" s="8" t="inlineStr">
        <is>
          <t>giallo</t>
        </is>
      </c>
      <c r="T13" s="7" t="n">
        <v>0.8</v>
      </c>
      <c r="U13" s="7" t="inlineStr">
        <is>
          <t>Forte rischio di interferenza (S1) dovuto alla compresenza di pedoni e carrello elevatore nello stesso corridoio senza separazione fisica. Possibile riduzione della visibilità/attenzione (S2) durante le manovre. Limitazioni visive dovute all'altezza della telecamera.</t>
        </is>
      </c>
      <c r="V13" s="7" t="n">
        <v>0.75</v>
      </c>
      <c r="W13" s="7" t="n">
        <v>0.75</v>
      </c>
      <c r="X13" s="7" t="n">
        <v>0.1109</v>
      </c>
      <c r="Y13" s="7" t="n">
        <v>8.317500000000001</v>
      </c>
      <c r="Z13" s="7" t="n">
        <v>28.32</v>
      </c>
      <c r="AA13" s="7" t="n">
        <v>0.5</v>
      </c>
      <c r="AB13" s="7" t="n">
        <v>0.8176</v>
      </c>
      <c r="AC13" s="7" t="n">
        <v>0.037</v>
      </c>
      <c r="AD13" s="7" t="n">
        <v>3.0251</v>
      </c>
      <c r="AE13" s="7" t="n">
        <v>10.3</v>
      </c>
      <c r="AF13" s="7" t="n">
        <v>0.5</v>
      </c>
      <c r="AG13" s="7" t="n">
        <v>0.8176</v>
      </c>
      <c r="AH13" s="7" t="n">
        <v>0.0549</v>
      </c>
      <c r="AI13" s="7" t="n">
        <v>4.4886</v>
      </c>
      <c r="AJ13" s="7" t="n">
        <v>15.28</v>
      </c>
      <c r="AK13" s="7" t="n">
        <v>0.5</v>
      </c>
      <c r="AL13" s="7" t="n">
        <v>0.7685</v>
      </c>
      <c r="AM13" s="7" t="n">
        <v>0.1538</v>
      </c>
      <c r="AN13" s="7" t="n">
        <v>11.8195</v>
      </c>
      <c r="AO13" s="7" t="n">
        <v>40.24</v>
      </c>
      <c r="AP13" s="7" t="n">
        <v>0.25</v>
      </c>
      <c r="AQ13" s="7" t="n">
        <v>0.0359</v>
      </c>
      <c r="AR13" s="7" t="n">
        <v>0.2228</v>
      </c>
      <c r="AS13" s="7" t="n">
        <v>0.7999000000000001</v>
      </c>
      <c r="AT13" s="7" t="n">
        <v>2.72</v>
      </c>
      <c r="AU13" s="7" t="n">
        <v>0</v>
      </c>
      <c r="AV13" s="7" t="n">
        <v>0.0266</v>
      </c>
      <c r="AW13" s="7" t="n">
        <v>0.3447</v>
      </c>
      <c r="AX13" s="7" t="n">
        <v>0.9169</v>
      </c>
      <c r="AY13" s="7" t="n">
        <v>3.12</v>
      </c>
      <c r="AZ13" s="7" t="n">
        <v>0</v>
      </c>
      <c r="BA13" s="7" t="n">
        <v>0</v>
      </c>
      <c r="BB13" s="7" t="n">
        <v>0.0759</v>
      </c>
      <c r="BC13" s="7" t="n">
        <v>0</v>
      </c>
      <c r="BD13" s="7" t="n">
        <v>0</v>
      </c>
    </row>
    <row r="14" ht="34" customHeight="1">
      <c r="A14" s="7" t="n">
        <v>12</v>
      </c>
      <c r="B14" s="7" t="n">
        <v>24</v>
      </c>
      <c r="C14" s="7" t="n">
        <v>28</v>
      </c>
      <c r="D14" s="7" t="n">
        <v>4</v>
      </c>
      <c r="E14" s="7" t="inlineStr">
        <is>
          <t>{"scena_generale": {"descrizione": "Inquadratura dall'alto di una corsia di un magazzino logistico con scaffalature industriali su entrambi i lati.", "contesto": "Stoccaggio e movimentazione merci in ambito logistico/industriale."}, "soggetti_e_risorse": {"persone": "Almeno due operatori a terra visibili nella parte inferiore della corsia.", "macchinari": "Un carrello elevatore (muletto) giallo operativo al centro della corsia.", "oggetti": "Scaffalature metalliche verticali a più livelli cariche di pallet con merci imballate."}, "dinamica_osservata": {"azione": "Il muletto è in fase di manovra vicino alle scaffalature. Improvvisamente, l'intera struttura di destra subisce un cedimento strutturale catastrofico, collassando verso il centro della corsia.", "condizioni_ambientali": "Illuminazione interna artificiale standard, visibilità inizialmente buona, poi compromessa dal crollo di merci e detriti."}, "analisi_sicurezza": {"evento": "Incidente grave con crollo strutturale massivo delle scaffalature.", "fattori_contribuenti_probabili": "Possibile impatto del carrello elevatore contro i montanti della scaffalatura o sovraccarico strutturale della stessa. L'esatta causa iniziale è parzialmente ambigua a causa della distanza della telecamera.", "sviluppi_rischiosi": "Grave rischio di schiacciamento e seppellimento per gli operatori a terra e per il conducente del muletto. Rischio di effetto domino su altre scaffalature.", "dpi_rilevati": "Presenza di giubbotti ad alta visibilità (giallo/arancione) sugli operatori a terra. L'uso di elmetti protettivi è difficilmente verificabile con certezza a causa della risoluzione."}}</t>
        </is>
      </c>
      <c r="F14" s="7" t="n">
        <v>100</v>
      </c>
      <c r="G14" s="7" t="inlineStr">
        <is>
          <t>Il punteggio massimo è giustificato dal crollo strutturale catastrofico e improvviso delle scaffalature pesanti cariche di merci direttamente nella corsia di transito. La presenza di almeno due operatori a terra e del conducente del muletto nell'area d'impatto immediato configura un pericolo estremo e imminente di morte o lesioni gravissime per schiacciamento e seppellimento, oltre al rischio di effetto domino.</t>
        </is>
      </c>
      <c r="H14" s="7" t="n">
        <v>96.06999999999999</v>
      </c>
      <c r="I14" s="11" t="inlineStr">
        <is>
          <t>rosso</t>
        </is>
      </c>
      <c r="J14" s="7" t="inlineStr">
        <is>
          <t>{"scene_state": "Crollo improvviso di una scaffalatura industriale all'interno di un magazzino.", "environmental_conditions": ["Illuminazione artificiale interna", "Ambiente chiuso (magazzino)"], "people": ["Un operatore a terra nella parte inferiore dell'inquadratura", "Un operatore a bordo del carrello elevatore"], "objects": ["Scaffalature metalliche portapallet", "Pallet con merci stoccate", "Merci e detriti derivanti dal crollo"], "machines": ["Un carrello elevatore giallo posizionato nel corridoio centrale"], "observable_actions": ["Il carrello elevatore si trova nel corridoio tra le scaffalature", "La struttura di stoccaggio sul lato destro collassa improvvisamente, riversando merci e componenti metallici nel corridoio"], "visible_ppe": ["Indumento ad alta visibilità di colore giallo indossato dall'operatore a terra"], "notes_visibility_limitations": "Inquadratura fissa dall'alto (telecamera di sicurezza). La distanza e la rapidità del crollo limitano la visibilità dei dettagli minuti e dei DPI specifici."}</t>
        </is>
      </c>
      <c r="K14" s="7" t="inlineStr">
        <is>
          <t>{"unsafe_behaviors": ["Presenza di un operatore a terra in un'area di transito e manovra di carrelli elevatori senza apparente segregazione fisica dei percorsi", "Stazionamento o transito del carrello elevatore in prossimità immediata di scaffalature instabili o sovraccariche"], "vulnerable_elements": ["Operatore a terra esposto direttamente al crollo dei materiali e al transito del mezzo", "Operatore a bordo del carrello elevatore esposto al collasso della struttura adiacente"], "risk_cues": {"S1_people_vehicle_interference": 0.75, "S2_visibility_attention_reduction": 0.5, "S3_non_compliant_behavior": 0.5, "S4_vehicle_infrastructure_interference": 0.75, "S5_storage_structural_instability": 1.0, "S6_access_to_moving_mechanical_parts": 0.0, "S7_manual_handling_heavy_unstable_loads": 0.0}, "cue_confidence": 0.9, "diagnostic_notes": "La situazione presenta la massima criticità per il crollo strutturale della scaffalatura (S5 = 1.0), che riversa merci e detriti nel corridoio. È evidente la compresenza pericolosa di un operatore a terra e di un carrello elevatore nello stesso spazio operativo (S1 = 0.75), con potenziale interferenza tra il mezzo e le scaffalature (S4 = 0.75) che potrebbe aver innescato o favorito il collasso."}</t>
        </is>
      </c>
      <c r="L14" s="7" t="inlineStr">
        <is>
          <t>{"causal_chain_plausible": true, "causal_chain_text": "L'instabilità strutturale o un potenziale impatto del carrello elevatore provoca il crollo improvviso della scaffalatura. Le merci e i detriti metallici cadono nel corridoio investendo l'area in cui si trovano l'operatore a terra e il mezzo.", "near_miss_or_incident_scenario": "Grave incidente da schiacciamento dell'operatore a terra a causa del crollo della scaffalatura e delle merci, con potenziale coinvolgimento e intrappolamento dell'operatore sul carrello elevatore.", "contributing_factors": ["Instabilità strutturale o sovraccarico della scaffalatura portapallet", "Mancata segregazione dei percorsi pedonali e veicolari nel magazzino", "Presenza dell'operatore a terra nell'area di manovra e di potenziale crollo", "Possibile interferenza o urto tra il carrello elevatore e la struttura"]}</t>
        </is>
      </c>
      <c r="M14" s="7" t="n">
        <v>98</v>
      </c>
      <c r="N14" s="7" t="inlineStr">
        <is>
          <t>Il punteggio riflette una situazione di imminente pericolo di vita dovuto al crollo strutturale attivo della scaffalatura pesante direttamente sull'area di transito degli operatori. La compresenza di un lavoratore a terra e di un carrello elevatore nel corridoio rende l'evento estremamente critico con altissimo rischio di lesioni gravi o fatali.</t>
        </is>
      </c>
      <c r="O14" s="7" t="n">
        <v>92.44</v>
      </c>
      <c r="P14" s="11" t="inlineStr">
        <is>
          <t>rosso</t>
        </is>
      </c>
      <c r="Q14" s="7" t="n">
        <v>54.18</v>
      </c>
      <c r="R14" s="7" t="n">
        <v>50.02</v>
      </c>
      <c r="S14" s="10" t="inlineStr">
        <is>
          <t>arancione</t>
        </is>
      </c>
      <c r="T14" s="7" t="n">
        <v>0.9</v>
      </c>
      <c r="U14" s="7" t="inlineStr">
        <is>
          <t>La situazione presenta la massima criticità per il crollo strutturale della scaffalatura (S5 = 1.0), che riversa merci e detriti nel corridoio. È evidente la compresenza pericolosa di un operatore a terra e di un carrello elevatore nello stesso spazio operativo (S1 = 0.75), con potenziale interferenza tra il mezzo e le scaffalature (S4 = 0.75) che potrebbe aver innescato o favorito il collasso.</t>
        </is>
      </c>
      <c r="V14" s="7" t="n">
        <v>0.75</v>
      </c>
      <c r="W14" s="7" t="n">
        <v>0.75</v>
      </c>
      <c r="X14" s="7" t="n">
        <v>0.1109</v>
      </c>
      <c r="Y14" s="7" t="n">
        <v>8.317500000000001</v>
      </c>
      <c r="Z14" s="7" t="n">
        <v>15.35</v>
      </c>
      <c r="AA14" s="7" t="n">
        <v>0.5</v>
      </c>
      <c r="AB14" s="7" t="n">
        <v>0.8176</v>
      </c>
      <c r="AC14" s="7" t="n">
        <v>0.037</v>
      </c>
      <c r="AD14" s="7" t="n">
        <v>3.0251</v>
      </c>
      <c r="AE14" s="7" t="n">
        <v>5.58</v>
      </c>
      <c r="AF14" s="7" t="n">
        <v>0.5</v>
      </c>
      <c r="AG14" s="7" t="n">
        <v>0.8176</v>
      </c>
      <c r="AH14" s="7" t="n">
        <v>0.0549</v>
      </c>
      <c r="AI14" s="7" t="n">
        <v>4.4886</v>
      </c>
      <c r="AJ14" s="7" t="n">
        <v>8.279999999999999</v>
      </c>
      <c r="AK14" s="7" t="n">
        <v>0.75</v>
      </c>
      <c r="AL14" s="7" t="n">
        <v>0.9852</v>
      </c>
      <c r="AM14" s="7" t="n">
        <v>0.1538</v>
      </c>
      <c r="AN14" s="7" t="n">
        <v>15.1524</v>
      </c>
      <c r="AO14" s="7" t="n">
        <v>27.97</v>
      </c>
      <c r="AP14" s="7" t="n">
        <v>1</v>
      </c>
      <c r="AQ14" s="7" t="n">
        <v>1</v>
      </c>
      <c r="AR14" s="7" t="n">
        <v>0.2228</v>
      </c>
      <c r="AS14" s="7" t="n">
        <v>22.28</v>
      </c>
      <c r="AT14" s="7" t="n">
        <v>41.12</v>
      </c>
      <c r="AU14" s="7" t="n">
        <v>0</v>
      </c>
      <c r="AV14" s="7" t="n">
        <v>0.0266</v>
      </c>
      <c r="AW14" s="7" t="n">
        <v>0.3447</v>
      </c>
      <c r="AX14" s="7" t="n">
        <v>0.9169</v>
      </c>
      <c r="AY14" s="7" t="n">
        <v>1.69</v>
      </c>
      <c r="AZ14" s="7" t="n">
        <v>0</v>
      </c>
      <c r="BA14" s="7" t="n">
        <v>0</v>
      </c>
      <c r="BB14" s="7" t="n">
        <v>0.0759</v>
      </c>
      <c r="BC14" s="7" t="n">
        <v>0</v>
      </c>
      <c r="BD14" s="7" t="n">
        <v>0</v>
      </c>
    </row>
    <row r="15" ht="34" customHeight="1">
      <c r="A15" s="7" t="n">
        <v>13</v>
      </c>
      <c r="B15" s="7" t="n">
        <v>26</v>
      </c>
      <c r="C15" s="7" t="n">
        <v>30</v>
      </c>
      <c r="D15" s="7" t="n">
        <v>4</v>
      </c>
      <c r="E15" s="7" t="inlineStr">
        <is>
          <t>{"analisi_scena": {"descrizione_generale": "Crollo catastrofico di una scaffalatura industriale all'interno di un magazzino.", "contesto": "Magazzino logistico ad alta densità con corsie strette e scaffalature verticali multipiano.", "persone_presenti": "Almeno due operatori a terra visibili nei primi istanti nella parte inferiore dell'inquadratura.", "oggetti_e_macchinari": {"macchinari": "Un carrello elevatore giallo posizionato nel corridoio centrale.", "oggetti": "Scaffalature metalliche pesanti cariche di pallet con merci imballate chiare."}, "dinamica_ed_azioni": "Il carrello è nel corridoio quando la scaffalatura destra subisce un cedimento strutturale improvviso, collassando completamente e travolgendo l'area circostante.", "condizioni_ambientali": "Illuminazione interna artificiale. Visibilità inizialmente buona, azzerata rapidamente dal crollo e dalla densa nube di polvere.", "limiti_osservativi": "La distanza della telecamera e la rapidità del crollo impediscono di vedere l'esatta causa dell'innesco e le condizioni finali dei lavoratori.", "analisi_sicurezza": {"ragionamento_causale": "Il collasso strutturale della scaffalatura potrebbe derivare da un urto del carrello o da un cedimento strutturale preesistente/sovraccarico, non chiaramente distinguibili.", "sviluppi_rischiosi": "Grave incidente da schiacciamento e seppellimento con elevato rischio di lesioni fatali per il personale presente.", "fattori_contribuenti": "Altezza elevata dello stoccaggio, prossimità dei lavoratori alle strutture di carico, potenziale instabilità strutturale.", "dpi_rilevati": "Un operatore indossa indumenti ad alta visibilità. Altri DPI come elmetti non sono chiaramente identificabili a causa della risoluzione."}}}</t>
        </is>
      </c>
      <c r="F15" s="7" t="n">
        <v>100</v>
      </c>
      <c r="G15" s="7" t="inlineStr">
        <is>
          <t>Il punteggio massimo di 100 è motivato dal crollo catastrofico e improvviso di scaffalature industriali pesanti cariche di merci direttamente sopra un'area di lavoro in cui sono presenti operatori a terra. Questo evento genera un rischio immediato ed estremo di schiacciamento, seppellimento e lesioni fatali per il personale coinvolto, con l'azzeramento della visibilità e l'impossibilità di una fuga sicura.</t>
        </is>
      </c>
      <c r="H15" s="7" t="n">
        <v>98.43000000000001</v>
      </c>
      <c r="I15" s="11" t="inlineStr">
        <is>
          <t>rosso</t>
        </is>
      </c>
      <c r="J15" s="7" t="inlineStr">
        <is>
          <t>{"scene_state": "Collasso strutturale improvviso di una scaffalatura industriale all'interno di un magazzino.", "environmental_conditions": ["Illuminazione artificiale interna", "Generazione di una fitta nube di polvere e detriti a seguito del crollo"], "people": ["Almeno due operatori presenti a terra nel corridoio prima del crollo"], "objects": ["Scaffalature metalliche autoportanti", "Pallet carichi di merci stoccate", "Merci e detriti derivanti dal collasso"], "machines": ["Un carrello elevatore posizionato nel corridoio centrale"], "observable_actions": ["La scaffalatura sul lato destro cede improvvisamente", "I pallet e l'intera struttura collassano nel corridoio", "Gli operatori tentano di fuggire prima di essere investiti dai detriti"], "visible_ppe": ["Un operatore indossa un indumento ad alta visibilità di colore giallo"], "notes_visibility_limitations": "Inquadratura di sicurezza dall'alto con risoluzione medio-bassa. Il crollo e la polvere generata occultano completamente la visibilità delle persone e dei macchinari nella fase finale."}</t>
        </is>
      </c>
      <c r="K15" s="7" t="inlineStr">
        <is>
          <t>{"unsafe_behaviors": ["Presenza di operatori a piedi in prossimità di scaffalature instabili o durante il collasso"], "vulnerable_elements": ["Almeno due operatori a terra nel corridoio", "Operatore a bordo del carrello elevatore"], "risk_cues": {"S1_people_vehicle_interference": 0.5, "S2_visibility_attention_reduction": 0.75, "S3_non_compliant_behavior": 0.25, "S4_vehicle_infrastructure_interference": 0.25, "S5_storage_structural_instability": 1.0, "S6_access_to_moving_mechanical_parts": 0.0, "S7_manual_handling_heavy_unstable_loads": 0.0}, "cue_confidence": 0.9, "diagnostic_notes": "La scena mostra una situazione estremamente critica dovuta al collasso strutturale improvviso della scaffalatura (S5=1.0), che investe direttamente l'area in cui si trovano gli operatori e il carrello elevatore. La fitta nube di polvere generata dal crollo azzera quasi completamente la visibilità nella fase finale (S2=0.75), ostacolando i tentativi di fuga e i soccorsi. La compresenza di pedoni e del carrello elevatore nello stesso corridoio (S1=0.5) aumenta l'esposizione al rischio in caso di emergenza."}</t>
        </is>
      </c>
      <c r="L15" s="7" t="inlineStr">
        <is>
          <t>{"causal_chain_plausible": true, "causal_chain_text": "Il cedimento strutturale improvviso della scaffalatura provoca la caduta di pallet pesanti e detriti nel corridoio. Gli operatori a piedi e sul carrello elevatore tentano la fuga ma vengono ostacolati dalla rapidità del crollo e dalla fitta nube di polvere che azzera la visibilità, portando al potenziale seppellimento o impatto.", "near_miss_or_incident_scenario": "Grave incidente da schiacciamento e impatto dovuto al crollo della scaffalatura metallica e dei carichi stoccati sugli operatori a terra e sul carrello elevatore nel corridoio.", "contributing_factors": ["Instabilità strutturale e collasso improvviso della scaffalatura", "Presenza di pedoni e un carrello elevatore nel corridoio di transito durante il crollo", "Drastica riduzione della visibilità causata dalla fitta nube di polvere e detriti"]}</t>
        </is>
      </c>
      <c r="M15" s="7" t="n">
        <v>98</v>
      </c>
      <c r="N15" s="7" t="inlineStr">
        <is>
          <t>Il punteggio riflette una situazione di emergenza estrema con imminente pericolo di vita dovuto al collasso strutturale che investe direttamente gli operatori a terra. La fitta nube di polvere azzera la visibilità, ostacolando la fuga e i soccorsi in uno scenario di gravissimo schiacciamento.</t>
        </is>
      </c>
      <c r="O15" s="7" t="n">
        <v>95.78</v>
      </c>
      <c r="P15" s="11" t="inlineStr">
        <is>
          <t>rosso</t>
        </is>
      </c>
      <c r="Q15" s="7" t="n">
        <v>35.88</v>
      </c>
      <c r="R15" s="7" t="n">
        <v>41.54</v>
      </c>
      <c r="S15" s="8" t="inlineStr">
        <is>
          <t>giallo</t>
        </is>
      </c>
      <c r="T15" s="7" t="n">
        <v>0.9</v>
      </c>
      <c r="U15" s="7" t="inlineStr">
        <is>
          <t>La scena mostra una situazione estremamente critica dovuta al collasso strutturale improvviso della scaffalatura (S5=1.0), che investe direttamente l'area in cui si trovano gli operatori e il carrello elevatore. La fitta nube di polvere generata dal crollo azzera quasi completamente la visibilità nella fase finale (S2=0.75), ostacolando i tentativi di fuga e i soccorsi. La compresenza di pedoni e del carrello elevatore nello stesso corridoio (S1=0.5) aumenta l'esposizione al rischio in caso di emergenza.</t>
        </is>
      </c>
      <c r="V15" s="7" t="n">
        <v>0.5</v>
      </c>
      <c r="W15" s="7" t="n">
        <v>0.5</v>
      </c>
      <c r="X15" s="7" t="n">
        <v>0.1109</v>
      </c>
      <c r="Y15" s="7" t="n">
        <v>5.545</v>
      </c>
      <c r="Z15" s="7" t="n">
        <v>15.45</v>
      </c>
      <c r="AA15" s="7" t="n">
        <v>0.75</v>
      </c>
      <c r="AB15" s="7" t="n">
        <v>0.9415</v>
      </c>
      <c r="AC15" s="7" t="n">
        <v>0.037</v>
      </c>
      <c r="AD15" s="7" t="n">
        <v>3.4835</v>
      </c>
      <c r="AE15" s="7" t="n">
        <v>9.710000000000001</v>
      </c>
      <c r="AF15" s="7" t="n">
        <v>0.25</v>
      </c>
      <c r="AG15" s="7" t="n">
        <v>0.2689</v>
      </c>
      <c r="AH15" s="7" t="n">
        <v>0.0549</v>
      </c>
      <c r="AI15" s="7" t="n">
        <v>1.4763</v>
      </c>
      <c r="AJ15" s="7" t="n">
        <v>4.11</v>
      </c>
      <c r="AK15" s="7" t="n">
        <v>0.25</v>
      </c>
      <c r="AL15" s="7" t="n">
        <v>0.1419</v>
      </c>
      <c r="AM15" s="7" t="n">
        <v>0.1538</v>
      </c>
      <c r="AN15" s="7" t="n">
        <v>2.1824</v>
      </c>
      <c r="AO15" s="7" t="n">
        <v>6.08</v>
      </c>
      <c r="AP15" s="7" t="n">
        <v>1</v>
      </c>
      <c r="AQ15" s="7" t="n">
        <v>1</v>
      </c>
      <c r="AR15" s="7" t="n">
        <v>0.2228</v>
      </c>
      <c r="AS15" s="7" t="n">
        <v>22.28</v>
      </c>
      <c r="AT15" s="7" t="n">
        <v>62.1</v>
      </c>
      <c r="AU15" s="7" t="n">
        <v>0</v>
      </c>
      <c r="AV15" s="7" t="n">
        <v>0.0266</v>
      </c>
      <c r="AW15" s="7" t="n">
        <v>0.3447</v>
      </c>
      <c r="AX15" s="7" t="n">
        <v>0.9169</v>
      </c>
      <c r="AY15" s="7" t="n">
        <v>2.56</v>
      </c>
      <c r="AZ15" s="7" t="n">
        <v>0</v>
      </c>
      <c r="BA15" s="7" t="n">
        <v>0</v>
      </c>
      <c r="BB15" s="7" t="n">
        <v>0.0759</v>
      </c>
      <c r="BC15" s="7" t="n">
        <v>0</v>
      </c>
      <c r="BD15" s="7" t="n">
        <v>0</v>
      </c>
    </row>
    <row r="16" ht="34" customHeight="1">
      <c r="A16" s="7" t="n">
        <v>14</v>
      </c>
      <c r="B16" s="7" t="n">
        <v>28</v>
      </c>
      <c r="C16" s="7" t="n">
        <v>32</v>
      </c>
      <c r="D16" s="7" t="n">
        <v>4</v>
      </c>
      <c r="E16" s="7" t="inlineStr">
        <is>
          <t>{"analisi_scena": {"descrizione_generale": "Collasso strutturale catastrofico in corso di scaffalature industriali all'interno di un magazzino.", "contesto": "Logistico o industriale, area di stoccaggio intensivo con corsie strette e scaffalature alte."}, "elementi_rilevati": {"persone": "Nessun operatore chiaramente visibile nell'area d'impatto immediato.", "macchinari": "Presenza parziale di un carrello elevatore o trasloelevatore giallo sullo sfondo, parzialmente travolto.", "oggetti": "Scaffalature metalliche, pallet carichi di merci, scatole di cartone e detriti diffusi.", "dpi": "Non rilevabili data l'assenza di personale visibile."}, "dinamica_e_ambiente": {"azioni": "Cedimento strutturale a catena delle scaffalature con caduta di merci e collasso dei montanti.", "condizioni_ambientali": "Illuminazione artificiale interna, rapida saturazione dell'aria con polvere e detriti.", "limiti_visibilita": "Forte limitazione della visibilità causata dalla nube di polvere e dalla densità dei detriti in caduta."}, "valutazione_sicurezza": {"ragionamento_causale": "Il cedimento iniziale di una sezione ha generato un effetto domino sulle strutture adiacenti a causa del sovraccarico dinamico.", "fattori_contribuenti": "Instabilità strutturale delle scaffalature e possibile effetto di propagazione del carico.", "sviluppi_rischiosi": "Grave rischio di schiacciamento per eventuali operatori nelle vicinanze, instabilità residua dell'intero edificio e rischio di ulteriori crolli."}}</t>
        </is>
      </c>
      <c r="F16" s="7" t="n">
        <v>100</v>
      </c>
      <c r="G16" s="7" t="inlineStr">
        <is>
          <t>Il collasso strutturale catastrofico a catena (effetto domino) di scaffalature industriali pesanti rappresenta uno scenario di massimo rischio (100). La caduta di merci voluminose, la generazione di dense nubi di polvere che azzerano la visibilità e il parziale travolgimento di un carrello elevatore comportano un pericolo immediato e letale per l'incolumità del personale, oltre a minacciare la stabilità strutturale dell'intero edificio.</t>
        </is>
      </c>
      <c r="H16" s="7" t="n">
        <v>99.37</v>
      </c>
      <c r="I16" s="11" t="inlineStr">
        <is>
          <t>rosso</t>
        </is>
      </c>
      <c r="J16" s="7" t="inlineStr">
        <is>
          <t>{"scene_state": "Stato di grave incidente con crollo strutturale di scaffalature industriali all'interno di un magazzino.", "environmental_conditions": ["Illuminazione interna artificiale", "Presenza massiccia di polvere e detriti sospesi nell'aria"], "people": [], "objects": ["Scaffalature metalliche collassate", "Merci e scatole danneggiate e sparse al suolo", "Pallet"], "machines": ["Un carrello elevatore giallo parzialmente visibile e coperto dai detriti"], "observable_actions": ["Cedimento e caduta di scaffali e merci", "Propagazione di una fitta nube di polvere"], "visible_ppe": [], "notes_visibility_limitations": "La visibilità è significativamente limitata dalla densa polvere sollevata dal crollo e dalla bassa risoluzione della telecamera di sicurezza."}</t>
        </is>
      </c>
      <c r="K16" s="7" t="inlineStr">
        <is>
          <t>{"unsafe_behaviors": [], "vulnerable_elements": ["Operatore del carrello elevatore (potenzialmente intrappolato)", "Integrità delle strutture adiacenti"], "risk_cues": {"S1_people_vehicle_interference": 0.0, "S2_visibility_attention_reduction": 0.5, "S3_non_compliant_behavior": 0.0, "S4_vehicle_infrastructure_interference": 0.75, "S5_storage_structural_instability": 1.0, "S6_access_to_moving_mechanical_parts": 0.0, "S7_manual_handling_heavy_unstable_loads": 0.0}, "cue_confidence": 0.85, "diagnostic_notes": "La scena mostra le conseguenze di un crollo catastrofico delle scaffalature (S5=1.0). Un carrello elevatore è parzialmente visibile sotto le macerie, indicando un forte impatto con l'infrastruttura (S4=0.75). La visibilità è fortemente ostacolata dalla densa nube di polvere generata dal collasso (S2=0.5). Non si osservano persone direttamente, ma la situazione presenta un rischio estremo per l'eventuale operatore a bordo del mezzo."}</t>
        </is>
      </c>
      <c r="L16" s="7" t="inlineStr">
        <is>
          <t>{"causal_chain_plausible": true, "causal_chain_text": "L'instabilità strutturale delle scaffalature (S5) ha causato un crollo catastrofico, che ha travolto un carrello elevatore (S4). L'impatto e il cedimento hanno generato una fitta nube di polvere (S2), riducendo drasticamente la visibilità e ostacolando i soccorsi immediati.", "near_miss_or_incident_scenario": "Grave incidente da schiacciamento e seppellimento dell'operatore del carrello elevatore sotto le scaffalature metalliche e le merci collassate, con potenziale effetto domino sulle strutture adiacenti.", "contributing_factors": ["Instabilità strutturale e sovraccarico delle scaffalature", "Impatto del carrello elevatore contro l'infrastruttura", "Presenza di polvere densa che azzera la visibilità", "Mancanza di barriere di protezione per i montanti delle scaffalature"]}</t>
        </is>
      </c>
      <c r="M16" s="7" t="n">
        <v>98</v>
      </c>
      <c r="N16" s="7" t="inlineStr">
        <is>
          <t>Il punteggio riflette un livello di rischio critico dovuto al crollo strutturale catastrofico delle scaffalature che ha travolto un carrello elevatore, con un operatore potenzialmente intrappolato sotto le macerie. La densa nube di polvere riduce drasticamente la visibilità, ostacolando gravemente le operazioni di soccorso immediato.</t>
        </is>
      </c>
      <c r="O16" s="7" t="n">
        <v>97.11</v>
      </c>
      <c r="P16" s="11" t="inlineStr">
        <is>
          <t>rosso</t>
        </is>
      </c>
      <c r="Q16" s="7" t="n">
        <v>41.54</v>
      </c>
      <c r="R16" s="7" t="n">
        <v>42.95</v>
      </c>
      <c r="S16" s="8" t="inlineStr">
        <is>
          <t>giallo</t>
        </is>
      </c>
      <c r="T16" s="7" t="n">
        <v>0.85</v>
      </c>
      <c r="U16" s="7" t="inlineStr">
        <is>
          <t>La scena mostra le conseguenze di un crollo catastrofico delle scaffalature (S5=1.0). Un carrello elevatore è parzialmente visibile sotto le macerie, indicando un forte impatto con l'infrastruttura (S4=0.75). La visibilità è fortemente ostacolata dalla densa nube di polvere generata dal collasso (S2=0.5). Non si osservano persone direttamente, ma la situazione presenta un rischio estremo per l'eventuale operatore a bordo del mezzo.</t>
        </is>
      </c>
      <c r="V16" s="7" t="n">
        <v>0</v>
      </c>
      <c r="W16" s="7" t="n">
        <v>0</v>
      </c>
      <c r="X16" s="7" t="n">
        <v>0.1109</v>
      </c>
      <c r="Y16" s="7" t="n">
        <v>0</v>
      </c>
      <c r="Z16" s="7" t="n">
        <v>0</v>
      </c>
      <c r="AA16" s="7" t="n">
        <v>0.5</v>
      </c>
      <c r="AB16" s="7" t="n">
        <v>0.8176</v>
      </c>
      <c r="AC16" s="7" t="n">
        <v>0.037</v>
      </c>
      <c r="AD16" s="7" t="n">
        <v>3.0251</v>
      </c>
      <c r="AE16" s="7" t="n">
        <v>7.28</v>
      </c>
      <c r="AF16" s="7" t="n">
        <v>0</v>
      </c>
      <c r="AG16" s="7" t="n">
        <v>0.0293</v>
      </c>
      <c r="AH16" s="7" t="n">
        <v>0.0549</v>
      </c>
      <c r="AI16" s="7" t="n">
        <v>0.1609</v>
      </c>
      <c r="AJ16" s="7" t="n">
        <v>0.39</v>
      </c>
      <c r="AK16" s="7" t="n">
        <v>0.75</v>
      </c>
      <c r="AL16" s="7" t="n">
        <v>0.9852</v>
      </c>
      <c r="AM16" s="7" t="n">
        <v>0.1538</v>
      </c>
      <c r="AN16" s="7" t="n">
        <v>15.1524</v>
      </c>
      <c r="AO16" s="7" t="n">
        <v>36.48</v>
      </c>
      <c r="AP16" s="7" t="n">
        <v>1</v>
      </c>
      <c r="AQ16" s="7" t="n">
        <v>1</v>
      </c>
      <c r="AR16" s="7" t="n">
        <v>0.2228</v>
      </c>
      <c r="AS16" s="7" t="n">
        <v>22.28</v>
      </c>
      <c r="AT16" s="7" t="n">
        <v>53.64</v>
      </c>
      <c r="AU16" s="7" t="n">
        <v>0</v>
      </c>
      <c r="AV16" s="7" t="n">
        <v>0.0266</v>
      </c>
      <c r="AW16" s="7" t="n">
        <v>0.3447</v>
      </c>
      <c r="AX16" s="7" t="n">
        <v>0.9169</v>
      </c>
      <c r="AY16" s="7" t="n">
        <v>2.21</v>
      </c>
      <c r="AZ16" s="7" t="n">
        <v>0</v>
      </c>
      <c r="BA16" s="7" t="n">
        <v>0</v>
      </c>
      <c r="BB16" s="7" t="n">
        <v>0.0759</v>
      </c>
      <c r="BC16" s="7" t="n">
        <v>0</v>
      </c>
      <c r="BD16" s="7" t="n">
        <v>0</v>
      </c>
    </row>
    <row r="17" ht="34" customHeight="1">
      <c r="A17" s="7" t="n">
        <v>15</v>
      </c>
      <c r="B17" s="7" t="n">
        <v>30</v>
      </c>
      <c r="C17" s="7" t="n">
        <v>34</v>
      </c>
      <c r="D17" s="7" t="n">
        <v>4</v>
      </c>
      <c r="E17" s="7" t="inlineStr">
        <is>
          <t>{"analisi_scena": {"descrizione_generale": "Collasso catastrofico di scaffalature industriali all'interno di un corridoio di un magazzino, con accumulo di detriti e polvere.", "contesto": "Magazzino logistico ad alta densità di stoccaggio."}, "elementi_rilevati": {"persone": "Nessuna persona visibile nella clip.", "oggetti": "Pallet in legno (gialli e rossi), scatole di cartone, merci stoccate, elementi metallici delle scaffalature collassate.", "macchinari": "Possibile presenza di un carrello elevatore o transpallet parzialmente sepolto dalle macerie al centro del corridoio.", "dpi": "Non rilevabili a causa dell'assenza di personale visibile."}, "dinamica_e_ambiente": {"azioni": "Cedimento strutturale progressivo delle scaffalature con caduta di merci e propagazione di una densa nube di polvere.", "condizioni_ambientali": "Illuminazione interna artificiale, visibilità gravemente compromessa dalla polvere in sospensione e dai detriti.", "limiti_visivi": "Forte occlusione dovuta al crollo e alla polvere; risoluzione video ridotta che limita l'identificazione di dettagli strutturali specifici."}, "valutazione_sicurezza": {"ragionamento_causale": "Il crollo massivo suggerisce un cedimento strutturale, potenzialmente innescato da un impatto meccanico pregresso o da un sovraccarico delle scaffalature.", "sviluppi_rischiosi": "Grave incidente in corso. Rischio estremo di schiacciamento o seppellimento per eventuali operatori nelle vicinanze e potenziale effetto domino su campate adiacenti.", "fattori_contribuenti": "Instabilità strutturale delle scaffalature, elevato carico stoccato, possibile assenza di barriere di protezione anti-impatto."}}</t>
        </is>
      </c>
      <c r="F17" s="7" t="n">
        <v>98</v>
      </c>
      <c r="G17" s="7" t="inlineStr">
        <is>
          <t>Il punteggio riflette una situazione di imminente e gravissimo pericolo dovuta al crollo catastrofico e progressivo delle scaffalature pesanti. La presenza di un mezzo di movimentazione parzialmente sepolto dalle macerie suggerisce il potenziale coinvolgimento di operatori. Il rischio di schiacciamento, seppellimento ed effetto domino sulle campate adiacenti è ai massimi livelli, aggravato dalla visibilità compromessa dalla densa nube di polvere.</t>
        </is>
      </c>
      <c r="H17" s="7" t="n">
        <v>98.55</v>
      </c>
      <c r="I17" s="11" t="inlineStr">
        <is>
          <t>rosso</t>
        </is>
      </c>
      <c r="J17" s="7" t="inlineStr">
        <is>
          <t>{"scene_state": "Corsia di un magazzino completamente ostruita a causa del crollo totale delle scaffalature industriali.", "environmental_conditions": ["Illuminazione artificiale interna", "Presenza di fitta polvere e detriti nell'aria", "Tonalità cromatica alterata (verde) tipica di riprese CCTV"], "people": [], "objects": ["Scaffalature metalliche collassate", "Pallet in legno (gialli e rossi)", "Scatole e merci sparse al suolo", "Macerie e detriti vari"], "machines": ["Strutture di stoccaggio collassate", "Possibile presenza di un macchinario parzialmente sepolto dai detriti"], "observable_actions": ["Assestamento dei detriti e della polvere sospesa dopo il crollo"], "visible_ppe": [], "notes_visibility_limitations": "La qualità del video è bassa (CCTV), con forte presenza di polvere che limita la visibilità dei dettagli sullo sfondo."}</t>
        </is>
      </c>
      <c r="K17" s="7" t="inlineStr">
        <is>
          <t>{"unsafe_behaviors": [], "vulnerable_elements": ["Eventuali operatori presenti o rimasti sepolti sotto le macerie", "Personale di soccorso o di ispezione che potrebbe accedere all'area instabile"], "risk_cues": {"S1_people_vehicle_interference": 0.0, "S2_visibility_attention_reduction": 0.5, "S3_non_compliant_behavior": 0.0, "S4_vehicle_infrastructure_interference": 0.0, "S5_storage_structural_instability": 1.0, "S6_access_to_moving_mechanical_parts": 0.0, "S7_manual_handling_heavy_unstable_loads": 0.0}, "cue_confidence": 0.85, "diagnostic_notes": "La scena mostra gli esiti di un crollo totale delle scaffalature industriali (S5=1.0), con assestamento di detriti e fitta polvere nell'aria che limita fortemente la visibilità (S2=0.5). Non sono visibili persone o mezzi in movimento nella clip, ma permane un rischio critico legato all'instabilità strutturale residua e alla possibile presenza di soggetti sepolti non identificabili a causa delle macerie."}</t>
        </is>
      </c>
      <c r="L17" s="7" t="inlineStr">
        <is>
          <t>{"causal_chain_plausible": true, "causal_chain_text": "Il crollo totale delle scaffalature ha creato un ammasso instabile di detriti e polvere. L'eventuale ingresso di soccorritori o ispettori nell'area, unito alla scarsa visibilità e all'instabilità residua dei materiali accumulati, può innescare un ulteriore cedimento strutturale improvviso.", "near_miss_or_incident_scenario": "Grave infortunio o seppellimento del personale di soccorso dovuto al collasso secondario di porzioni di scaffalatura o carichi instabili durante l'ispezione dell'area.", "contributing_factors": ["Instabilità strutturale estrema delle macerie e delle scaffalature collassate", "Riduzione della visibilità causata dalla fitta polvere sospesa nell'aria", "Ostruzione totale della corsia che impedisce una rapida evacuazione in caso di ulteriore cedimento"]}</t>
        </is>
      </c>
      <c r="M17" s="7" t="n">
        <v>95</v>
      </c>
      <c r="N17" s="7" t="inlineStr">
        <is>
          <t>Il punteggio riflette una situazione di rischio critico dovuta al crollo totale delle scaffalature, che comporta un'estrema instabilità strutturale residua e il pericolo di ulteriori cedimenti. La fitta polvere limita la visibilità, ostacolando le operazioni di ricerca e soccorso di eventuali persone sepolte sotto le macerie.</t>
        </is>
      </c>
      <c r="O17" s="7" t="n">
        <v>95.84</v>
      </c>
      <c r="P17" s="11" t="inlineStr">
        <is>
          <t>rosso</t>
        </is>
      </c>
      <c r="Q17" s="7" t="n">
        <v>26.51</v>
      </c>
      <c r="R17" s="7" t="n">
        <v>33.09</v>
      </c>
      <c r="S17" s="8" t="inlineStr">
        <is>
          <t>giallo</t>
        </is>
      </c>
      <c r="T17" s="7" t="n">
        <v>0.85</v>
      </c>
      <c r="U17" s="7" t="inlineStr">
        <is>
          <t>La scena mostra gli esiti di un crollo totale delle scaffalature industriali (S5=1.0), con assestamento di detriti e fitta polvere nell'aria che limita fortemente la visibilità (S2=0.5). Non sono visibili persone o mezzi in movimento nella clip, ma permane un rischio critico legato all'instabilità strutturale residua e alla possibile presenza di soggetti sepolti non identificabili a causa delle macerie.</t>
        </is>
      </c>
      <c r="V17" s="7" t="n">
        <v>0</v>
      </c>
      <c r="W17" s="7" t="n">
        <v>0</v>
      </c>
      <c r="X17" s="7" t="n">
        <v>0.1109</v>
      </c>
      <c r="Y17" s="7" t="n">
        <v>0</v>
      </c>
      <c r="Z17" s="7" t="n">
        <v>0</v>
      </c>
      <c r="AA17" s="7" t="n">
        <v>0.5</v>
      </c>
      <c r="AB17" s="7" t="n">
        <v>0.8176</v>
      </c>
      <c r="AC17" s="7" t="n">
        <v>0.037</v>
      </c>
      <c r="AD17" s="7" t="n">
        <v>3.0251</v>
      </c>
      <c r="AE17" s="7" t="n">
        <v>11.41</v>
      </c>
      <c r="AF17" s="7" t="n">
        <v>0</v>
      </c>
      <c r="AG17" s="7" t="n">
        <v>0.0293</v>
      </c>
      <c r="AH17" s="7" t="n">
        <v>0.0549</v>
      </c>
      <c r="AI17" s="7" t="n">
        <v>0.1609</v>
      </c>
      <c r="AJ17" s="7" t="n">
        <v>0.61</v>
      </c>
      <c r="AK17" s="7" t="n">
        <v>0</v>
      </c>
      <c r="AL17" s="7" t="n">
        <v>0.008200000000000001</v>
      </c>
      <c r="AM17" s="7" t="n">
        <v>0.1538</v>
      </c>
      <c r="AN17" s="7" t="n">
        <v>0.1261</v>
      </c>
      <c r="AO17" s="7" t="n">
        <v>0.48</v>
      </c>
      <c r="AP17" s="7" t="n">
        <v>1</v>
      </c>
      <c r="AQ17" s="7" t="n">
        <v>1</v>
      </c>
      <c r="AR17" s="7" t="n">
        <v>0.2228</v>
      </c>
      <c r="AS17" s="7" t="n">
        <v>22.28</v>
      </c>
      <c r="AT17" s="7" t="n">
        <v>84.04000000000001</v>
      </c>
      <c r="AU17" s="7" t="n">
        <v>0</v>
      </c>
      <c r="AV17" s="7" t="n">
        <v>0.0266</v>
      </c>
      <c r="AW17" s="7" t="n">
        <v>0.3447</v>
      </c>
      <c r="AX17" s="7" t="n">
        <v>0.9169</v>
      </c>
      <c r="AY17" s="7" t="n">
        <v>3.46</v>
      </c>
      <c r="AZ17" s="7" t="n">
        <v>0</v>
      </c>
      <c r="BA17" s="7" t="n">
        <v>0</v>
      </c>
      <c r="BB17" s="7" t="n">
        <v>0.0759</v>
      </c>
      <c r="BC17" s="7" t="n">
        <v>0</v>
      </c>
      <c r="BD17" s="7" t="n">
        <v>0</v>
      </c>
    </row>
    <row r="18" ht="34" customHeight="1">
      <c r="A18" s="7" t="n">
        <v>16</v>
      </c>
      <c r="B18" s="7" t="n">
        <v>32</v>
      </c>
      <c r="C18" s="7" t="n">
        <v>35.867</v>
      </c>
      <c r="D18" s="7" t="n">
        <v>3.867</v>
      </c>
      <c r="E18" s="7" t="inlineStr">
        <is>
          <t>{"metadati": {"finestra_temporale": {"inizio_s": 32.0, "fine_s": 35.867, "durata_s": 3.867}, "lingua": "italiano"}, "descrizione_scena": {"generale": "Inquadratura interna di una struttura a griglia metallica contenente un ammasso caotico di detriti, vegetazione e materiali industriali.", "contesto": "Ambito industriale, logistico o di trattamento rifiuti/agricolo, caratterizzato da un sistema di contenimento o convogliamento a gabbia."}, "elementi_osservati": {"persone": "Nessun operatore o persona visibile nell'area.", "oggetti": "Pallet in legno parzialmente distrutti (colore giallo e rosso), elementi metallici lineari, abbondante fogliame e rami verdi.", "macchinari": "Struttura perimetrale a griglia metallica, assimilabile a un canale di scorrimento o scivolo di carico.", "dpi": "Non rilevabili data l'assenza di personale."}, "condizioni_ambientali_e_visibilita": {"illuminazione": "Scarsa, con una forte dominante cromatica verde che altera la percezione dei colori reali.", "visibilita": "Limitata a causa della densità dei detriti accumulati e della possibile presenza di polvere in sospensione post-evento."}, "analisi_sicurezza": {"dinamica_osservabile": "Stato successivo a un probabile crollo, cedimento strutturale o scarico incontrollato di materiali pesanti e vegetazione all'interno del canale.", "ragionamento_causale": "L'accumulo disordinato suggerisce un sovraccarico del sistema di trasporto o il cedimento di una barriera di contenimento superiore.", "sviluppi_rischiosi_plausibili": ["Rischio di ulteriore instabilità del cumulo con possibile proiezione di materiali all'esterno della griglia.", "Pericolo di intasamento critico del sistema di scarico con conseguente blocco dei macchinari collegati.", "Rischio di lesioni per gli operatori durante le successive fasi di rimozione manuale o meccanica dei detriti taglienti."], "fattori_contribuenti": "Presenza simultanea di materiali eterogenei (legno, metallo, vegetazione) che favorisce l'incastro e l'ostruzione."}}</t>
        </is>
      </c>
      <c r="F18" s="7" t="n">
        <v>70</v>
      </c>
      <c r="G18" s="7" t="inlineStr">
        <is>
          <t>Il punteggio di 70 è giustificato dalla presenza di un accumulo caotico e instabile di detriti industriali e vegetazione all'interno di una griglia metallica, indicativo di un probabile cedimento strutturale o scarico incontrollato. Sebbene non vi siano operatori visibili nell'immediato, lo stato dei luoghi presenta rischi significativi di ulteriore crollo, intasamento dei macchinari e potenziali infortuni gravi durante le inevitabili operazioni di rimozione e ripristino.</t>
        </is>
      </c>
      <c r="H18" s="7" t="n">
        <v>81.42</v>
      </c>
      <c r="I18" s="11" t="inlineStr">
        <is>
          <t>rosso</t>
        </is>
      </c>
      <c r="J18" s="7" t="inlineStr">
        <is>
          <t>{"scene_state": "Stato di forte disordine con accumulo di detriti e vegetazione all'interno di un passaggio recintato.", "environmental_conditions": ["Illuminazione artificiale", "Presenza di polvere in sospensione", "Dominante cromatica verde"], "people": [], "objects": ["Pallet in legno giallo", "Pali metallici di colore rosso", "Rami e foglie verdi", "Grate metalliche di protezione laterali"], "machines": [], "observable_actions": ["Assestamento dei detriti dopo una caduta o collasso"], "visible_ppe": [], "notes_visibility_limitations": "Inquadratura fissa con qualità d'immagine ridotta, forte tinta verde e visibilità parzialmente limitata dalla polvere."}</t>
        </is>
      </c>
      <c r="K18" s="7" t="inlineStr">
        <is>
          <t>{"unsafe_behaviors": [], "vulnerable_elements": ["Infrastruttura del passaggio recintato", "Grate metalliche di protezione"], "risk_cues": {"S1_people_vehicle_interference": 0.0, "S2_visibility_attention_reduction": 0.25, "S3_non_compliant_behavior": 0.0, "S4_vehicle_infrastructure_interference": 0.0, "S5_storage_structural_instability": 0.75, "S6_access_to_moving_mechanical_parts": 0.0, "S7_manual_handling_heavy_unstable_loads": 0.0}, "cue_confidence": 0.8, "diagnostic_notes": "La scena evidenzia una forte instabilità di materiali con l'assestamento di detriti dopo un collasso o caduta all'interno del passaggio (S5). La visibilità è parzialmente compromessa dalla polvere in sospensione generata dall'evento (S2). Non sono presenti persone o mezzi di movimentazione nell'inquadratura, escludendo rischi immediati di interferenza o movimentazione manuale."}</t>
        </is>
      </c>
      <c r="L18" s="7" t="inlineStr">
        <is>
          <t>{"causal_chain_plausible": true, "causal_chain_text": "L'accumulo disordinato di detriti e materiali nel passaggio recintato subisce un collasso o assestamento, generando polvere in sospensione che riduce la visibilità. Un eventuale operatore in transito potrebbe essere colpito da ulteriore materiale instabile o inciampare a causa degli ostacoli e della scarsa visibilità.", "near_miss_or_incident_scenario": "Inciampo e caduta di un operatore nel passaggio a causa del disordine e della polvere, oppure trauma da impatto dovuto al crollo secondario di materiali accumulati instabili.", "contributing_factors": ["Forte stato di disordine e accumulo di detriti nel passaggio", "Instabilità strutturale del materiale accumulato", "Presenza di polvere in sospensione che riduce la visibilità", "Mancanza di barriere temporanee per impedire l'accesso all'area instabile"]}</t>
        </is>
      </c>
      <c r="M18" s="7" t="n">
        <v>60</v>
      </c>
      <c r="N18" s="7" t="inlineStr">
        <is>
          <t>Il punteggio riflette un rischio significativo dovuto all'instabilità dei detriti accumulati nel passaggio, che hanno subito un cedimento generando polvere e riducendo la visibilità. Sebbene non vi siano operatori presenti nell'inquadratura, l'area ostruita e instabile rappresenta un grave pericolo di crollo secondario o inciampo.</t>
        </is>
      </c>
      <c r="O18" s="7" t="n">
        <v>74.34</v>
      </c>
      <c r="P18" s="11" t="inlineStr">
        <is>
          <t>rosso</t>
        </is>
      </c>
      <c r="Q18" s="7" t="n">
        <v>14.43</v>
      </c>
      <c r="R18" s="7" t="n">
        <v>21.89</v>
      </c>
      <c r="S18" s="9" t="inlineStr">
        <is>
          <t>verde</t>
        </is>
      </c>
      <c r="T18" s="7" t="n">
        <v>0.8</v>
      </c>
      <c r="U18" s="7" t="inlineStr">
        <is>
          <t>La scena evidenzia una forte instabilità di materiali con l'assestamento di detriti dopo un collasso o caduta all'interno del passaggio (S5). La visibilità è parzialmente compromessa dalla polvere in sospensione generata dall'evento (S2). Non sono presenti persone o mezzi di movimentazione nell'inquadratura, escludendo rischi immediati di interferenza o movimentazione manuale.</t>
        </is>
      </c>
      <c r="V18" s="7" t="n">
        <v>0</v>
      </c>
      <c r="W18" s="7" t="n">
        <v>0</v>
      </c>
      <c r="X18" s="7" t="n">
        <v>0.1109</v>
      </c>
      <c r="Y18" s="7" t="n">
        <v>0</v>
      </c>
      <c r="Z18" s="7" t="n">
        <v>0</v>
      </c>
      <c r="AA18" s="7" t="n">
        <v>0.25</v>
      </c>
      <c r="AB18" s="7" t="n">
        <v>0.5553</v>
      </c>
      <c r="AC18" s="7" t="n">
        <v>0.037</v>
      </c>
      <c r="AD18" s="7" t="n">
        <v>2.0546</v>
      </c>
      <c r="AE18" s="7" t="n">
        <v>14.24</v>
      </c>
      <c r="AF18" s="7" t="n">
        <v>0</v>
      </c>
      <c r="AG18" s="7" t="n">
        <v>0.0293</v>
      </c>
      <c r="AH18" s="7" t="n">
        <v>0.0549</v>
      </c>
      <c r="AI18" s="7" t="n">
        <v>0.1609</v>
      </c>
      <c r="AJ18" s="7" t="n">
        <v>1.12</v>
      </c>
      <c r="AK18" s="7" t="n">
        <v>0</v>
      </c>
      <c r="AL18" s="7" t="n">
        <v>0.008200000000000001</v>
      </c>
      <c r="AM18" s="7" t="n">
        <v>0.1538</v>
      </c>
      <c r="AN18" s="7" t="n">
        <v>0.1261</v>
      </c>
      <c r="AO18" s="7" t="n">
        <v>0.87</v>
      </c>
      <c r="AP18" s="7" t="n">
        <v>0.75</v>
      </c>
      <c r="AQ18" s="7" t="n">
        <v>0.5014</v>
      </c>
      <c r="AR18" s="7" t="n">
        <v>0.2228</v>
      </c>
      <c r="AS18" s="7" t="n">
        <v>11.1712</v>
      </c>
      <c r="AT18" s="7" t="n">
        <v>77.42</v>
      </c>
      <c r="AU18" s="7" t="n">
        <v>0</v>
      </c>
      <c r="AV18" s="7" t="n">
        <v>0.0266</v>
      </c>
      <c r="AW18" s="7" t="n">
        <v>0.3447</v>
      </c>
      <c r="AX18" s="7" t="n">
        <v>0.9169</v>
      </c>
      <c r="AY18" s="7" t="n">
        <v>6.35</v>
      </c>
      <c r="AZ18" s="7" t="n">
        <v>0</v>
      </c>
      <c r="BA18" s="7" t="n">
        <v>0</v>
      </c>
      <c r="BB18" s="7" t="n">
        <v>0.0759</v>
      </c>
      <c r="BC18" s="7" t="n">
        <v>0</v>
      </c>
      <c r="BD18" s="7" t="n">
        <v>0</v>
      </c>
    </row>
    <row r="19" ht="34" customHeight="1">
      <c r="A19" s="7" t="n">
        <v>17</v>
      </c>
      <c r="B19" s="7" t="n">
        <v>34</v>
      </c>
      <c r="C19" s="7" t="n">
        <v>35.867</v>
      </c>
      <c r="D19" s="7" t="n">
        <v>1.867</v>
      </c>
      <c r="E19" s="7" t="inlineStr">
        <is>
          <t>{"analisi_temporale": {"inizio_s": 34.0, "fine_s": 35.867, "durata_s": 1.867}, "descrizione_scena": {"generale": "Inquadratura dall'alto di un canale di scorrimento o nastro trasportatore contenente materiale vegetale misto a detriti industriali.", "contesto": "Gestione rifiuti, impianto di compostaggio o lavorazione agricola/forestale."}, "elementi_rilevati": {"persone": "Nessuna persona visibile nell'area monitorata.", "macchinari": "Canale di convogliamento o nastro trasportatore con paratie laterali grigliate.", "oggetti": "Abbondante materiale organico (foglie, rami, piante), strutture metalliche rosse (barre/telai) e un elemento grigliato giallo (plastica o metallo).", "dpi": "Non applicabile (nessun operatore presente)."}, "condizioni_ambientali_e_visibilita": {"illuminazione": "Monocromatica verde, tipica di sistemi di visione notturna o filtri specifici, con contrasto medio-basso.", "visibilita": "Limitata dalla densità del materiale accumulato che occlude la superficie del nastro e rende difficile valutare la profondità o la presenza di oggetti estranei sul fondo."}, "analisi_sicurezza": {"azioni_osservabili": "Accumulo e potenziale scorrimento di materiale misto all'interno del canale.", "ragionamento_causale": "La presenza simultanea di rami voluminosi e strutture rigide (rosse e gialle) indica un flusso di materiale non uniformemente pre-selezionato.", "fattori_contribuenti": "Elevata densità di carico e presenza di corpi estranei rigidi di grandi dimensioni nel flusso di materiale organico.", "sviluppi_rischiosi_plausibili": ["Rischio di inceppamento o blocco meccanico del nastro trasportatore a causa dei telai metallici/plastici incastrati.", "Rischio di danneggiamento dei macchinari di triturazione o lavorazione a valle se non progettati per trattare materiali metallici o plastici rigidi."]}}</t>
        </is>
      </c>
      <c r="F19" s="7" t="n">
        <v>45</v>
      </c>
      <c r="G19" s="7" t="inlineStr">
        <is>
          <t>Il punteggio di 45 indica un rischio operativo moderato. Non essendoci operatori nell'area, non vi è un pericolo immediato per la sicurezza del personale. Tuttavia, la presenza di corpi estranei rigidi e voluminosi (strutture metalliche e plastiche) nel flusso di materiale organico comporta un rischio concreto di inceppamento del nastro trasportatore o di danneggiamento dei macchinari di triturazione a valle.</t>
        </is>
      </c>
      <c r="H19" s="7" t="n">
        <v>59.57</v>
      </c>
      <c r="I19" s="10" t="inlineStr">
        <is>
          <t>arancione</t>
        </is>
      </c>
      <c r="J19" s="7" t="inlineStr">
        <is>
          <t>{"scene_state": "Interno di una struttura a gabbia metallica riempita di fitta vegetazione, rami e detriti vari.", "environmental_conditions": ["Illuminazione monocromatica verde (visione notturna o filtro)", "Ambiente chiuso o confinato"], "people": [], "objects": ["Fogliame e rami verdi", "Barre o pali metallici di colore rosso", "Oggetto rettangolare giallo (simile a una cassetta o targa)", "Griglie metalliche laterali della gabbia"], "machines": [], "observable_actions": ["Nessuna azione dinamica evidente nel segmento temporale indicato"], "visible_ppe": [], "notes_visibility_limitations": "La visibilità è limitata dalla tonalità verde dell'immagine (tipica di visori notturni o telecamere di sicurezza a infrarossi) e dalla densità del fogliame che ostruisce la vista del fondo."}</t>
        </is>
      </c>
      <c r="K19" s="7" t="inlineStr">
        <is>
          <t>{"unsafe_behaviors": [], "vulnerable_elements": [], "risk_cues": {"S1_people_vehicle_interference": 0.0, "S2_visibility_attention_reduction": 0.25, "S3_non_compliant_behavior": 0.0, "S4_vehicle_infrastructure_interference": 0.0, "S5_storage_structural_instability": 0.0, "S6_access_to_moving_mechanical_parts": 0.0, "S7_manual_handling_heavy_unstable_loads": 0.0}, "cue_confidence": 0.8, "diagnostic_notes": "La scena mostra un ambiente confinato (gabbia metallica) riempito di vegetazione e detriti, privo di persone o mezzi in movimento. La visibilità è fortemente limitata dalla tonalità monocromatica verde e dalla densità del fogliame, il che rappresenterebbe un fattore di rischio (S2) in caso di attività operative, sebbene al momento non si osservino soggetti o azioni in corso."}</t>
        </is>
      </c>
      <c r="L19" s="7" t="inlineStr">
        <is>
          <t>{"causal_chain_plausible": false, "causal_chain_text": "In assenza di personale, macchinari o attività operative nel segmento temporale indicato, non si rileva una catena causale diretta che possa condurre a un incidente immediato basandosi esclusivamente sugli elementi visibili.", "near_miss_or_incident_scenario": "Nessun scenario di incidente o near miss direttamente rilevabile a causa dell'assenza di soggetti esposti o di azioni dinamiche in corso.", "contributing_factors": ["Visibilità limitata dall'illuminazione monocromatica verde", "Presenza di fitta vegetazione e detriti in un ambiente confinato"]}</t>
        </is>
      </c>
      <c r="M19" s="7" t="n">
        <v>15</v>
      </c>
      <c r="N19" s="7" t="inlineStr">
        <is>
          <t>Il rischio è basso a causa dell'assenza di personale, macchinari o attività operative nel segmento temporale analizzato. Tuttavia, la visibilità limitata e l'ambiente confinato ostruito da detriti rappresentano potenziali fattori di rischio latenti in caso di accesso futuro.</t>
        </is>
      </c>
      <c r="O19" s="7" t="n">
        <v>38.74</v>
      </c>
      <c r="P19" s="8" t="inlineStr">
        <is>
          <t>giallo</t>
        </is>
      </c>
      <c r="Q19" s="7" t="n">
        <v>3.26</v>
      </c>
      <c r="R19" s="7" t="n">
        <v>10.71</v>
      </c>
      <c r="S19" s="9" t="inlineStr">
        <is>
          <t>verde</t>
        </is>
      </c>
      <c r="T19" s="7" t="n">
        <v>0.8</v>
      </c>
      <c r="U19" s="7" t="inlineStr">
        <is>
          <t>La scena mostra un ambiente confinato (gabbia metallica) riempito di vegetazione e detriti, privo di persone o mezzi in movimento. La visibilità è fortemente limitata dalla tonalità monocromatica verde e dalla densità del fogliame, il che rappresenterebbe un fattore di rischio (S2) in caso di attività operative, sebbene al momento non si osservino soggetti o azioni in corso.</t>
        </is>
      </c>
      <c r="V19" s="7" t="n">
        <v>0</v>
      </c>
      <c r="W19" s="7" t="n">
        <v>0</v>
      </c>
      <c r="X19" s="7" t="n">
        <v>0.1109</v>
      </c>
      <c r="Y19" s="7" t="n">
        <v>0</v>
      </c>
      <c r="Z19" s="7" t="n">
        <v>0</v>
      </c>
      <c r="AA19" s="7" t="n">
        <v>0.25</v>
      </c>
      <c r="AB19" s="7" t="n">
        <v>0.5553</v>
      </c>
      <c r="AC19" s="7" t="n">
        <v>0.037</v>
      </c>
      <c r="AD19" s="7" t="n">
        <v>2.0546</v>
      </c>
      <c r="AE19" s="7" t="n">
        <v>63.02</v>
      </c>
      <c r="AF19" s="7" t="n">
        <v>0</v>
      </c>
      <c r="AG19" s="7" t="n">
        <v>0.0293</v>
      </c>
      <c r="AH19" s="7" t="n">
        <v>0.0549</v>
      </c>
      <c r="AI19" s="7" t="n">
        <v>0.1609</v>
      </c>
      <c r="AJ19" s="7" t="n">
        <v>4.94</v>
      </c>
      <c r="AK19" s="7" t="n">
        <v>0</v>
      </c>
      <c r="AL19" s="7" t="n">
        <v>0.008200000000000001</v>
      </c>
      <c r="AM19" s="7" t="n">
        <v>0.1538</v>
      </c>
      <c r="AN19" s="7" t="n">
        <v>0.1261</v>
      </c>
      <c r="AO19" s="7" t="n">
        <v>3.87</v>
      </c>
      <c r="AP19" s="7" t="n">
        <v>0</v>
      </c>
      <c r="AQ19" s="7" t="n">
        <v>0</v>
      </c>
      <c r="AR19" s="7" t="n">
        <v>0.2228</v>
      </c>
      <c r="AS19" s="7" t="n">
        <v>0</v>
      </c>
      <c r="AT19" s="7" t="n">
        <v>0</v>
      </c>
      <c r="AU19" s="7" t="n">
        <v>0</v>
      </c>
      <c r="AV19" s="7" t="n">
        <v>0.0266</v>
      </c>
      <c r="AW19" s="7" t="n">
        <v>0.3447</v>
      </c>
      <c r="AX19" s="7" t="n">
        <v>0.9169</v>
      </c>
      <c r="AY19" s="7" t="n">
        <v>28.13</v>
      </c>
      <c r="AZ19" s="7" t="n">
        <v>0</v>
      </c>
      <c r="BA19" s="7" t="n">
        <v>0</v>
      </c>
      <c r="BB19" s="7" t="n">
        <v>0.0759</v>
      </c>
      <c r="BC19" s="7" t="n">
        <v>0</v>
      </c>
      <c r="BD19" s="7" t="n">
        <v>0</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W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7" customWidth="1" min="10" max="10"/>
    <col width="7" customWidth="1" min="11" max="11"/>
    <col width="7" customWidth="1" min="12" max="12"/>
    <col width="8" customWidth="1" min="13" max="13"/>
    <col width="8" customWidth="1" min="14" max="14"/>
    <col width="8" customWidth="1" min="15" max="15"/>
    <col width="8" customWidth="1" min="16" max="16"/>
    <col width="8" customWidth="1" min="17" max="17"/>
    <col width="8" customWidth="1" min="18" max="18"/>
    <col width="10" customWidth="1" min="19" max="19"/>
    <col width="10" customWidth="1" min="20" max="20"/>
    <col width="10" customWidth="1" min="21" max="21"/>
    <col width="11" customWidth="1" min="22" max="22"/>
    <col width="9" customWidth="1" min="23" max="23"/>
  </cols>
  <sheetData>
    <row r="1" ht="16" customHeight="1">
      <c r="A1" s="2" t="inlineStr">
        <is>
          <t>window_id</t>
        </is>
      </c>
      <c r="B1" s="2" t="inlineStr">
        <is>
          <t>start_time_s</t>
        </is>
      </c>
      <c r="C1" s="2" t="inlineStr">
        <is>
          <t>end_time_s</t>
        </is>
      </c>
      <c r="D1" s="3" t="inlineStr">
        <is>
          <t>instantaneous_risk_score_vlm_free</t>
        </is>
      </c>
      <c r="E1" s="4" t="inlineStr">
        <is>
          <t>instantaneous_risk_score_vlm</t>
        </is>
      </c>
      <c r="F1" s="5" t="inlineStr">
        <is>
          <t>instantaneous_risk_score_ahp</t>
        </is>
      </c>
      <c r="G1" s="3" t="inlineStr">
        <is>
          <t>dynamic_risk_score_vlm_free</t>
        </is>
      </c>
      <c r="H1" s="4" t="inlineStr">
        <is>
          <t>dynamic_risk_score_vlm</t>
        </is>
      </c>
      <c r="I1" s="5" t="inlineStr">
        <is>
          <t>dynamic_risk_score_ahp</t>
        </is>
      </c>
      <c r="J1" s="3" t="inlineStr">
        <is>
          <t>traffic_light_color_vlm_free</t>
        </is>
      </c>
      <c r="K1" s="4" t="inlineStr">
        <is>
          <t>traffic_light_color_vlm</t>
        </is>
      </c>
      <c r="L1" s="5" t="inlineStr">
        <is>
          <t>traffic_light_color_ahp</t>
        </is>
      </c>
      <c r="M1" s="12" t="inlineStr">
        <is>
          <t>diff_inst_free_vs_guided</t>
        </is>
      </c>
      <c r="N1" s="12" t="inlineStr">
        <is>
          <t>diff_inst_free_vs_ahp</t>
        </is>
      </c>
      <c r="O1" s="12" t="inlineStr">
        <is>
          <t>diff_inst_guided_vs_ahp</t>
        </is>
      </c>
      <c r="P1" s="12" t="inlineStr">
        <is>
          <t>diff_dyn_free_vs_guided</t>
        </is>
      </c>
      <c r="Q1" s="12" t="inlineStr">
        <is>
          <t>diff_dyn_free_vs_ahp</t>
        </is>
      </c>
      <c r="R1" s="12" t="inlineStr">
        <is>
          <t>diff_dyn_guided_vs_ahp</t>
        </is>
      </c>
      <c r="S1" s="13" t="inlineStr">
        <is>
          <t>traffic_light_agreement_free_guided</t>
        </is>
      </c>
      <c r="T1" s="13" t="inlineStr">
        <is>
          <t>traffic_light_agreement_free_ahp</t>
        </is>
      </c>
      <c r="U1" s="13" t="inlineStr">
        <is>
          <t>traffic_light_agreement_guided_ahp</t>
        </is>
      </c>
      <c r="V1" s="13" t="inlineStr">
        <is>
          <t>three_way_traffic_agreement</t>
        </is>
      </c>
      <c r="W1" s="14" t="inlineStr">
        <is>
          <t>mean_dynamic_score_3_branches</t>
        </is>
      </c>
    </row>
    <row r="2" ht="34" customHeight="1">
      <c r="A2" s="7" t="n">
        <v>0</v>
      </c>
      <c r="B2" s="7" t="n">
        <v>0</v>
      </c>
      <c r="C2" s="7" t="n">
        <v>4</v>
      </c>
      <c r="D2" s="7" t="n">
        <v>25</v>
      </c>
      <c r="E2" s="7" t="n">
        <v>45</v>
      </c>
      <c r="F2" s="7" t="n">
        <v>22.97</v>
      </c>
      <c r="G2" s="7" t="n">
        <v>25</v>
      </c>
      <c r="H2" s="7" t="n">
        <v>45</v>
      </c>
      <c r="I2" s="7" t="n">
        <v>22.97</v>
      </c>
      <c r="J2" s="8" t="inlineStr">
        <is>
          <t>giallo</t>
        </is>
      </c>
      <c r="K2" s="8" t="inlineStr">
        <is>
          <t>giallo</t>
        </is>
      </c>
      <c r="L2" s="9" t="inlineStr">
        <is>
          <t>verde</t>
        </is>
      </c>
      <c r="M2" s="7" t="n">
        <v>20</v>
      </c>
      <c r="N2" s="7" t="n">
        <v>2.03</v>
      </c>
      <c r="O2" s="7" t="n">
        <v>22.03</v>
      </c>
      <c r="P2" s="7" t="n">
        <v>20</v>
      </c>
      <c r="Q2" s="7" t="n">
        <v>2.03</v>
      </c>
      <c r="R2" s="7" t="n">
        <v>22.03</v>
      </c>
      <c r="S2" s="9" t="inlineStr">
        <is>
          <t>accordo</t>
        </is>
      </c>
      <c r="T2" s="11" t="inlineStr">
        <is>
          <t>disaccordo</t>
        </is>
      </c>
      <c r="U2" s="11" t="inlineStr">
        <is>
          <t>disaccordo</t>
        </is>
      </c>
      <c r="V2" s="11" t="inlineStr">
        <is>
          <t>disaccordo</t>
        </is>
      </c>
      <c r="W2" s="7" t="n">
        <v>30.99</v>
      </c>
    </row>
    <row r="3" ht="34" customHeight="1">
      <c r="A3" s="7" t="n">
        <v>1</v>
      </c>
      <c r="B3" s="7" t="n">
        <v>2</v>
      </c>
      <c r="C3" s="7" t="n">
        <v>6</v>
      </c>
      <c r="D3" s="7" t="n">
        <v>30</v>
      </c>
      <c r="E3" s="7" t="n">
        <v>15</v>
      </c>
      <c r="F3" s="7" t="n">
        <v>2.36</v>
      </c>
      <c r="G3" s="7" t="n">
        <v>29.25</v>
      </c>
      <c r="H3" s="7" t="n">
        <v>27</v>
      </c>
      <c r="I3" s="7" t="n">
        <v>10.6</v>
      </c>
      <c r="J3" s="8" t="inlineStr">
        <is>
          <t>giallo</t>
        </is>
      </c>
      <c r="K3" s="8" t="inlineStr">
        <is>
          <t>giallo</t>
        </is>
      </c>
      <c r="L3" s="9" t="inlineStr">
        <is>
          <t>verde</t>
        </is>
      </c>
      <c r="M3" s="7" t="n">
        <v>15</v>
      </c>
      <c r="N3" s="7" t="n">
        <v>27.64</v>
      </c>
      <c r="O3" s="7" t="n">
        <v>12.64</v>
      </c>
      <c r="P3" s="7" t="n">
        <v>2.25</v>
      </c>
      <c r="Q3" s="7" t="n">
        <v>18.65</v>
      </c>
      <c r="R3" s="7" t="n">
        <v>16.4</v>
      </c>
      <c r="S3" s="9" t="inlineStr">
        <is>
          <t>accordo</t>
        </is>
      </c>
      <c r="T3" s="11" t="inlineStr">
        <is>
          <t>disaccordo</t>
        </is>
      </c>
      <c r="U3" s="11" t="inlineStr">
        <is>
          <t>disaccordo</t>
        </is>
      </c>
      <c r="V3" s="11" t="inlineStr">
        <is>
          <t>disaccordo</t>
        </is>
      </c>
      <c r="W3" s="7" t="n">
        <v>22.28</v>
      </c>
    </row>
    <row r="4" ht="34" customHeight="1">
      <c r="A4" s="7" t="n">
        <v>2</v>
      </c>
      <c r="B4" s="7" t="n">
        <v>4</v>
      </c>
      <c r="C4" s="7" t="n">
        <v>8</v>
      </c>
      <c r="D4" s="7" t="n">
        <v>30</v>
      </c>
      <c r="E4" s="7" t="n">
        <v>15</v>
      </c>
      <c r="F4" s="7" t="n">
        <v>8.34</v>
      </c>
      <c r="G4" s="7" t="n">
        <v>29.7</v>
      </c>
      <c r="H4" s="7" t="n">
        <v>19.8</v>
      </c>
      <c r="I4" s="7" t="n">
        <v>10.74</v>
      </c>
      <c r="J4" s="8" t="inlineStr">
        <is>
          <t>giallo</t>
        </is>
      </c>
      <c r="K4" s="9" t="inlineStr">
        <is>
          <t>verde</t>
        </is>
      </c>
      <c r="L4" s="9" t="inlineStr">
        <is>
          <t>verde</t>
        </is>
      </c>
      <c r="M4" s="7" t="n">
        <v>15</v>
      </c>
      <c r="N4" s="7" t="n">
        <v>21.66</v>
      </c>
      <c r="O4" s="7" t="n">
        <v>6.66</v>
      </c>
      <c r="P4" s="7" t="n">
        <v>9.9</v>
      </c>
      <c r="Q4" s="7" t="n">
        <v>18.96</v>
      </c>
      <c r="R4" s="7" t="n">
        <v>9.06</v>
      </c>
      <c r="S4" s="11" t="inlineStr">
        <is>
          <t>disaccordo</t>
        </is>
      </c>
      <c r="T4" s="11" t="inlineStr">
        <is>
          <t>disaccordo</t>
        </is>
      </c>
      <c r="U4" s="9" t="inlineStr">
        <is>
          <t>accordo</t>
        </is>
      </c>
      <c r="V4" s="11" t="inlineStr">
        <is>
          <t>disaccordo</t>
        </is>
      </c>
      <c r="W4" s="7" t="n">
        <v>20.08</v>
      </c>
    </row>
    <row r="5" ht="34" customHeight="1">
      <c r="A5" s="7" t="n">
        <v>3</v>
      </c>
      <c r="B5" s="7" t="n">
        <v>6</v>
      </c>
      <c r="C5" s="7" t="n">
        <v>10</v>
      </c>
      <c r="D5" s="7" t="n">
        <v>45</v>
      </c>
      <c r="E5" s="7" t="n">
        <v>15</v>
      </c>
      <c r="F5" s="7" t="n">
        <v>6.83</v>
      </c>
      <c r="G5" s="7" t="n">
        <v>42.63</v>
      </c>
      <c r="H5" s="7" t="n">
        <v>16.92</v>
      </c>
      <c r="I5" s="7" t="n">
        <v>8.390000000000001</v>
      </c>
      <c r="J5" s="8" t="inlineStr">
        <is>
          <t>giallo</t>
        </is>
      </c>
      <c r="K5" s="9" t="inlineStr">
        <is>
          <t>verde</t>
        </is>
      </c>
      <c r="L5" s="9" t="inlineStr">
        <is>
          <t>verde</t>
        </is>
      </c>
      <c r="M5" s="7" t="n">
        <v>30</v>
      </c>
      <c r="N5" s="7" t="n">
        <v>38.17</v>
      </c>
      <c r="O5" s="7" t="n">
        <v>8.17</v>
      </c>
      <c r="P5" s="7" t="n">
        <v>25.71</v>
      </c>
      <c r="Q5" s="7" t="n">
        <v>34.24</v>
      </c>
      <c r="R5" s="7" t="n">
        <v>8.529999999999999</v>
      </c>
      <c r="S5" s="11" t="inlineStr">
        <is>
          <t>disaccordo</t>
        </is>
      </c>
      <c r="T5" s="11" t="inlineStr">
        <is>
          <t>disaccordo</t>
        </is>
      </c>
      <c r="U5" s="9" t="inlineStr">
        <is>
          <t>accordo</t>
        </is>
      </c>
      <c r="V5" s="11" t="inlineStr">
        <is>
          <t>disaccordo</t>
        </is>
      </c>
      <c r="W5" s="7" t="n">
        <v>22.65</v>
      </c>
    </row>
    <row r="6" ht="34" customHeight="1">
      <c r="A6" s="7" t="n">
        <v>4</v>
      </c>
      <c r="B6" s="7" t="n">
        <v>8</v>
      </c>
      <c r="C6" s="7" t="n">
        <v>12</v>
      </c>
      <c r="D6" s="7" t="n">
        <v>30</v>
      </c>
      <c r="E6" s="7" t="n">
        <v>15</v>
      </c>
      <c r="F6" s="7" t="n">
        <v>7.19</v>
      </c>
      <c r="G6" s="7" t="n">
        <v>35.05</v>
      </c>
      <c r="H6" s="7" t="n">
        <v>15.77</v>
      </c>
      <c r="I6" s="7" t="n">
        <v>7.76</v>
      </c>
      <c r="J6" s="8" t="inlineStr">
        <is>
          <t>giallo</t>
        </is>
      </c>
      <c r="K6" s="9" t="inlineStr">
        <is>
          <t>verde</t>
        </is>
      </c>
      <c r="L6" s="9" t="inlineStr">
        <is>
          <t>verde</t>
        </is>
      </c>
      <c r="M6" s="7" t="n">
        <v>15</v>
      </c>
      <c r="N6" s="7" t="n">
        <v>22.81</v>
      </c>
      <c r="O6" s="7" t="n">
        <v>7.81</v>
      </c>
      <c r="P6" s="7" t="n">
        <v>19.28</v>
      </c>
      <c r="Q6" s="7" t="n">
        <v>27.29</v>
      </c>
      <c r="R6" s="7" t="n">
        <v>8.01</v>
      </c>
      <c r="S6" s="11" t="inlineStr">
        <is>
          <t>disaccordo</t>
        </is>
      </c>
      <c r="T6" s="11" t="inlineStr">
        <is>
          <t>disaccordo</t>
        </is>
      </c>
      <c r="U6" s="9" t="inlineStr">
        <is>
          <t>accordo</t>
        </is>
      </c>
      <c r="V6" s="11" t="inlineStr">
        <is>
          <t>disaccordo</t>
        </is>
      </c>
      <c r="W6" s="7" t="n">
        <v>19.53</v>
      </c>
    </row>
    <row r="7" ht="34" customHeight="1">
      <c r="A7" s="7" t="n">
        <v>5</v>
      </c>
      <c r="B7" s="7" t="n">
        <v>10</v>
      </c>
      <c r="C7" s="7" t="n">
        <v>14</v>
      </c>
      <c r="D7" s="7" t="n">
        <v>70</v>
      </c>
      <c r="E7" s="7" t="n">
        <v>15</v>
      </c>
      <c r="F7" s="7" t="n">
        <v>3.98</v>
      </c>
      <c r="G7" s="7" t="n">
        <v>66.02</v>
      </c>
      <c r="H7" s="7" t="n">
        <v>15.31</v>
      </c>
      <c r="I7" s="7" t="n">
        <v>5.49</v>
      </c>
      <c r="J7" s="10" t="inlineStr">
        <is>
          <t>arancione</t>
        </is>
      </c>
      <c r="K7" s="9" t="inlineStr">
        <is>
          <t>verde</t>
        </is>
      </c>
      <c r="L7" s="9" t="inlineStr">
        <is>
          <t>verde</t>
        </is>
      </c>
      <c r="M7" s="7" t="n">
        <v>55</v>
      </c>
      <c r="N7" s="7" t="n">
        <v>66.02</v>
      </c>
      <c r="O7" s="7" t="n">
        <v>11.02</v>
      </c>
      <c r="P7" s="7" t="n">
        <v>50.71</v>
      </c>
      <c r="Q7" s="7" t="n">
        <v>60.53</v>
      </c>
      <c r="R7" s="7" t="n">
        <v>9.82</v>
      </c>
      <c r="S7" s="11" t="inlineStr">
        <is>
          <t>disaccordo</t>
        </is>
      </c>
      <c r="T7" s="11" t="inlineStr">
        <is>
          <t>disaccordo</t>
        </is>
      </c>
      <c r="U7" s="9" t="inlineStr">
        <is>
          <t>accordo</t>
        </is>
      </c>
      <c r="V7" s="11" t="inlineStr">
        <is>
          <t>disaccordo</t>
        </is>
      </c>
      <c r="W7" s="7" t="n">
        <v>28.94</v>
      </c>
    </row>
    <row r="8" ht="34" customHeight="1">
      <c r="A8" s="7" t="n">
        <v>6</v>
      </c>
      <c r="B8" s="7" t="n">
        <v>12</v>
      </c>
      <c r="C8" s="7" t="n">
        <v>16</v>
      </c>
      <c r="D8" s="7" t="n">
        <v>65</v>
      </c>
      <c r="E8" s="7" t="n">
        <v>45</v>
      </c>
      <c r="F8" s="7" t="n">
        <v>11.66</v>
      </c>
      <c r="G8" s="7" t="n">
        <v>65.41</v>
      </c>
      <c r="H8" s="7" t="n">
        <v>40.62</v>
      </c>
      <c r="I8" s="7" t="n">
        <v>11.11</v>
      </c>
      <c r="J8" s="10" t="inlineStr">
        <is>
          <t>arancione</t>
        </is>
      </c>
      <c r="K8" s="8" t="inlineStr">
        <is>
          <t>giallo</t>
        </is>
      </c>
      <c r="L8" s="9" t="inlineStr">
        <is>
          <t>verde</t>
        </is>
      </c>
      <c r="M8" s="7" t="n">
        <v>20</v>
      </c>
      <c r="N8" s="7" t="n">
        <v>53.34</v>
      </c>
      <c r="O8" s="7" t="n">
        <v>33.34</v>
      </c>
      <c r="P8" s="7" t="n">
        <v>24.79</v>
      </c>
      <c r="Q8" s="7" t="n">
        <v>54.3</v>
      </c>
      <c r="R8" s="7" t="n">
        <v>29.51</v>
      </c>
      <c r="S8" s="11" t="inlineStr">
        <is>
          <t>disaccordo</t>
        </is>
      </c>
      <c r="T8" s="11" t="inlineStr">
        <is>
          <t>disaccordo</t>
        </is>
      </c>
      <c r="U8" s="11" t="inlineStr">
        <is>
          <t>disaccordo</t>
        </is>
      </c>
      <c r="V8" s="11" t="inlineStr">
        <is>
          <t>disaccordo</t>
        </is>
      </c>
      <c r="W8" s="7" t="n">
        <v>39.05</v>
      </c>
    </row>
    <row r="9" ht="34" customHeight="1">
      <c r="A9" s="7" t="n">
        <v>7</v>
      </c>
      <c r="B9" s="7" t="n">
        <v>14</v>
      </c>
      <c r="C9" s="7" t="n">
        <v>18</v>
      </c>
      <c r="D9" s="7" t="n">
        <v>50</v>
      </c>
      <c r="E9" s="7" t="n">
        <v>30</v>
      </c>
      <c r="F9" s="7" t="n">
        <v>8.09</v>
      </c>
      <c r="G9" s="7" t="n">
        <v>56.16</v>
      </c>
      <c r="H9" s="7" t="n">
        <v>34.25</v>
      </c>
      <c r="I9" s="7" t="n">
        <v>9.300000000000001</v>
      </c>
      <c r="J9" s="10" t="inlineStr">
        <is>
          <t>arancione</t>
        </is>
      </c>
      <c r="K9" s="8" t="inlineStr">
        <is>
          <t>giallo</t>
        </is>
      </c>
      <c r="L9" s="9" t="inlineStr">
        <is>
          <t>verde</t>
        </is>
      </c>
      <c r="M9" s="7" t="n">
        <v>20</v>
      </c>
      <c r="N9" s="7" t="n">
        <v>41.91</v>
      </c>
      <c r="O9" s="7" t="n">
        <v>21.91</v>
      </c>
      <c r="P9" s="7" t="n">
        <v>21.91</v>
      </c>
      <c r="Q9" s="7" t="n">
        <v>46.86</v>
      </c>
      <c r="R9" s="7" t="n">
        <v>24.95</v>
      </c>
      <c r="S9" s="11" t="inlineStr">
        <is>
          <t>disaccordo</t>
        </is>
      </c>
      <c r="T9" s="11" t="inlineStr">
        <is>
          <t>disaccordo</t>
        </is>
      </c>
      <c r="U9" s="11" t="inlineStr">
        <is>
          <t>disaccordo</t>
        </is>
      </c>
      <c r="V9" s="11" t="inlineStr">
        <is>
          <t>disaccordo</t>
        </is>
      </c>
      <c r="W9" s="7" t="n">
        <v>33.24</v>
      </c>
    </row>
    <row r="10" ht="34" customHeight="1">
      <c r="A10" s="7" t="n">
        <v>8</v>
      </c>
      <c r="B10" s="7" t="n">
        <v>16</v>
      </c>
      <c r="C10" s="7" t="n">
        <v>20</v>
      </c>
      <c r="D10" s="7" t="n">
        <v>65</v>
      </c>
      <c r="E10" s="7" t="n">
        <v>50</v>
      </c>
      <c r="F10" s="7" t="n">
        <v>13.33</v>
      </c>
      <c r="G10" s="7" t="n">
        <v>65.20999999999999</v>
      </c>
      <c r="H10" s="7" t="n">
        <v>48.7</v>
      </c>
      <c r="I10" s="7" t="n">
        <v>13.03</v>
      </c>
      <c r="J10" s="10" t="inlineStr">
        <is>
          <t>arancione</t>
        </is>
      </c>
      <c r="K10" s="8" t="inlineStr">
        <is>
          <t>giallo</t>
        </is>
      </c>
      <c r="L10" s="9" t="inlineStr">
        <is>
          <t>verde</t>
        </is>
      </c>
      <c r="M10" s="7" t="n">
        <v>15</v>
      </c>
      <c r="N10" s="7" t="n">
        <v>51.67</v>
      </c>
      <c r="O10" s="7" t="n">
        <v>36.67</v>
      </c>
      <c r="P10" s="7" t="n">
        <v>16.51</v>
      </c>
      <c r="Q10" s="7" t="n">
        <v>52.18</v>
      </c>
      <c r="R10" s="7" t="n">
        <v>35.67</v>
      </c>
      <c r="S10" s="11" t="inlineStr">
        <is>
          <t>disaccordo</t>
        </is>
      </c>
      <c r="T10" s="11" t="inlineStr">
        <is>
          <t>disaccordo</t>
        </is>
      </c>
      <c r="U10" s="11" t="inlineStr">
        <is>
          <t>disaccordo</t>
        </is>
      </c>
      <c r="V10" s="11" t="inlineStr">
        <is>
          <t>disaccordo</t>
        </is>
      </c>
      <c r="W10" s="7" t="n">
        <v>42.31</v>
      </c>
    </row>
    <row r="11" ht="34" customHeight="1">
      <c r="A11" s="7" t="n">
        <v>9</v>
      </c>
      <c r="B11" s="7" t="n">
        <v>18</v>
      </c>
      <c r="C11" s="7" t="n">
        <v>22</v>
      </c>
      <c r="D11" s="7" t="n">
        <v>60</v>
      </c>
      <c r="E11" s="7" t="n">
        <v>45</v>
      </c>
      <c r="F11" s="7" t="n">
        <v>22.97</v>
      </c>
      <c r="G11" s="7" t="n">
        <v>62.08</v>
      </c>
      <c r="H11" s="7" t="n">
        <v>46.48</v>
      </c>
      <c r="I11" s="7" t="n">
        <v>21.4</v>
      </c>
      <c r="J11" s="10" t="inlineStr">
        <is>
          <t>arancione</t>
        </is>
      </c>
      <c r="K11" s="8" t="inlineStr">
        <is>
          <t>giallo</t>
        </is>
      </c>
      <c r="L11" s="9" t="inlineStr">
        <is>
          <t>verde</t>
        </is>
      </c>
      <c r="M11" s="7" t="n">
        <v>15</v>
      </c>
      <c r="N11" s="7" t="n">
        <v>37.03</v>
      </c>
      <c r="O11" s="7" t="n">
        <v>22.03</v>
      </c>
      <c r="P11" s="7" t="n">
        <v>15.6</v>
      </c>
      <c r="Q11" s="7" t="n">
        <v>40.68</v>
      </c>
      <c r="R11" s="7" t="n">
        <v>25.08</v>
      </c>
      <c r="S11" s="11" t="inlineStr">
        <is>
          <t>disaccordo</t>
        </is>
      </c>
      <c r="T11" s="11" t="inlineStr">
        <is>
          <t>disaccordo</t>
        </is>
      </c>
      <c r="U11" s="11" t="inlineStr">
        <is>
          <t>disaccordo</t>
        </is>
      </c>
      <c r="V11" s="11" t="inlineStr">
        <is>
          <t>disaccordo</t>
        </is>
      </c>
      <c r="W11" s="7" t="n">
        <v>43.32</v>
      </c>
    </row>
    <row r="12" ht="34" customHeight="1">
      <c r="A12" s="7" t="n">
        <v>10</v>
      </c>
      <c r="B12" s="7" t="n">
        <v>20</v>
      </c>
      <c r="C12" s="7" t="n">
        <v>24</v>
      </c>
      <c r="D12" s="7" t="n">
        <v>75</v>
      </c>
      <c r="E12" s="7" t="n">
        <v>35</v>
      </c>
      <c r="F12" s="7" t="n">
        <v>11.66</v>
      </c>
      <c r="G12" s="7" t="n">
        <v>73.58</v>
      </c>
      <c r="H12" s="7" t="n">
        <v>39.59</v>
      </c>
      <c r="I12" s="7" t="n">
        <v>15.56</v>
      </c>
      <c r="J12" s="10" t="inlineStr">
        <is>
          <t>arancione</t>
        </is>
      </c>
      <c r="K12" s="8" t="inlineStr">
        <is>
          <t>giallo</t>
        </is>
      </c>
      <c r="L12" s="9" t="inlineStr">
        <is>
          <t>verde</t>
        </is>
      </c>
      <c r="M12" s="7" t="n">
        <v>40</v>
      </c>
      <c r="N12" s="7" t="n">
        <v>63.34</v>
      </c>
      <c r="O12" s="7" t="n">
        <v>23.34</v>
      </c>
      <c r="P12" s="7" t="n">
        <v>33.99</v>
      </c>
      <c r="Q12" s="7" t="n">
        <v>58.02</v>
      </c>
      <c r="R12" s="7" t="n">
        <v>24.03</v>
      </c>
      <c r="S12" s="11" t="inlineStr">
        <is>
          <t>disaccordo</t>
        </is>
      </c>
      <c r="T12" s="11" t="inlineStr">
        <is>
          <t>disaccordo</t>
        </is>
      </c>
      <c r="U12" s="11" t="inlineStr">
        <is>
          <t>disaccordo</t>
        </is>
      </c>
      <c r="V12" s="11" t="inlineStr">
        <is>
          <t>disaccordo</t>
        </is>
      </c>
      <c r="W12" s="7" t="n">
        <v>42.91</v>
      </c>
    </row>
    <row r="13" ht="34" customHeight="1">
      <c r="A13" s="7" t="n">
        <v>11</v>
      </c>
      <c r="B13" s="7" t="n">
        <v>22</v>
      </c>
      <c r="C13" s="7" t="n">
        <v>26</v>
      </c>
      <c r="D13" s="7" t="n">
        <v>70</v>
      </c>
      <c r="E13" s="7" t="n">
        <v>70</v>
      </c>
      <c r="F13" s="7" t="n">
        <v>29.37</v>
      </c>
      <c r="G13" s="7" t="n">
        <v>71.43000000000001</v>
      </c>
      <c r="H13" s="7" t="n">
        <v>66.59</v>
      </c>
      <c r="I13" s="7" t="n">
        <v>28.27</v>
      </c>
      <c r="J13" s="10" t="inlineStr">
        <is>
          <t>arancione</t>
        </is>
      </c>
      <c r="K13" s="10" t="inlineStr">
        <is>
          <t>arancione</t>
        </is>
      </c>
      <c r="L13" s="8" t="inlineStr">
        <is>
          <t>giallo</t>
        </is>
      </c>
      <c r="M13" s="7" t="n">
        <v>0</v>
      </c>
      <c r="N13" s="7" t="n">
        <v>40.63</v>
      </c>
      <c r="O13" s="7" t="n">
        <v>40.63</v>
      </c>
      <c r="P13" s="7" t="n">
        <v>4.84</v>
      </c>
      <c r="Q13" s="7" t="n">
        <v>43.16</v>
      </c>
      <c r="R13" s="7" t="n">
        <v>38.32</v>
      </c>
      <c r="S13" s="9" t="inlineStr">
        <is>
          <t>accordo</t>
        </is>
      </c>
      <c r="T13" s="11" t="inlineStr">
        <is>
          <t>disaccordo</t>
        </is>
      </c>
      <c r="U13" s="11" t="inlineStr">
        <is>
          <t>disaccordo</t>
        </is>
      </c>
      <c r="V13" s="11" t="inlineStr">
        <is>
          <t>disaccordo</t>
        </is>
      </c>
      <c r="W13" s="7" t="n">
        <v>55.43</v>
      </c>
    </row>
    <row r="14" ht="34" customHeight="1">
      <c r="A14" s="7" t="n">
        <v>12</v>
      </c>
      <c r="B14" s="7" t="n">
        <v>24</v>
      </c>
      <c r="C14" s="7" t="n">
        <v>28</v>
      </c>
      <c r="D14" s="7" t="n">
        <v>100</v>
      </c>
      <c r="E14" s="7" t="n">
        <v>98</v>
      </c>
      <c r="F14" s="7" t="n">
        <v>54.18</v>
      </c>
      <c r="G14" s="7" t="n">
        <v>96.06999999999999</v>
      </c>
      <c r="H14" s="7" t="n">
        <v>92.44</v>
      </c>
      <c r="I14" s="7" t="n">
        <v>50.02</v>
      </c>
      <c r="J14" s="11" t="inlineStr">
        <is>
          <t>rosso</t>
        </is>
      </c>
      <c r="K14" s="11" t="inlineStr">
        <is>
          <t>rosso</t>
        </is>
      </c>
      <c r="L14" s="10" t="inlineStr">
        <is>
          <t>arancione</t>
        </is>
      </c>
      <c r="M14" s="7" t="n">
        <v>2</v>
      </c>
      <c r="N14" s="7" t="n">
        <v>45.82</v>
      </c>
      <c r="O14" s="7" t="n">
        <v>43.82</v>
      </c>
      <c r="P14" s="7" t="n">
        <v>3.63</v>
      </c>
      <c r="Q14" s="7" t="n">
        <v>46.05</v>
      </c>
      <c r="R14" s="7" t="n">
        <v>42.42</v>
      </c>
      <c r="S14" s="9" t="inlineStr">
        <is>
          <t>accordo</t>
        </is>
      </c>
      <c r="T14" s="11" t="inlineStr">
        <is>
          <t>disaccordo</t>
        </is>
      </c>
      <c r="U14" s="11" t="inlineStr">
        <is>
          <t>disaccordo</t>
        </is>
      </c>
      <c r="V14" s="11" t="inlineStr">
        <is>
          <t>disaccordo</t>
        </is>
      </c>
      <c r="W14" s="7" t="n">
        <v>79.51000000000001</v>
      </c>
    </row>
    <row r="15" ht="34" customHeight="1">
      <c r="A15" s="7" t="n">
        <v>13</v>
      </c>
      <c r="B15" s="7" t="n">
        <v>26</v>
      </c>
      <c r="C15" s="7" t="n">
        <v>30</v>
      </c>
      <c r="D15" s="7" t="n">
        <v>100</v>
      </c>
      <c r="E15" s="7" t="n">
        <v>98</v>
      </c>
      <c r="F15" s="7" t="n">
        <v>35.88</v>
      </c>
      <c r="G15" s="7" t="n">
        <v>98.43000000000001</v>
      </c>
      <c r="H15" s="7" t="n">
        <v>95.78</v>
      </c>
      <c r="I15" s="7" t="n">
        <v>41.54</v>
      </c>
      <c r="J15" s="11" t="inlineStr">
        <is>
          <t>rosso</t>
        </is>
      </c>
      <c r="K15" s="11" t="inlineStr">
        <is>
          <t>rosso</t>
        </is>
      </c>
      <c r="L15" s="8" t="inlineStr">
        <is>
          <t>giallo</t>
        </is>
      </c>
      <c r="M15" s="7" t="n">
        <v>2</v>
      </c>
      <c r="N15" s="7" t="n">
        <v>64.12</v>
      </c>
      <c r="O15" s="7" t="n">
        <v>62.12</v>
      </c>
      <c r="P15" s="7" t="n">
        <v>2.65</v>
      </c>
      <c r="Q15" s="7" t="n">
        <v>56.89</v>
      </c>
      <c r="R15" s="7" t="n">
        <v>54.24</v>
      </c>
      <c r="S15" s="9" t="inlineStr">
        <is>
          <t>accordo</t>
        </is>
      </c>
      <c r="T15" s="11" t="inlineStr">
        <is>
          <t>disaccordo</t>
        </is>
      </c>
      <c r="U15" s="11" t="inlineStr">
        <is>
          <t>disaccordo</t>
        </is>
      </c>
      <c r="V15" s="11" t="inlineStr">
        <is>
          <t>disaccordo</t>
        </is>
      </c>
      <c r="W15" s="7" t="n">
        <v>78.58</v>
      </c>
    </row>
    <row r="16" ht="34" customHeight="1">
      <c r="A16" s="7" t="n">
        <v>14</v>
      </c>
      <c r="B16" s="7" t="n">
        <v>28</v>
      </c>
      <c r="C16" s="7" t="n">
        <v>32</v>
      </c>
      <c r="D16" s="7" t="n">
        <v>100</v>
      </c>
      <c r="E16" s="7" t="n">
        <v>98</v>
      </c>
      <c r="F16" s="7" t="n">
        <v>41.54</v>
      </c>
      <c r="G16" s="7" t="n">
        <v>99.37</v>
      </c>
      <c r="H16" s="7" t="n">
        <v>97.11</v>
      </c>
      <c r="I16" s="7" t="n">
        <v>42.95</v>
      </c>
      <c r="J16" s="11" t="inlineStr">
        <is>
          <t>rosso</t>
        </is>
      </c>
      <c r="K16" s="11" t="inlineStr">
        <is>
          <t>rosso</t>
        </is>
      </c>
      <c r="L16" s="8" t="inlineStr">
        <is>
          <t>giallo</t>
        </is>
      </c>
      <c r="M16" s="7" t="n">
        <v>2</v>
      </c>
      <c r="N16" s="7" t="n">
        <v>58.46</v>
      </c>
      <c r="O16" s="7" t="n">
        <v>56.46</v>
      </c>
      <c r="P16" s="7" t="n">
        <v>2.26</v>
      </c>
      <c r="Q16" s="7" t="n">
        <v>56.42</v>
      </c>
      <c r="R16" s="7" t="n">
        <v>54.16</v>
      </c>
      <c r="S16" s="9" t="inlineStr">
        <is>
          <t>accordo</t>
        </is>
      </c>
      <c r="T16" s="11" t="inlineStr">
        <is>
          <t>disaccordo</t>
        </is>
      </c>
      <c r="U16" s="11" t="inlineStr">
        <is>
          <t>disaccordo</t>
        </is>
      </c>
      <c r="V16" s="11" t="inlineStr">
        <is>
          <t>disaccordo</t>
        </is>
      </c>
      <c r="W16" s="7" t="n">
        <v>79.81</v>
      </c>
    </row>
    <row r="17" ht="34" customHeight="1">
      <c r="A17" s="7" t="n">
        <v>15</v>
      </c>
      <c r="B17" s="7" t="n">
        <v>30</v>
      </c>
      <c r="C17" s="7" t="n">
        <v>34</v>
      </c>
      <c r="D17" s="7" t="n">
        <v>98</v>
      </c>
      <c r="E17" s="7" t="n">
        <v>95</v>
      </c>
      <c r="F17" s="7" t="n">
        <v>26.51</v>
      </c>
      <c r="G17" s="7" t="n">
        <v>98.55</v>
      </c>
      <c r="H17" s="7" t="n">
        <v>95.84</v>
      </c>
      <c r="I17" s="7" t="n">
        <v>33.09</v>
      </c>
      <c r="J17" s="11" t="inlineStr">
        <is>
          <t>rosso</t>
        </is>
      </c>
      <c r="K17" s="11" t="inlineStr">
        <is>
          <t>rosso</t>
        </is>
      </c>
      <c r="L17" s="8" t="inlineStr">
        <is>
          <t>giallo</t>
        </is>
      </c>
      <c r="M17" s="7" t="n">
        <v>3</v>
      </c>
      <c r="N17" s="7" t="n">
        <v>71.48999999999999</v>
      </c>
      <c r="O17" s="7" t="n">
        <v>68.48999999999999</v>
      </c>
      <c r="P17" s="7" t="n">
        <v>2.71</v>
      </c>
      <c r="Q17" s="7" t="n">
        <v>65.45999999999999</v>
      </c>
      <c r="R17" s="7" t="n">
        <v>62.75</v>
      </c>
      <c r="S17" s="9" t="inlineStr">
        <is>
          <t>accordo</t>
        </is>
      </c>
      <c r="T17" s="11" t="inlineStr">
        <is>
          <t>disaccordo</t>
        </is>
      </c>
      <c r="U17" s="11" t="inlineStr">
        <is>
          <t>disaccordo</t>
        </is>
      </c>
      <c r="V17" s="11" t="inlineStr">
        <is>
          <t>disaccordo</t>
        </is>
      </c>
      <c r="W17" s="7" t="n">
        <v>75.83</v>
      </c>
    </row>
    <row r="18" ht="34" customHeight="1">
      <c r="A18" s="7" t="n">
        <v>16</v>
      </c>
      <c r="B18" s="7" t="n">
        <v>32</v>
      </c>
      <c r="C18" s="7" t="n">
        <v>35.867</v>
      </c>
      <c r="D18" s="7" t="n">
        <v>70</v>
      </c>
      <c r="E18" s="7" t="n">
        <v>60</v>
      </c>
      <c r="F18" s="7" t="n">
        <v>14.43</v>
      </c>
      <c r="G18" s="7" t="n">
        <v>81.42</v>
      </c>
      <c r="H18" s="7" t="n">
        <v>74.34</v>
      </c>
      <c r="I18" s="7" t="n">
        <v>21.89</v>
      </c>
      <c r="J18" s="11" t="inlineStr">
        <is>
          <t>rosso</t>
        </is>
      </c>
      <c r="K18" s="11" t="inlineStr">
        <is>
          <t>rosso</t>
        </is>
      </c>
      <c r="L18" s="9" t="inlineStr">
        <is>
          <t>verde</t>
        </is>
      </c>
      <c r="M18" s="7" t="n">
        <v>10</v>
      </c>
      <c r="N18" s="7" t="n">
        <v>55.57</v>
      </c>
      <c r="O18" s="7" t="n">
        <v>45.57</v>
      </c>
      <c r="P18" s="7" t="n">
        <v>7.08</v>
      </c>
      <c r="Q18" s="7" t="n">
        <v>59.53</v>
      </c>
      <c r="R18" s="7" t="n">
        <v>52.45</v>
      </c>
      <c r="S18" s="9" t="inlineStr">
        <is>
          <t>accordo</t>
        </is>
      </c>
      <c r="T18" s="11" t="inlineStr">
        <is>
          <t>disaccordo</t>
        </is>
      </c>
      <c r="U18" s="11" t="inlineStr">
        <is>
          <t>disaccordo</t>
        </is>
      </c>
      <c r="V18" s="11" t="inlineStr">
        <is>
          <t>disaccordo</t>
        </is>
      </c>
      <c r="W18" s="7" t="n">
        <v>59.22</v>
      </c>
    </row>
    <row r="19" ht="34" customHeight="1">
      <c r="A19" s="7" t="n">
        <v>17</v>
      </c>
      <c r="B19" s="7" t="n">
        <v>34</v>
      </c>
      <c r="C19" s="7" t="n">
        <v>35.867</v>
      </c>
      <c r="D19" s="7" t="n">
        <v>45</v>
      </c>
      <c r="E19" s="7" t="n">
        <v>15</v>
      </c>
      <c r="F19" s="7" t="n">
        <v>3.26</v>
      </c>
      <c r="G19" s="7" t="n">
        <v>59.57</v>
      </c>
      <c r="H19" s="7" t="n">
        <v>38.74</v>
      </c>
      <c r="I19" s="7" t="n">
        <v>10.71</v>
      </c>
      <c r="J19" s="10" t="inlineStr">
        <is>
          <t>arancione</t>
        </is>
      </c>
      <c r="K19" s="8" t="inlineStr">
        <is>
          <t>giallo</t>
        </is>
      </c>
      <c r="L19" s="9" t="inlineStr">
        <is>
          <t>verde</t>
        </is>
      </c>
      <c r="M19" s="7" t="n">
        <v>30</v>
      </c>
      <c r="N19" s="7" t="n">
        <v>41.74</v>
      </c>
      <c r="O19" s="7" t="n">
        <v>11.74</v>
      </c>
      <c r="P19" s="7" t="n">
        <v>20.83</v>
      </c>
      <c r="Q19" s="7" t="n">
        <v>48.86</v>
      </c>
      <c r="R19" s="7" t="n">
        <v>28.03</v>
      </c>
      <c r="S19" s="11" t="inlineStr">
        <is>
          <t>disaccordo</t>
        </is>
      </c>
      <c r="T19" s="11" t="inlineStr">
        <is>
          <t>disaccordo</t>
        </is>
      </c>
      <c r="U19" s="11" t="inlineStr">
        <is>
          <t>disaccordo</t>
        </is>
      </c>
      <c r="V19" s="11" t="inlineStr">
        <is>
          <t>disaccordo</t>
        </is>
      </c>
      <c r="W19" s="7" t="n">
        <v>36.34</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8" customWidth="1" min="5" max="5"/>
    <col width="16" customWidth="1" min="6" max="6"/>
    <col width="8" customWidth="1" min="7" max="7"/>
    <col width="7" customWidth="1" min="8" max="8"/>
  </cols>
  <sheetData>
    <row r="1" ht="16" customHeight="1">
      <c r="A1" s="2" t="inlineStr">
        <is>
          <t>window_id</t>
        </is>
      </c>
      <c r="B1" s="2" t="inlineStr">
        <is>
          <t>start_time_s</t>
        </is>
      </c>
      <c r="C1" s="2" t="inlineStr">
        <is>
          <t>end_time_s</t>
        </is>
      </c>
      <c r="D1" s="3" t="inlineStr">
        <is>
          <t>free_scene_json</t>
        </is>
      </c>
      <c r="E1" s="3" t="inlineStr">
        <is>
          <t>instantaneous_risk_score_vlm_free</t>
        </is>
      </c>
      <c r="F1" s="3" t="inlineStr">
        <is>
          <t>score_rationale_vlm_free</t>
        </is>
      </c>
      <c r="G1" s="3" t="inlineStr">
        <is>
          <t>dynamic_risk_score_vlm_free</t>
        </is>
      </c>
      <c r="H1" s="3" t="inlineStr">
        <is>
          <t>traffic_light_color_vlm_free</t>
        </is>
      </c>
    </row>
    <row r="2" ht="34" customHeight="1">
      <c r="A2" s="7" t="n">
        <v>0</v>
      </c>
      <c r="B2" s="7" t="n">
        <v>0</v>
      </c>
      <c r="C2" s="7" t="n">
        <v>4</v>
      </c>
      <c r="D2" s="7" t="inlineStr">
        <is>
          <t>{"analisi_scena": {"descrizione_generale": "Inquadratura dall'alto di una corsia di un magazzino logistico con scaffalature industriali verticali su entrambi i lati, cariche di merci imballate.", "contesto": "Logistica e stoccaggio merci in ambiente industriale indoor."}, "elementi_rilevati": {"persone": "Due operatori situati nella parte inferiore dell'inquadratura, vicino a un carrello di movimentazione.", "macchinari_e_attrezzature": "Un transpallet e un carrello di servizio con scatole posizionato al centro della corsia.", "oggetti": "Scaffalature metalliche multipiano, pallet con merci avvolte in pellicola protettiva, scatole di cartone."}, "condizioni_ambientali_e_visibilita": {"illuminazione": "Illuminazione artificiale uniforme da interno.", "pavimentazione": "Pavimento industriale di colore verde, apparentemente sgombro da ostacoli nella via di transito principale.", "limiti_visibilita": "La telecamera grandangolare posizionata in alto crea distorsioni prospettiche. La distanza degli operatori rende difficile identificare con certezza dettagli sui DPI della testa (es. elmetti)."}, "analisi_sicurezza_e_prevenzione": {"dpi_osservati": "I due operatori indossano gilet ad alta visibilità di colore arancione. La presenza di calzature antinfortunistiche ed elmetti è dubbia a causa della distanza e della risoluzione.", "dinamiche_in_corso": "Gli operatori sono fermi o in fase di preparazione per la movimentazione manuale o assistita di merci dal carrello di servizio.", "fattori_di_rischio_potenziali": {"collisione": "Presenza di pedoni nella corsia di transito. Sebbene non si vedano carrelli elevatori in movimento nella clip, l'accesso alla corsia deve essere regolamentato per evitare interferenze tra mezzi e pedoni.", "caduta_dall_alto": "Le scaffalature sono molto alte; esiste un rischio potenziale di caduta materiali in caso di instabilità dei pallet sovrastanti.", "ergonomia": "Movimentazione manuale dei carichi dal carrello che richiede posture adeguate per prevenire infortuni muscolo-scheletrici."}}}</t>
        </is>
      </c>
      <c r="E2" s="7" t="n">
        <v>25</v>
      </c>
      <c r="F2" s="7" t="inlineStr">
        <is>
          <t>La scena mostra operazioni standard in un magazzino. Gli operatori indossano gilet ad alta visibilità e non vi sono mezzi in movimento o pericoli immediati visibili. Il punteggio di 25 riflette i rischi intrinseci dell'ambiente industriale (movimentazione manuale dei carichi, potenziale caduta di materiali dall'alto e incertezza sull'uso di elmetti/scarpe antinfortunistiche), pur in assenza di situazioni critiche attive.</t>
        </is>
      </c>
      <c r="G2" s="7" t="n">
        <v>25</v>
      </c>
      <c r="H2" s="8" t="inlineStr">
        <is>
          <t>giallo</t>
        </is>
      </c>
    </row>
    <row r="3" ht="34" customHeight="1">
      <c r="A3" s="7" t="n">
        <v>1</v>
      </c>
      <c r="B3" s="7" t="n">
        <v>2</v>
      </c>
      <c r="C3" s="7" t="n">
        <v>6</v>
      </c>
      <c r="D3" s="7" t="inlineStr">
        <is>
          <t>{"analisi_temporale": {"inizio_s": 2.0, "fine_s": 6.0}, "descrizione_generale": "Inquadratura zenitale/dall'alto di una corsia di un magazzino logistico con scaffalature verticali ad alta densità cariche di pallet.", "contesto_operativo": "Magazzino di stoccaggio e movimentazione merci.", "personale_rilevato": [{"ruolo": "Operatori a terra", "posizione": "Parte inferiore dell'inquadratura, vicino a un carrello", "dpi_osservati": ["Gilet ad alta visibilità (arancione/giallo)", "Elmetto protettivo"]}, {"ruolo": "Operatore distante", "posizione": "Sullo sfondo, in fondo alla corsia", "dpi_osservati": ["Non chiaramente distinguibili causa distanza"]}], "attrezzature_e_macchinari": ["Transpallet manuale posizionato sul lato sinistro della corsia", "Carrello manuale a piattaforma al centro della corsia", "Scaffalature industriali portapallet cariche di merci imballate"], "condizioni_ambientali_e_visibilita": {"illuminazione": "Artificiale, uniforme lungo la corsia", "stato_pavimentazione": "Pavimento verde, apparentemente sgombro da detriti immediati", "limiti_visivi": "Effetto grandangolare/fisheye della telecamera che distorce i lati; forte riduzione della visibilità e dei dettagli nella parte distale della corsia"}, "valutazione_rischi_e_sicurezza": {"dinamica_in_corso": "Gli operatori sono fermi o in fase di preparazione per la movimentazione manuale di merci tramite carrello.", "fattori_contribuenti": ["Presenza di attrezzature manuali (transpallet e carrello) nella via di transito", "Stoccaggio verticale ad altezza elevata"], "sviluppi_rischiosi_plausibili": ["Rischio di caduta materiali dall'alto dalle scaffalature sovrastanti durante le operazioni a terra", "Rischio di inciampo o collisione con le attrezzature manuali lasciate nella corsia di transito", "Rischio legato alla movimentazione manuale dei carichi se non eseguita secondo le procedure ergonomiche"]}}</t>
        </is>
      </c>
      <c r="E3" s="7" t="n">
        <v>30</v>
      </c>
      <c r="F3" s="7" t="inlineStr">
        <is>
          <t>Il punteggio di 30 riflette una situazione operativa standard con rischi intrinseci moderati. Gli operatori a terra indossano correttamente i DPI (elmetti e gilet ad alta visibilità), mitigando i rischi principali. Rimangono fattori di attenzione legati alla presenza di attrezzature manuali nella via di transito e al potenziale rischio di caduta materiali dalle scaffalature verticali ad alta densità.</t>
        </is>
      </c>
      <c r="G3" s="7" t="n">
        <v>29.25</v>
      </c>
      <c r="H3" s="8" t="inlineStr">
        <is>
          <t>giallo</t>
        </is>
      </c>
    </row>
    <row r="4" ht="34" customHeight="1">
      <c r="A4" s="7" t="n">
        <v>2</v>
      </c>
      <c r="B4" s="7" t="n">
        <v>4</v>
      </c>
      <c r="C4" s="7" t="n">
        <v>8</v>
      </c>
      <c r="D4" s="7" t="inlineStr">
        <is>
          <t>{"analisi_scena": {"descrizione_generale": "Inquadratura zenitale di una corsia di un magazzino logistico con scaffalature industriali verticali.", "contesto": "Stoccaggio e movimentazione merci in ambito logistico."}, "soggetti_e_oggetti": {"persone": "Due operatori in primo piano in basso; una terza figura scarsamente visibile sullo sfondo della corsia.", "macchinari_attrezzature": "Transpallet manuale e carrello di servizio per prelievo merci.", "oggetti": "Scaffalature metalliche multipiano, pallet con merci imballate in pellicola protettiva."}, "dinamiche_e_ambiente": {"azioni": "Gli operatori movimentano merci o preparano un carico nei pressi del carrello.", "condizioni_ambientali": "Illuminazione artificiale interna, pavimentazione verde apparentemente pulita e sgombra.", "limiti_visibilita": "La prospettiva dall'alto e la risoluzione limitano la visibilità dei dettagli sullo sfondo e la nitidezza dei volti."}, "valutazione_sicurezza": {"dpi_rilevati": "Gilet ad alta visibilità di colore giallo. L'uso di elmetti o scarpe antinfortunistiche è presumibile ma non chiaramente verificabile.", "ragionamento_causale": "La compresenza di operatori a piedi e attrezzature manuali in spazi definiti richiede attenzione per evitare interferenze.", "rischi_potenziali": "Rischio moderato di piccoli urti con il carrello o di caduta di oggetti durante la manipolazione manuale dei carichi.", "fattori_contribuenti": "Spazio operativo ristretto attorno al transpallet e altezza elevata delle scaffalature adiacenti."}}</t>
        </is>
      </c>
      <c r="E4" s="7" t="n">
        <v>30</v>
      </c>
      <c r="F4" s="7" t="inlineStr">
        <is>
          <t>Il punteggio di 30 indica un rischio basso-moderato, tipico di un'area di lavoro logistica attiva ma ordinata. Gli operatori indossano i gilet ad alta visibilità e la pavimentazione è sgombra. I fattori di rischio sono limitati alla movimentazione manuale dei carichi in spazi ristretti e alla potenziale caduta di oggetti dalle scaffalature verticali adiacenti.</t>
        </is>
      </c>
      <c r="G4" s="7" t="n">
        <v>29.7</v>
      </c>
      <c r="H4" s="8" t="inlineStr">
        <is>
          <t>giallo</t>
        </is>
      </c>
    </row>
    <row r="5" ht="34" customHeight="1">
      <c r="A5" s="7" t="n">
        <v>3</v>
      </c>
      <c r="B5" s="7" t="n">
        <v>6</v>
      </c>
      <c r="C5" s="7" t="n">
        <v>10</v>
      </c>
      <c r="D5" s="7" t="inlineStr">
        <is>
          <t>{"contesto_e_scena": {"descrizione_generale": "Corsia di un magazzino di stoccaggio intensivo con scaffalature metalliche verticali.", "contesto": "Logistica e movimentazione merci."}, "soggetti_e_risorse": {"persone": "Un operatore visibile in primo piano in basso; una seconda figura difficilmente identificabile sullo sfondo.", "macchinari": "Transpallet posizionato nella parte inferiore della corsia.", "oggetti": "Pallet stoccati su scaffali multilivello, avvolti in film protettivo."}, "dinamiche_e_condizioni": {"azioni": "L'operatore in primo piano è fermo o in fase di preparazione della movimentazione del transpallet.", "condizioni_ambientali": "Illuminazione artificiale uniforme, pavimentazione verde apparentemente pulita.", "limiti_visibilita": "Inquadratura zenitale grandangolare che distorce le proporzioni; forte sfocatura e perdita di dettaglio sulla distanza."}, "analisi_sicurezza": {"dpi_rilevati": "Gilet ad alta visibilità ed elmetto protettivo (visibili ma con dettagli limitati dalla distanza).", "ragionamento_causale": "La compresenza di operatori a piedi e attrezzature di movimentazione in corsie strette richiede costante controllo visivo.", "rischi_potenziali": "Rischio di investimento da parte di altri mezzi in transito se non segnalati; rischio di caduta materiali dall'alto in caso di urto accidentale delle scaffalature.", "fattori_contribuenti": "Spazio di manovra limitato dalla larghezza della corsia e visibilità ridotta alle estremità della stessa."}}</t>
        </is>
      </c>
      <c r="E5" s="7" t="n">
        <v>45</v>
      </c>
      <c r="F5" s="7" t="inlineStr">
        <is>
          <t>Il punteggio riflette un rischio moderato (45/100). L'operatore indossa i DPI visibili (elmetto e gilet), ma la compresenza di una seconda figura sullo sfondo in una corsia stretta, unita alla presenza di un transpallet e alla visibilità ridotta alle estremità della corsia, genera potenziali rischi di investimento o di urto accidentale contro le scaffalature verticali.</t>
        </is>
      </c>
      <c r="G5" s="7" t="n">
        <v>42.63</v>
      </c>
      <c r="H5" s="8" t="inlineStr">
        <is>
          <t>giallo</t>
        </is>
      </c>
    </row>
    <row r="6" ht="34" customHeight="1">
      <c r="A6" s="7" t="n">
        <v>4</v>
      </c>
      <c r="B6" s="7" t="n">
        <v>8</v>
      </c>
      <c r="C6" s="7" t="n">
        <v>12</v>
      </c>
      <c r="D6" s="7" t="inlineStr">
        <is>
          <t>{"descrizione_generale": "Inquadratura dall'alto di un corridoio di un magazzino logistico con scaffalature industriali verticali su entrambi i lati.", "contesto_industriale": "Area di stoccaggio e movimentazione merci ad alta densità.", "persone_presenti": "Un operatore visibile in primo piano nel corridoio; una seconda figura difficilmente identificabile sullo sfondo.", "oggetti_presenti": "Pallet stoccati, imballaggi plastici, merci su scaffali e un carrello di trasporto.", "macchinari_presenti": "Transpallet manuale o carrello per la movimentazione interna delle merci.", "azioni_osservabili": "L'operatore in primo piano staziona o si muove lentamente accanto al carrello merci.", "condizioni_ambientali": "Illuminazione artificiale interna costante, pavimentazione liscia con segnaletica verde.", "limiti_visibilita": "Prospettiva grandangolare dall'alto che distorce le distanze; scarsa visibilità dei dettagli in fondo al corridoio per via della distanza.", "ragionamento_causale": "La presenza di un operatore a piedi in un corridoio di stoccaggio richiede vigilanza per evitare interferenze con eventuali mezzi di movimentazione rapida.", "sviluppi_rischiosi": "Rischio di investimento dell'operatore a piedi in caso di ingresso improvviso di carrelli elevatori; rischio di caduta materiali dall'alto in assenza di reti di contenimento visibili.", "fattori_contribuenti": "Stoccaggio verticale molto elevato e corridoio stretto che limita le vie di fuga rapide.", "dpi_rilevati": "Indumento ad alta visibilità (giallo/arancione) indossato dall'operatore in primo piano."}</t>
        </is>
      </c>
      <c r="E6" s="7" t="n">
        <v>30</v>
      </c>
      <c r="F6" s="7" t="inlineStr">
        <is>
          <t>Il punteggio riflette una situazione di normale operatività con rischi intrinseci moderati. L'operatore indossa correttamente il gilet ad alta visibilità e l'area presenta segnaletica di sicurezza sulla pavimentazione. I rischi sono legati esclusivamente alla natura dell'ambiente (stoccaggio verticale elevato, corridoio stretto e potenziale transito di mezzi), ma non si rilevano comportamenti pericolosi o minacce immediate nel frame temporale indicato.</t>
        </is>
      </c>
      <c r="G6" s="7" t="n">
        <v>35.05</v>
      </c>
      <c r="H6" s="8" t="inlineStr">
        <is>
          <t>giallo</t>
        </is>
      </c>
    </row>
    <row r="7" ht="34" customHeight="1">
      <c r="A7" s="7" t="n">
        <v>5</v>
      </c>
      <c r="B7" s="7" t="n">
        <v>10</v>
      </c>
      <c r="C7" s="7" t="n">
        <v>14</v>
      </c>
      <c r="D7" s="7" t="inlineStr">
        <is>
          <t>{"descrizione_generale": "Vista dall'alto di una corsia di un magazzino logistico con scaffalature industriali.", "contesto": "Ambiente di stoccaggio e logistica intensiva con scaffalature alte.", "persone": [{"ruolo": "Operatore a terra", "posizione": "Parte inferiore della corsia, vicino a un transpallet", "dpi_rilevati": "Giacca/gilet ad alta visibilità giallo/arancione. Altri DPI (es. scarpe antinfortunistiche, elmetto) non sono chiaramente verificabili a causa della distanza della telecamera."}], "oggetti": "Scaffalature metalliche, merci pallettizzate, transpallet manuale.", "macchinari": "Veicolo per la movimentazione dei materiali (AGV o carrello elevatore) in movimento lungo la corsia centrale.", "azioni": "Il veicolo si sposta lungo la corsia mentre l'operatore staziona a terra vicino alle scaffalature.", "condizioni_ambientali": "Illuminazione artificiale uniforme, pavimentazione sgombra e pulita.", "limiti_visibilita": "Inquadratura zenitale/grandangolare che distorce le distanze reali; zone d'ombra sotto le scaffalature e risoluzione limitata sui dettagli dei DPI.", "ragionamento_causale": "La compresenza di un veicolo in movimento e di un pedone nella stessa corsia stretta aumenta la probabilità di interazione ravvicinata.", "sviluppi_rischiosi": "Rischio di investimento o schiacciamento dell'operatore qualora il veicolo deviasse dalla traiettoria o l'operatore entrasse improvvisamente nel suo raggio d'azione.", "fattori_contribuenti": "Condivisione dello spazio di manovra tra pedoni e mezzi semoventi in una corsia priva di barriere fisiche di separazione."}</t>
        </is>
      </c>
      <c r="E7" s="7" t="n">
        <v>70</v>
      </c>
      <c r="F7" s="7" t="inlineStr">
        <is>
          <t>Il punteggio di 70 riflette un rischio elevato dovuto alla compresenza e condivisione dello spazio di manovra tra un operatore a terra e un veicolo industriale in movimento in una corsia stretta priva di barriere fisiche di separazione. Sebbene l'operatore indossi un gilet ad alta visibilità, la mancanza di segregazione fisica e la potenziale deviazione del mezzo o un movimento improvviso del pedone generano un rischio concreto di investimento o schiacciamento.</t>
        </is>
      </c>
      <c r="G7" s="7" t="n">
        <v>66.02</v>
      </c>
      <c r="H7" s="10" t="inlineStr">
        <is>
          <t>arancione</t>
        </is>
      </c>
    </row>
    <row r="8" ht="34" customHeight="1">
      <c r="A8" s="7" t="n">
        <v>6</v>
      </c>
      <c r="B8" s="7" t="n">
        <v>12</v>
      </c>
      <c r="C8" s="7" t="n">
        <v>16</v>
      </c>
      <c r="D8" s="7" t="inlineStr">
        <is>
          <t>{"descrizione_scena": {"contesto": "Magazzino logistico con scaffalature verticali ad alta densità e corsia centrale.", "condizioni_ambientali": "Illuminazione artificiale interna uniforme, pavimentazione verde con segnaletica orizzontale."}, "soggetti_e_risorse": {"persone": "Un operatore visibile in primo piano vicino a un carrello.", "macchinari": "Un transpallet manuale in primo piano e un carrello elevatore posizionato più avanti nella corsia.", "oggetti": "Scaffalature metalliche, pallet stoccati con merci imballate."}, "analisi_operativa": {"azioni": "L'operatore in primo piano è fermo o in fase di movimentazione manuale; il muletto sullo sfondo appare statico o in manovra lenta.", "dpi": "Gilet ad alta visibilità indossato dall'operatore. Altri DPI come scarpe antinfortunistiche o elmetto non sono verificabili per la distanza."}, "limitazioni_visive": {"descrizione": "Inquadratura dall'alto che crea distorsione prospettica. Presenza di punti ciechi dietro i montanti delle scaffalature e ridotta visibilità dei dettagli in fondo alla corsia."}, "valutazione_rischi": {"ragionamento_causale": "La compresenza di un operatore a piedi e di un mezzo di movimentazione nella stessa corsia stretta aumenta il rischio di interferenza.", "sviluppi_rischiosi": "Possibile collisione o investimento se il carrello elevatore esegue manovre senza rilevare l'operatore a piedi.", "fattori_contribuenti": "Spazio di manovra limitato nella corsia e potenziale mancanza di contatto visivo diretto tra i soggetti."}}</t>
        </is>
      </c>
      <c r="E8" s="7" t="n">
        <v>65</v>
      </c>
      <c r="F8" s="7" t="inlineStr">
        <is>
          <t>Il punteggio di 65 è giustificato dalla compresenza di un operatore a piedi e di un carrello elevatore all'interno di una corsia stretta. Nonostante l'uso del gilet ad alta visibilità e la distanza tra i soggetti, la presenza di punti ciechi strutturali e lo spazio limitato di manovra configurano un rischio concreto di interferenza e potenziale collisione in caso di manovre repentine o mancato contatto visivo.</t>
        </is>
      </c>
      <c r="G8" s="7" t="n">
        <v>65.41</v>
      </c>
      <c r="H8" s="10" t="inlineStr">
        <is>
          <t>arancione</t>
        </is>
      </c>
    </row>
    <row r="9" ht="34" customHeight="1">
      <c r="A9" s="7" t="n">
        <v>7</v>
      </c>
      <c r="B9" s="7" t="n">
        <v>14</v>
      </c>
      <c r="C9" s="7" t="n">
        <v>18</v>
      </c>
      <c r="D9" s="7" t="inlineStr">
        <is>
          <t>{"analisi_scena": {"contesto": "Magazzino logistico con scaffalature industriali verticali e corridoio centrale per la movimentazione merci.", "condizioni_ambientali": "Illuminazione artificiale interna costante, pavimentazione apparentemente asciutta e sgombra nel corridoio principale."}, "elementi_rilevati": {"persone": "Almeno due operatori a terra visibili in primo piano; potenziale operatore a bordo del carrello elevatore sullo sfondo.", "macchinari": "Un carrello elevatore (reach truck) posizionato in fondo al corridoio; un transpallet manuale e un carrello di servizio/picking in primo piano.", "oggetti": "Scaffalature metalliche pesanti, pallet caricati con merci imballate in film plastico.", "dpi": "Gilet ad alta visibilità (giallo/arancione) chiaramente indossati dagli operatori a terra. Altri DPI (scarpe antinfortunistiche, elmetti) non sono chiaramente verificabili a causa della distanza."}, "dinamiche_e_limitazioni": {"azioni": "Gli operatori in primo piano svolgono attività manuali nei pressi del carrello di servizio. Il carrello elevatore sullo sfondo appare statico o in fase di manovra lenta.", "limiti_visibilita": "L'inquadratura dall'alto e la struttura delle scaffalature creano parziali occlusioni, limitando la visibilità dettagliata delle operazioni manuali e dei punti ciechi dietro i montanti."}, "valutazione_rischi": {"ragionamento_causale": "La compresenza di operatori a terra (pedoni) e mezzi di movimentazione semoventi nello stesso corridoio operativo rappresenta una configurazione che richiede costante coordinamento visivo.", "sviluppi_rischiosi": "Rischio di investimento o collisione qualora il carrello elevatore avanzi lungo il corridoio senza che gli operatori a terra ne avvertano la presenza, o in caso di manovre improvvise in prossimità degli angoli ciechi.", "fattori_contribuenti": "Assenza di barriere fisiche di segregazione tra flusso pedonale e veicolare nel corridoio; potenziale distrazione degli operatori focalizzati sulle attività di picking."}}</t>
        </is>
      </c>
      <c r="E9" s="7" t="n">
        <v>50</v>
      </c>
      <c r="F9" s="7" t="inlineStr">
        <is>
          <t>Il punteggio di 50 indica un livello di rischio moderato. La compresenza di operatori a piedi e un carrello elevatore nello stesso corridoio operativo, in assenza di barriere fisiche di segregazione, configura un rischio intrinseco di investimento. Tuttavia, la situazione è parzialmente mitigata dal fatto che il carrello è sullo sfondo (statico o in manovra lenta), la visibilità è buona e i pedoni indossano gilet ad alta visibilità.</t>
        </is>
      </c>
      <c r="G9" s="7" t="n">
        <v>56.16</v>
      </c>
      <c r="H9" s="10" t="inlineStr">
        <is>
          <t>arancione</t>
        </is>
      </c>
    </row>
    <row r="10" ht="34" customHeight="1">
      <c r="A10" s="7" t="n">
        <v>8</v>
      </c>
      <c r="B10" s="7" t="n">
        <v>16</v>
      </c>
      <c r="C10" s="7" t="n">
        <v>20</v>
      </c>
      <c r="D10" s="7" t="inlineStr">
        <is>
          <t>{"analisi_scena": {"contesto": "Interno di un magazzino logistico con scaffalature industriali alte disposte su entrambi i lati di un corridoio centrale con pavimentazione verde.", "persone_presenti": [{"ruolo": "Operatore a terra", "posizione": "Primo piano, parte inferiore centrale del corridoio", "abbigliamento_dpi": "Indossa una maglietta o gilet ad alta visibilità giallo. La presenza di elmetto o scarpe antinfortunistiche non è chiaramente verificabile a causa della distanza e dell'angolazione."}], "macchinari_e_attrezzature": [{"tipo": "Carrello elevatore", "posizione": "Sullo sfondo, al centro del corridoio", "stato": "Apparentemente fermo o in lento movimento"}, {"tipo": "Transpallet manuale", "posizione": "In primo piano a sinistra, vicino all'operatore", "stato": "Non utilizzato"}], "condizioni_ambientali": {"illuminazione": "Artificiale, uniforme ma con zone d'ombra dovute all'altezza delle scaffalature", "visibilita": "Limitata dalla prospettiva dall'alto e dalla distanza dei soggetti sullo sfondo"}, "analisi_sicurezza": {"rischi_rilevati": "Presenza simultanea di un operatore a terra e di un carrello elevatore nello stesso corridoio stretto.", "sviluppi_rischiosi_plausibili": "Rischio di investimento dell'operatore a terra in caso di manovra improvvisa del carrello o mancata visibilità da parte del conducente.", "fattori_contribuenti": "Spazio di manovra ristretto nel corridoio e potenziale distrazione degli operatori.", "limitazioni_osservative": "L'altezza e l'angolo della telecamera impediscono di confermare l'uso di tutti i DPI necessari e l'esatta direzione dello sguardo del conducente del carrello."}}}</t>
        </is>
      </c>
      <c r="E10" s="7" t="n">
        <v>65</v>
      </c>
      <c r="F10" s="7" t="inlineStr">
        <is>
          <t>Il punteggio di 65 è giustificato dalla compresenza di un operatore a terra e di un carrello elevatore all'interno dello stesso corridoio stretto, in assenza di barriere fisiche di segregazione. Sebbene l'operatore indossi un gilet ad alta visibilità e il mezzo sembri muoversi lentamente o essere fermo, la configurazione spaziale e le potenziali zone d'ombra creano un rischio concreto di investimento dovuto a distrazioni o manovre impreviste.</t>
        </is>
      </c>
      <c r="G10" s="7" t="n">
        <v>65.20999999999999</v>
      </c>
      <c r="H10" s="10" t="inlineStr">
        <is>
          <t>arancione</t>
        </is>
      </c>
    </row>
    <row r="11" ht="34" customHeight="1">
      <c r="A11" s="7" t="n">
        <v>9</v>
      </c>
      <c r="B11" s="7" t="n">
        <v>18</v>
      </c>
      <c r="C11" s="7" t="n">
        <v>22</v>
      </c>
      <c r="D11" s="7" t="inlineStr">
        <is>
          <t>{"analisi_temporale": {"inizio_s": 18.0, "fine_s": 22.0, "durata_s": 4.0}, "descrizione_generale": "Inquadratura dall'alto di una corsia di un magazzino logistico con scaffalature industriali alte su entrambi i lati. Si osserva la compresenza di operatori a piedi e mezzi di movimentazione.", "contesto_industriale": "Magazzino di stoccaggio e logistica con corsie strette e scaffalature verticali a più livelli cariche di merci pallettizzate.", "elementi_rilevati": {"persone": [{"ruolo": "Operatore a terra", "posizione": "Primo piano, parte inferiore dell'inquadratura", "abbigliamento_dpi": "Indossa una maglietta o gilet ad alta visibilità di colore giallo. Altri DPI non sono chiaramente distinguibili a causa della risoluzione."}], "macchinari_e_attrezzature": [{"tipo": "Carrello elevatore (muletto)", "posizione": "Sullo sfondo, al centro della corsia", "stato": "In transito o stazionario nella corsia di marcia"}, {"tipo": "Transpallet manuale o carrello di prelievo", "posizione": "In primo piano vicino all'operatore", "stato": "Stazionario"}]}, "condizioni_ambientali_e_visive": {"illuminazione": "Artificiale, uniforme ma tipica da interni industriali.", "limiti_visibilita": "Inquadratura grandangolare dall'alto (telecamera di sicurezza) che crea distorsione prospettica. La distanza del carrello elevatore limita la visibilità dei dettagli operativi e della direzione dello sguardo del conducente."}, "valutazione_rischi_safety": {"dinamica_in_corso": "Compresenza nello stesso corridoio di un carrello elevatore in movimento (o pronto al movimento) e di personale a piedi in prossimità di attrezzature manuali.", "fattori_contribuenti": "Spazio di manovra limitato dalla presenza di scaffalature e merci; potenziale mancanza di barriere fisiche di separazione tra flusso pedonale e veicolare nella corsia.", "sviluppi_rischiosi_plausibili": ["Rischio di investimento o schiacciamento del pedone in caso di manovra improvvisa o retromarcia del carrello elevatore senza adeguata visibilità.", "Collisione tra il transpallet manuale e il carrello elevatore dovuto a distrazione o spazi di frenata ridotti."]}}</t>
        </is>
      </c>
      <c r="E11" s="7" t="n">
        <v>60</v>
      </c>
      <c r="F11" s="7" t="inlineStr">
        <is>
          <t>Il punteggio di 60 riflette un rischio moderato-alto dovuto alla compresenza di un operatore a piedi e di un carrello elevatore all'interno della stessa corsia stretta senza barriere fisiche di separazione. Sebbene l'operatore indossi un gilet ad alta visibilità e il carrello sia sullo sfondo, la mancanza di segregazione dei flussi pedonali e veicolari in spazi ristretti rappresenta un potenziale pericolo di investimento o schiacciamento in caso di manovre improvvise o distrazioni.</t>
        </is>
      </c>
      <c r="G11" s="7" t="n">
        <v>62.08</v>
      </c>
      <c r="H11" s="10" t="inlineStr">
        <is>
          <t>arancione</t>
        </is>
      </c>
    </row>
    <row r="12" ht="34" customHeight="1">
      <c r="A12" s="7" t="n">
        <v>10</v>
      </c>
      <c r="B12" s="7" t="n">
        <v>20</v>
      </c>
      <c r="C12" s="7" t="n">
        <v>24</v>
      </c>
      <c r="D12" s="7" t="inlineStr">
        <is>
          <t>{"analisi_scena": {"descrizione_generale": "Ripresa dall'alto di una corsia stretta in un magazzino logistico con scaffalature industriali verticali.", "contesto": "Stoccaggio e movimentazione merci in ambito logistico.", "condizioni_ambientali": "Illuminazione artificiale interna, pavimentazione industriale verde con corsia definita."}, "soggetti_e_asset": {"persone": [{"ruolo": "Operatore a terra", "posizione": "In primo piano, vicino a un carrello manuale", "dpi_osservabili": "Gilet o maglia ad alta visibilità giallo. L'uso di elmetto o scarpe antinfortunistiche non è chiaramente distinguibile a causa della distanza."}], "macchinari": [{"tipo": "Carrello elevatore", "stato": "Attivo e posizionato lungo la corsia di stoccaggio"}], "oggetti": "Scaffalature metalliche portapallet cariche di merci imballate."}, "dinamiche_e_rischi": {"azioni_osservabili": "Il carrello elevatore è posizionato nella corsia mentre l'operatore a terra si trova all'estremità della stessa area di transito.", "limiti_visivi": "La prospettiva zenitale e la distanza non permettono di verificare con certezza tutti i DPI individuali o lo stato di attivazione dei segnalatori acustici/visivi del carrello.", "ragionamento_causale": "La presenza simultanea di un mezzo in movimento e di un pedone in una corsia di larghezza ridotta genera un'area di potenziale interferenza.", "sviluppi_rischiosi": "Rischio di investimento o schiacciamento del pedone qualora il carrello effettui manovre in retromarcia senza visibilità. Rischio di caduta materiali dall'alto durante il prelievo dai livelli superiori.", "fattori_contribuenti": "Spazio di manovra ristretto e assenza di segregazione fisica tra percorsi pedonali e veicolari nella corsia."}}</t>
        </is>
      </c>
      <c r="E12" s="7" t="n">
        <v>75</v>
      </c>
      <c r="F12" s="7" t="inlineStr">
        <is>
          <t>La compresenza di un operatore a terra e di un carrello elevatore attivo all'interno di una corsia di stoccaggio stretta, priva di segregazione fisica tra flussi pedonali e veicolari, genera un rischio elevato di investimento o schiacciamento. Sebbene l'operatore indossi un gilet ad alta visibilità, lo spazio di manovra ridotto e la potenziale visibilità limitata del conducente durante le manovre aumentano sensibilmente la criticità.</t>
        </is>
      </c>
      <c r="G12" s="7" t="n">
        <v>73.58</v>
      </c>
      <c r="H12" s="10" t="inlineStr">
        <is>
          <t>arancione</t>
        </is>
      </c>
    </row>
    <row r="13" ht="34" customHeight="1">
      <c r="A13" s="7" t="n">
        <v>11</v>
      </c>
      <c r="B13" s="7" t="n">
        <v>22</v>
      </c>
      <c r="C13" s="7" t="n">
        <v>26</v>
      </c>
      <c r="D13" s="7" t="inlineStr">
        <is>
          <t>{"contesto_e_scena": {"descrizione_generale": "Inquadratura dall'alto di una corsia di un magazzino logistico con scaffalature industriali alte e merce pallettizzata.", "condizioni_ambientali": "Illuminazione interna artificiale uniforme, pavimentazione verde con segnaletica non chiaramente visibile."}, "soggetti_e_macchinari": {"persone": [{"ruolo": "Operatore a terra", "posizione": "Parte inferiore della corsia, vicino a un transpallet", "dpi_osservabili": "Gilet o maglietta ad alta visibilità gialla. Elmetto e scarpe antinfortunistiche non chiaramente distinguibili per la distanza."}], "macchinari": [{"tipo": "Carrello elevatore (forklift) giallo", "stato": "Posizionato al centro della corsia, apparentemente operativo."}, {"tipo": "Transpallet manuale", "stato": "Fermo in prossimità dell'operatore a terra."}]}, "analisi_sicurezza": {"interazioni_rilevanti": "Presenza contemporanea di un carrello elevatore operativo e di un operatore a terra nella stessa corsia di lavoro.", "limitazioni_visive": "La visuale dall'alto e la distanza riducono la precisione nel valutare i dettagli dei DPI e la direzione esatta dello sguardo dell'operatore del carrello.", "rischi_potenziali": "Rischio di investimento o schiacciamento dell'operatore a terra qualora entrasse nell'area di manovra del carrello elevatore senza adeguata coordinazione o comunicazione visiva.", "fattori_contribuenti": "Spazio di manovra limitato dalla larghezza della corsia e dalla presenza di attrezzature a terra."}}</t>
        </is>
      </c>
      <c r="E13" s="7" t="n">
        <v>70</v>
      </c>
      <c r="F13" s="7" t="inlineStr">
        <is>
          <t>La compresenza di un carrello elevatore operativo e di un operatore a terra all'interno della stessa corsia stretta configura un rischio medio-alto (70) di investimento o schiacciamento. Sebbene l'operatore indossi un gilet ad alta visibilità, lo spazio di manovra limitato e la mancanza di barriere fisiche di separazione aumentano la criticità della situazione.</t>
        </is>
      </c>
      <c r="G13" s="7" t="n">
        <v>71.43000000000001</v>
      </c>
      <c r="H13" s="10" t="inlineStr">
        <is>
          <t>arancione</t>
        </is>
      </c>
    </row>
    <row r="14" ht="34" customHeight="1">
      <c r="A14" s="7" t="n">
        <v>12</v>
      </c>
      <c r="B14" s="7" t="n">
        <v>24</v>
      </c>
      <c r="C14" s="7" t="n">
        <v>28</v>
      </c>
      <c r="D14" s="7" t="inlineStr">
        <is>
          <t>{"scena_generale": {"descrizione": "Inquadratura dall'alto di una corsia di un magazzino logistico con scaffalature industriali su entrambi i lati.", "contesto": "Stoccaggio e movimentazione merci in ambito logistico/industriale."}, "soggetti_e_risorse": {"persone": "Almeno due operatori a terra visibili nella parte inferiore della corsia.", "macchinari": "Un carrello elevatore (muletto) giallo operativo al centro della corsia.", "oggetti": "Scaffalature metalliche verticali a più livelli cariche di pallet con merci imballate."}, "dinamica_osservata": {"azione": "Il muletto è in fase di manovra vicino alle scaffalature. Improvvisamente, l'intera struttura di destra subisce un cedimento strutturale catastrofico, collassando verso il centro della corsia.", "condizioni_ambientali": "Illuminazione interna artificiale standard, visibilità inizialmente buona, poi compromessa dal crollo di merci e detriti."}, "analisi_sicurezza": {"evento": "Incidente grave con crollo strutturale massivo delle scaffalature.", "fattori_contribuenti_probabili": "Possibile impatto del carrello elevatore contro i montanti della scaffalatura o sovraccarico strutturale della stessa. L'esatta causa iniziale è parzialmente ambigua a causa della distanza della telecamera.", "sviluppi_rischiosi": "Grave rischio di schiacciamento e seppellimento per gli operatori a terra e per il conducente del muletto. Rischio di effetto domino su altre scaffalature.", "dpi_rilevati": "Presenza di giubbotti ad alta visibilità (giallo/arancione) sugli operatori a terra. L'uso di elmetti protettivi è difficilmente verificabile con certezza a causa della risoluzione."}}</t>
        </is>
      </c>
      <c r="E14" s="7" t="n">
        <v>100</v>
      </c>
      <c r="F14" s="7" t="inlineStr">
        <is>
          <t>Il punteggio massimo è giustificato dal crollo strutturale catastrofico e improvviso delle scaffalature pesanti cariche di merci direttamente nella corsia di transito. La presenza di almeno due operatori a terra e del conducente del muletto nell'area d'impatto immediato configura un pericolo estremo e imminente di morte o lesioni gravissime per schiacciamento e seppellimento, oltre al rischio di effetto domino.</t>
        </is>
      </c>
      <c r="G14" s="7" t="n">
        <v>96.06999999999999</v>
      </c>
      <c r="H14" s="11" t="inlineStr">
        <is>
          <t>rosso</t>
        </is>
      </c>
    </row>
    <row r="15" ht="34" customHeight="1">
      <c r="A15" s="7" t="n">
        <v>13</v>
      </c>
      <c r="B15" s="7" t="n">
        <v>26</v>
      </c>
      <c r="C15" s="7" t="n">
        <v>30</v>
      </c>
      <c r="D15" s="7" t="inlineStr">
        <is>
          <t>{"analisi_scena": {"descrizione_generale": "Crollo catastrofico di una scaffalatura industriale all'interno di un magazzino.", "contesto": "Magazzino logistico ad alta densità con corsie strette e scaffalature verticali multipiano.", "persone_presenti": "Almeno due operatori a terra visibili nei primi istanti nella parte inferiore dell'inquadratura.", "oggetti_e_macchinari": {"macchinari": "Un carrello elevatore giallo posizionato nel corridoio centrale.", "oggetti": "Scaffalature metalliche pesanti cariche di pallet con merci imballate chiare."}, "dinamica_ed_azioni": "Il carrello è nel corridoio quando la scaffalatura destra subisce un cedimento strutturale improvviso, collassando completamente e travolgendo l'area circostante.", "condizioni_ambientali": "Illuminazione interna artificiale. Visibilità inizialmente buona, azzerata rapidamente dal crollo e dalla densa nube di polvere.", "limiti_osservativi": "La distanza della telecamera e la rapidità del crollo impediscono di vedere l'esatta causa dell'innesco e le condizioni finali dei lavoratori.", "analisi_sicurezza": {"ragionamento_causale": "Il collasso strutturale della scaffalatura potrebbe derivare da un urto del carrello o da un cedimento strutturale preesistente/sovraccarico, non chiaramente distinguibili.", "sviluppi_rischiosi": "Grave incidente da schiacciamento e seppellimento con elevato rischio di lesioni fatali per il personale presente.", "fattori_contribuenti": "Altezza elevata dello stoccaggio, prossimità dei lavoratori alle strutture di carico, potenziale instabilità strutturale.", "dpi_rilevati": "Un operatore indossa indumenti ad alta visibilità. Altri DPI come elmetti non sono chiaramente identificabili a causa della risoluzione."}}}</t>
        </is>
      </c>
      <c r="E15" s="7" t="n">
        <v>100</v>
      </c>
      <c r="F15" s="7" t="inlineStr">
        <is>
          <t>Il punteggio massimo di 100 è motivato dal crollo catastrofico e improvviso di scaffalature industriali pesanti cariche di merci direttamente sopra un'area di lavoro in cui sono presenti operatori a terra. Questo evento genera un rischio immediato ed estremo di schiacciamento, seppellimento e lesioni fatali per il personale coinvolto, con l'azzeramento della visibilità e l'impossibilità di una fuga sicura.</t>
        </is>
      </c>
      <c r="G15" s="7" t="n">
        <v>98.43000000000001</v>
      </c>
      <c r="H15" s="11" t="inlineStr">
        <is>
          <t>rosso</t>
        </is>
      </c>
    </row>
    <row r="16" ht="34" customHeight="1">
      <c r="A16" s="7" t="n">
        <v>14</v>
      </c>
      <c r="B16" s="7" t="n">
        <v>28</v>
      </c>
      <c r="C16" s="7" t="n">
        <v>32</v>
      </c>
      <c r="D16" s="7" t="inlineStr">
        <is>
          <t>{"analisi_scena": {"descrizione_generale": "Collasso strutturale catastrofico in corso di scaffalature industriali all'interno di un magazzino.", "contesto": "Logistico o industriale, area di stoccaggio intensivo con corsie strette e scaffalature alte."}, "elementi_rilevati": {"persone": "Nessun operatore chiaramente visibile nell'area d'impatto immediato.", "macchinari": "Presenza parziale di un carrello elevatore o trasloelevatore giallo sullo sfondo, parzialmente travolto.", "oggetti": "Scaffalature metalliche, pallet carichi di merci, scatole di cartone e detriti diffusi.", "dpi": "Non rilevabili data l'assenza di personale visibile."}, "dinamica_e_ambiente": {"azioni": "Cedimento strutturale a catena delle scaffalature con caduta di merci e collasso dei montanti.", "condizioni_ambientali": "Illuminazione artificiale interna, rapida saturazione dell'aria con polvere e detriti.", "limiti_visibilita": "Forte limitazione della visibilità causata dalla nube di polvere e dalla densità dei detriti in caduta."}, "valutazione_sicurezza": {"ragionamento_causale": "Il cedimento iniziale di una sezione ha generato un effetto domino sulle strutture adiacenti a causa del sovraccarico dinamico.", "fattori_contribuenti": "Instabilità strutturale delle scaffalature e possibile effetto di propagazione del carico.", "sviluppi_rischiosi": "Grave rischio di schiacciamento per eventuali operatori nelle vicinanze, instabilità residua dell'intero edificio e rischio di ulteriori crolli."}}</t>
        </is>
      </c>
      <c r="E16" s="7" t="n">
        <v>100</v>
      </c>
      <c r="F16" s="7" t="inlineStr">
        <is>
          <t>Il collasso strutturale catastrofico a catena (effetto domino) di scaffalature industriali pesanti rappresenta uno scenario di massimo rischio (100). La caduta di merci voluminose, la generazione di dense nubi di polvere che azzerano la visibilità e il parziale travolgimento di un carrello elevatore comportano un pericolo immediato e letale per l'incolumità del personale, oltre a minacciare la stabilità strutturale dell'intero edificio.</t>
        </is>
      </c>
      <c r="G16" s="7" t="n">
        <v>99.37</v>
      </c>
      <c r="H16" s="11" t="inlineStr">
        <is>
          <t>rosso</t>
        </is>
      </c>
    </row>
    <row r="17" ht="34" customHeight="1">
      <c r="A17" s="7" t="n">
        <v>15</v>
      </c>
      <c r="B17" s="7" t="n">
        <v>30</v>
      </c>
      <c r="C17" s="7" t="n">
        <v>34</v>
      </c>
      <c r="D17" s="7" t="inlineStr">
        <is>
          <t>{"analisi_scena": {"descrizione_generale": "Collasso catastrofico di scaffalature industriali all'interno di un corridoio di un magazzino, con accumulo di detriti e polvere.", "contesto": "Magazzino logistico ad alta densità di stoccaggio."}, "elementi_rilevati": {"persone": "Nessuna persona visibile nella clip.", "oggetti": "Pallet in legno (gialli e rossi), scatole di cartone, merci stoccate, elementi metallici delle scaffalature collassate.", "macchinari": "Possibile presenza di un carrello elevatore o transpallet parzialmente sepolto dalle macerie al centro del corridoio.", "dpi": "Non rilevabili a causa dell'assenza di personale visibile."}, "dinamica_e_ambiente": {"azioni": "Cedimento strutturale progressivo delle scaffalature con caduta di merci e propagazione di una densa nube di polvere.", "condizioni_ambientali": "Illuminazione interna artificiale, visibilità gravemente compromessa dalla polvere in sospensione e dai detriti.", "limiti_visivi": "Forte occlusione dovuta al crollo e alla polvere; risoluzione video ridotta che limita l'identificazione di dettagli strutturali specifici."}, "valutazione_sicurezza": {"ragionamento_causale": "Il crollo massivo suggerisce un cedimento strutturale, potenzialmente innescato da un impatto meccanico pregresso o da un sovraccarico delle scaffalature.", "sviluppi_rischiosi": "Grave incidente in corso. Rischio estremo di schiacciamento o seppellimento per eventuali operatori nelle vicinanze e potenziale effetto domino su campate adiacenti.", "fattori_contribuenti": "Instabilità strutturale delle scaffalature, elevato carico stoccato, possibile assenza di barriere di protezione anti-impatto."}}</t>
        </is>
      </c>
      <c r="E17" s="7" t="n">
        <v>98</v>
      </c>
      <c r="F17" s="7" t="inlineStr">
        <is>
          <t>Il punteggio riflette una situazione di imminente e gravissimo pericolo dovuta al crollo catastrofico e progressivo delle scaffalature pesanti. La presenza di un mezzo di movimentazione parzialmente sepolto dalle macerie suggerisce il potenziale coinvolgimento di operatori. Il rischio di schiacciamento, seppellimento ed effetto domino sulle campate adiacenti è ai massimi livelli, aggravato dalla visibilità compromessa dalla densa nube di polvere.</t>
        </is>
      </c>
      <c r="G17" s="7" t="n">
        <v>98.55</v>
      </c>
      <c r="H17" s="11" t="inlineStr">
        <is>
          <t>rosso</t>
        </is>
      </c>
    </row>
    <row r="18" ht="34" customHeight="1">
      <c r="A18" s="7" t="n">
        <v>16</v>
      </c>
      <c r="B18" s="7" t="n">
        <v>32</v>
      </c>
      <c r="C18" s="7" t="n">
        <v>35.867</v>
      </c>
      <c r="D18" s="7" t="inlineStr">
        <is>
          <t>{"metadati": {"finestra_temporale": {"inizio_s": 32.0, "fine_s": 35.867, "durata_s": 3.867}, "lingua": "italiano"}, "descrizione_scena": {"generale": "Inquadratura interna di una struttura a griglia metallica contenente un ammasso caotico di detriti, vegetazione e materiali industriali.", "contesto": "Ambito industriale, logistico o di trattamento rifiuti/agricolo, caratterizzato da un sistema di contenimento o convogliamento a gabbia."}, "elementi_osservati": {"persone": "Nessun operatore o persona visibile nell'area.", "oggetti": "Pallet in legno parzialmente distrutti (colore giallo e rosso), elementi metallici lineari, abbondante fogliame e rami verdi.", "macchinari": "Struttura perimetrale a griglia metallica, assimilabile a un canale di scorrimento o scivolo di carico.", "dpi": "Non rilevabili data l'assenza di personale."}, "condizioni_ambientali_e_visibilita": {"illuminazione": "Scarsa, con una forte dominante cromatica verde che altera la percezione dei colori reali.", "visibilita": "Limitata a causa della densità dei detriti accumulati e della possibile presenza di polvere in sospensione post-evento."}, "analisi_sicurezza": {"dinamica_osservabile": "Stato successivo a un probabile crollo, cedimento strutturale o scarico incontrollato di materiali pesanti e vegetazione all'interno del canale.", "ragionamento_causale": "L'accumulo disordinato suggerisce un sovraccarico del sistema di trasporto o il cedimento di una barriera di contenimento superiore.", "sviluppi_rischiosi_plausibili": ["Rischio di ulteriore instabilità del cumulo con possibile proiezione di materiali all'esterno della griglia.", "Pericolo di intasamento critico del sistema di scarico con conseguente blocco dei macchinari collegati.", "Rischio di lesioni per gli operatori durante le successive fasi di rimozione manuale o meccanica dei detriti taglienti."], "fattori_contribuenti": "Presenza simultanea di materiali eterogenei (legno, metallo, vegetazione) che favorisce l'incastro e l'ostruzione."}}</t>
        </is>
      </c>
      <c r="E18" s="7" t="n">
        <v>70</v>
      </c>
      <c r="F18" s="7" t="inlineStr">
        <is>
          <t>Il punteggio di 70 è giustificato dalla presenza di un accumulo caotico e instabile di detriti industriali e vegetazione all'interno di una griglia metallica, indicativo di un probabile cedimento strutturale o scarico incontrollato. Sebbene non vi siano operatori visibili nell'immediato, lo stato dei luoghi presenta rischi significativi di ulteriore crollo, intasamento dei macchinari e potenziali infortuni gravi durante le inevitabili operazioni di rimozione e ripristino.</t>
        </is>
      </c>
      <c r="G18" s="7" t="n">
        <v>81.42</v>
      </c>
      <c r="H18" s="11" t="inlineStr">
        <is>
          <t>rosso</t>
        </is>
      </c>
    </row>
    <row r="19" ht="34" customHeight="1">
      <c r="A19" s="7" t="n">
        <v>17</v>
      </c>
      <c r="B19" s="7" t="n">
        <v>34</v>
      </c>
      <c r="C19" s="7" t="n">
        <v>35.867</v>
      </c>
      <c r="D19" s="7" t="inlineStr">
        <is>
          <t>{"analisi_temporale": {"inizio_s": 34.0, "fine_s": 35.867, "durata_s": 1.867}, "descrizione_scena": {"generale": "Inquadratura dall'alto di un canale di scorrimento o nastro trasportatore contenente materiale vegetale misto a detriti industriali.", "contesto": "Gestione rifiuti, impianto di compostaggio o lavorazione agricola/forestale."}, "elementi_rilevati": {"persone": "Nessuna persona visibile nell'area monitorata.", "macchinari": "Canale di convogliamento o nastro trasportatore con paratie laterali grigliate.", "oggetti": "Abbondante materiale organico (foglie, rami, piante), strutture metalliche rosse (barre/telai) e un elemento grigliato giallo (plastica o metallo).", "dpi": "Non applicabile (nessun operatore presente)."}, "condizioni_ambientali_e_visibilita": {"illuminazione": "Monocromatica verde, tipica di sistemi di visione notturna o filtri specifici, con contrasto medio-basso.", "visibilita": "Limitata dalla densità del materiale accumulato che occlude la superficie del nastro e rende difficile valutare la profondità o la presenza di oggetti estranei sul fondo."}, "analisi_sicurezza": {"azioni_osservabili": "Accumulo e potenziale scorrimento di materiale misto all'interno del canale.", "ragionamento_causale": "La presenza simultanea di rami voluminosi e strutture rigide (rosse e gialle) indica un flusso di materiale non uniformemente pre-selezionato.", "fattori_contribuenti": "Elevata densità di carico e presenza di corpi estranei rigidi di grandi dimensioni nel flusso di materiale organico.", "sviluppi_rischiosi_plausibili": ["Rischio di inceppamento o blocco meccanico del nastro trasportatore a causa dei telai metallici/plastici incastrati.", "Rischio di danneggiamento dei macchinari di triturazione o lavorazione a valle se non progettati per trattare materiali metallici o plastici rigidi."]}}</t>
        </is>
      </c>
      <c r="E19" s="7" t="n">
        <v>45</v>
      </c>
      <c r="F19" s="7" t="inlineStr">
        <is>
          <t>Il punteggio di 45 indica un rischio operativo moderato. Non essendoci operatori nell'area, non vi è un pericolo immediato per la sicurezza del personale. Tuttavia, la presenza di corpi estranei rigidi e voluminosi (strutture metalliche e plastiche) nel flusso di materiale organico comporta un rischio concreto di inceppamento del nastro trasportatore o di danneggiamento dei macchinari di triturazione a valle.</t>
        </is>
      </c>
      <c r="G19" s="7" t="n">
        <v>59.57</v>
      </c>
      <c r="H19" s="10" t="inlineStr">
        <is>
          <t>arancione</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J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16" customWidth="1" min="8" max="8"/>
    <col width="8" customWidth="1" min="9" max="9"/>
    <col width="7" customWidth="1" min="10" max="10"/>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4" t="inlineStr">
        <is>
          <t>instantaneous_risk_score_vlm</t>
        </is>
      </c>
      <c r="H1" s="4" t="inlineStr">
        <is>
          <t>score_rationale_vlm</t>
        </is>
      </c>
      <c r="I1" s="4" t="inlineStr">
        <is>
          <t>dynamic_risk_score_vlm</t>
        </is>
      </c>
      <c r="J1" s="4" t="inlineStr">
        <is>
          <t>traffic_light_color_vlm</t>
        </is>
      </c>
    </row>
    <row r="2" ht="34" customHeight="1">
      <c r="A2" s="7" t="n">
        <v>0</v>
      </c>
      <c r="B2" s="7" t="n">
        <v>0</v>
      </c>
      <c r="C2" s="7" t="n">
        <v>4</v>
      </c>
      <c r="D2" s="7" t="inlineStr">
        <is>
          <t>{"scene_state": "Un corridoio di un magazzino con scaffalature industriali alte su entrambi i lati, cariche di merci pallettizzate.", "environmental_conditions": ["Illuminazione artificiale interna", "Pavimentazione liscia di colore verde"], "people": ["Due operatori situati nella parte inferiore del corridoio"], "objects": ["Scaffalature metalliche", "Pallet con merci imballate", "Scatole"], "machines": ["Un transpallet o carrello per la movimentazione interna"], "observable_actions": ["Gli operatori sono posizionati vicino al transpallet nel corridoio"], "visible_ppe": ["Gilet ad alta visibilità"], "notes_visibility_limitations": "Inquadratura dall'alto con lente grandangolare che distorce la prospettiva; distanza elevata dai soggetti."}</t>
        </is>
      </c>
      <c r="E2" s="7" t="inlineStr">
        <is>
          <t>{"unsafe_behaviors": ["Presenza ravvicinata di pedoni al mezzo di movimentazione in un corridoio stretto"], "vulnerable_elements": ["Due operatori a piedi nel corridoio di stoccaggio"], "risk_cues": {"S1_people_vehicle_interference": 0.5, "S2_visibility_attention_reduction": 0.25, "S3_non_compliant_behavior": 0.25, "S4_vehicle_infrastructure_interference": 0.5, "S5_storage_structural_instability": 0.25, "S6_access_to_moving_mechanical_parts": 0.0, "S7_manual_handling_heavy_unstable_loads": 0.25}, "cue_confidence": 0.7, "diagnostic_notes": "La presenza di operatori a piedi vicino a un transpallet in un corridoio di stoccaggio stretto evidenzia un rischio moderato di interferenza (S1, S4). La distorsione grandangolare e la distanza limitano l'analisi di comportamenti non conformi specifici."}</t>
        </is>
      </c>
      <c r="F2" s="7" t="inlineStr">
        <is>
          <t>{"causal_chain_plausible": true, "causal_chain_text": "La compresenza di operatori a piedi e di un transpallet in un corridoio stretto riduce lo spazio di manovra sicuro. Un movimento imprevisto del mezzo o una distrazione degli operatori può causare un contatto accidentale.", "near_miss_or_incident_scenario": "Investimento o schiacciamento di un operatore a piedi da parte del transpallet durante una manovra di movimentazione nel corridoio.", "contributing_factors": ["Spazio di manovra limitato nel corridoio di stoccaggio", "Prossimità ravvicinata tra pedoni e mezzo di movimentazione", "Potenziale riduzione della visibilità e dell'attenzione nell'area di lavoro"]}</t>
        </is>
      </c>
      <c r="G2" s="7" t="n">
        <v>45</v>
      </c>
      <c r="H2" s="7" t="inlineStr">
        <is>
          <t>Il punteggio riflette un rischio moderato dovuto alla compresenza di operatori a piedi e un transpallet in un corridoio stretto, che limita lo spazio di manovra. Sebbene indossino gilet ad alta visibilità, la vicinanza al mezzo aumenta la probabilità di contatti accidentali o schiacciamenti.</t>
        </is>
      </c>
      <c r="I2" s="7" t="n">
        <v>45</v>
      </c>
      <c r="J2" s="8" t="inlineStr">
        <is>
          <t>giallo</t>
        </is>
      </c>
    </row>
    <row r="3" ht="34" customHeight="1">
      <c r="A3" s="7" t="n">
        <v>1</v>
      </c>
      <c r="B3" s="7" t="n">
        <v>2</v>
      </c>
      <c r="C3" s="7" t="n">
        <v>6</v>
      </c>
      <c r="D3" s="7" t="inlineStr">
        <is>
          <t>{"scene_state": "Corridoio di un magazzino con scaffalature industriali alte cariche di merci pallettizzate.", "environmental_conditions": ["Illuminazione artificiale interna", "Pavimentazione sgombra e pulita"], "people": ["Due operatori in primo piano in basso", "Una persona visibile in lontananza lungo il corridoio"], "objects": ["Scaffalature metalliche", "Pallet con merci imballate", "Carrello manuale con scatole", "Transpallet manuale di colore rosso"], "machines": [], "observable_actions": ["Gli operatori in primo piano sono fermi vicino al carrello", "La persona in fondo al corridoio cammina allontanandosi"], "visible_ppe": ["Gilet ad alta visibilità di colore arancione"], "notes_visibility_limitations": "Inquadratura dall'alto con effetto grandangolare (fisheye) e risoluzione limitata, che rende difficile identificare dettagli minuti come calzature di sicurezza o elmetti."}</t>
        </is>
      </c>
      <c r="E3" s="7" t="inlineStr">
        <is>
          <t>{"unsafe_behaviors": [], "vulnerable_elements": ["Operatori nel corridoio"], "risk_cues": {"S1_people_vehicle_interference": 0.0, "S2_visibility_attention_reduction": 0.0, "S3_non_compliant_behavior": 0.0, "S4_vehicle_infrastructure_interference": 0.0, "S5_storage_structural_instability": 0.25, "S6_access_to_moving_mechanical_parts": 0.0, "S7_manual_handling_heavy_unstable_loads": 0.25}, "cue_confidence": 0.8, "diagnostic_notes": "La scena mostra un corridoio sgombro e ben illuminato. Gli operatori sono fermi vicino a un carrello manuale e non vi sono mezzi di movimentazione motorizzati in transito. La presenza di scaffalature industriali alte e di attrezzature per la movimentazione manuale (transpallet e carrello) costituisce un rischio intrinseco standard per l'ambiente (valutato come debole evidenza), ma non si rilevano situazioni di pericolo attivo, instabilità dei carichi o comportamenti non conformità comportamenti non conformi."}</t>
        </is>
      </c>
      <c r="F3" s="7" t="inlineStr">
        <is>
          <t>{"causal_chain_plausible": false, "causal_chain_text": "La scena mostra un ambiente di lavoro ordinato e conforme. Non si rilevano comportamenti non conformi o instabilità dei carichi che possano innescare una catena causale verso un incidente.", "near_miss_or_incident_scenario": "Nessuno scenario di near miss o incidente è ritenuto probabile nelle condizioni attuali.", "contributing_factors": ["Presenza di scaffalature industriali alte", "Movimentazione manuale dei carichi con transpallet e carrello"]}</t>
        </is>
      </c>
      <c r="G3" s="7" t="n">
        <v>15</v>
      </c>
      <c r="H3" s="7" t="inlineStr">
        <is>
          <t>L'ambiente si presenta ordinato, pulito e ben illuminato, senza evidenze di comportamenti non conformi o pericoli immediati. Il punteggio riflette unicamente il rischio intrinseco standard legato alla presenza di scaffalature alte e alla movimentazione manuale dei carichi.</t>
        </is>
      </c>
      <c r="I3" s="7" t="n">
        <v>27</v>
      </c>
      <c r="J3" s="8" t="inlineStr">
        <is>
          <t>giallo</t>
        </is>
      </c>
    </row>
    <row r="4" ht="34" customHeight="1">
      <c r="A4" s="7" t="n">
        <v>2</v>
      </c>
      <c r="B4" s="7" t="n">
        <v>4</v>
      </c>
      <c r="C4" s="7" t="n">
        <v>8</v>
      </c>
      <c r="D4" s="7" t="inlineStr">
        <is>
          <t>{"scene_state": "Corridoio di un magazzino con scaffalature industriali alte su entrambi i lati cariche di merci pallettizzate.", "environmental_conditions": ["Illuminazione artificiale interna uniforme", "Pavimentazione liscia di colore verde", "Ambiente pulito e ordinato"], "people": ["Due operatori in primo piano in basso", "Una persona visibile in lontananza lungo il corridoio"], "objects": ["Pallet avvolti in pellicola protettiva sulle scaffalature", "Scatole di cartone", "Carrello per il trasporto di merci"], "machines": ["Transpallet manuale posizionato vicino ai lavoratori"], "observable_actions": ["I lavoratori sono fermi o compiono piccoli movimenti vicino al carrello merci"], "visible_ppe": ["Indumenti ad alta visibilità di colore giallo e arancione"], "notes_visibility_limitations": "Inquadratura dall'alto con lente grandangolare che distorce i dettagli e rende difficile l'identificazione precisa di piccoli DPI."}</t>
        </is>
      </c>
      <c r="E4" s="7" t="inlineStr">
        <is>
          <t>{"unsafe_behaviors": [], "vulnerable_elements": ["Due operatori in primo piano nel corridoio", "Persona in lontananza lungo il corridoio"], "risk_cues": {"S1_people_vehicle_interference": 0.25, "S2_visibility_attention_reduction": 0.25, "S3_non_compliant_behavior": 0.0, "S4_vehicle_infrastructure_interference": 0.2, "S5_storage_structural_instability": 0.25, "S6_access_to_moving_mechanical_parts": 0.0, "S7_manual_handling_heavy_unstable_loads": 0.25}, "cue_confidence": 0.75, "diagnostic_notes": "L'ambiente si presenta ordinato e pulito, con gli operatori che indossano indumenti ad alta visibilità. La presenza di un transpallet manuale e di scaffalature alte cariche di pallet configura un livello di rischio intrinseco basso e gestito. Non si rilevano comportamenti non conformi o interferenze critiche. L'inquadratura dall'alto e la lente grandangolare limitano la visibilità dei dettagli più dettagliata dei dettagliata di piccoli."}</t>
        </is>
      </c>
      <c r="F4" s="7" t="inlineStr">
        <is>
          <t>{"causal_chain_plausible": false, "causal_chain_text": "Non si identifica una catena causale plausibile per un incidente significativo. L'ambiente è pulito, ordinato e i lavoratori indossano DPI ad alta visibilità, riducendo al minimo i rischi di interferenza.", "near_miss_or_incident_scenario": "Nessun scenario di rilievo. L'unico rischio residuo è rappresentato da un potenziale e lieve inciampo accidentale sul transpallet manuale fermo nel corridoio.", "contributing_factors": ["Presenza di un transpallet manuale fermo nel corridoio di transito", "Limitazione visiva dei piccoli dettagli dovuta all'inquadratura grandangolare dall'alto"]}</t>
        </is>
      </c>
      <c r="G4" s="7" t="n">
        <v>15</v>
      </c>
      <c r="H4" s="7" t="inlineStr">
        <is>
          <t>L'ambiente di lavoro si presenta pulito e ordinato, con gli operatori che indossano regolarmente i DPI ad alta visibilità. Non si rilevano comportamenti non conformi o interferenze critiche, mantenendo il livello di rischio estremamente basso e limitato ai pericoli intrinseci dell'area.</t>
        </is>
      </c>
      <c r="I4" s="7" t="n">
        <v>19.8</v>
      </c>
      <c r="J4" s="9" t="inlineStr">
        <is>
          <t>verde</t>
        </is>
      </c>
    </row>
    <row r="5" ht="34" customHeight="1">
      <c r="A5" s="7" t="n">
        <v>3</v>
      </c>
      <c r="B5" s="7" t="n">
        <v>6</v>
      </c>
      <c r="C5" s="7" t="n">
        <v>10</v>
      </c>
      <c r="D5" s="7" t="inlineStr">
        <is>
          <t>{"scene_state": "Corsia di un magazzino con scaffalature industriali alte su entrambi i lati, cariche di merci pallettizzate.", "environmental_conditions": ["Illuminazione artificiale interna uniforme", "Pavimentazione di colore verde, apparentemente pulita e sgombra"], "people": ["Un operatore in primo piano in basso al centro", "Un secondo operatore visibile in lontananza lungo la corsia"], "objects": ["Scaffalature metalliche", "Pallet con merci imballate in pellicola plastica", "Carrello manuale o transpallet"], "machines": ["Transpallet manuale posizionato nella corsia"], "observable_actions": ["L'operatore in primo piano è fermo vicino al transpallet", "L'operatore sullo sfondo è statico o in movimento lento lungo la corsia"], "visible_ppe": ["Giacca o gilet ad alta visibilità di colore giallo/arancione indossato dall'operatore in primo piano"], "notes_visibility_limitations": "Inquadratura dall'alto con lente grandangolare che distorce i dettagli ai margini e rende difficile identificare con precisione i dettagli dei DPI e i volti delle persone."}</t>
        </is>
      </c>
      <c r="E5" s="7" t="inlineStr">
        <is>
          <t>{"unsafe_behaviors": [], "vulnerable_elements": ["Operatore in primo piano", "Operatore sullo sfondo"], "risk_cues": {"S1_people_vehicle_interference": 0.25, "S2_visibility_attention_reduction": 0.25, "S3_non_compliant_behavior": 0.0, "S4_vehicle_infrastructure_interference": 0.0, "S5_storage_structural_instability": 0.25, "S6_access_to_moving_mechanical_parts": 0.0, "S7_manual_handling_heavy_unstable_loads": 0.0}, "cue_confidence": 0.8, "diagnostic_notes": "La scena presenta una situazione di lavoro stabile e apparentemente sicura. Gli operatori sono statici e il transpallet manuale non è in fase di manovra attiva, minimizzando i rischi di interferenza immediata. I punteggi bassi ma non nulli su S1, S2 e S5 riflettono i rischi intrinseci legati alla presenza di scaffalature alte e alla condivisione degli spazi con attrezzature di movimentazione, oltre ai limiti di visibilità imposti dall'inquadratura grandangolare."}</t>
        </is>
      </c>
      <c r="F5" s="7" t="inlineStr">
        <is>
          <t>{"causal_chain_plausible": true, "causal_chain_text": "La compresenza di operatori a piedi e di un transpallet in una corsia stretta con scaffalature alte configura un rischio intrinseco. Se l'operatore in primo piano iniziasse a movimentare il transpallet senza accertarsi della posizione del collega sullo sfondo, o se si verificasse un urto accidentale contro i montanti delle scaffalature, potrebbe innescarsi la caduta di materiali dall'alto o un investimento.", "near_miss_or_incident_scenario": "Urto accidentale della scaffalatura da parte del transpallet manuale con potenziale caduta di oggetti o instabilità del carico pallettizzato, oppure interferenza stretta con l'operatore sullo sfondo.", "contributing_factors": ["Presenza di attrezzature di movimentazione e pedoni nello stesso spazio di lavoro", "Stoccaggio di merci pallettizzate ad altezze elevate", "Limitazioni di visibilità e percezione dello spazio dovute alla configurazione della corsia"]}</t>
        </is>
      </c>
      <c r="G5" s="7" t="n">
        <v>15</v>
      </c>
      <c r="H5" s="7" t="inlineStr">
        <is>
          <t>Il livello di rischio è basso poiché gli operatori sono attualmente statici e non vi sono manovre attive con il transpallet. Permangono solo i rischi intrinseci legati alla presenza di scaffalature alte e alla condivisione dello spazio di lavoro.</t>
        </is>
      </c>
      <c r="I5" s="7" t="n">
        <v>16.92</v>
      </c>
      <c r="J5" s="9" t="inlineStr">
        <is>
          <t>verde</t>
        </is>
      </c>
    </row>
    <row r="6" ht="34" customHeight="1">
      <c r="A6" s="7" t="n">
        <v>4</v>
      </c>
      <c r="B6" s="7" t="n">
        <v>8</v>
      </c>
      <c r="C6" s="7" t="n">
        <v>12</v>
      </c>
      <c r="D6" s="7" t="inlineStr">
        <is>
          <t>{"scene_state": "Inquadratura dall'alto di un corridoio di un magazzino logistico con scaffalature industriali cariche di merci su entrambi i lati.", "environmental_conditions": ["Illuminazione artificiale interna uniforme", "Pavimentazione liscia e sgombra nel corridoio centrale"], "people": ["Un operatore situato nel corridoio centrale vicino a un carrello/transpallet."], "objects": ["Scaffalature metalliche", "Pallet con merci imballate in pellicola plastica", "Scatole di cartone", "Carrello manuale o transpallet"], "machines": ["Transpallet o carrello di movimentazione merci"], "observable_actions": ["L'operatore è fermo nel corridoio accanto al carrello, apparentemente intento a gestire le merci."], "visible_ppe": ["Gilet o giubbotto ad alta visibilità di colore giallo/arancione", "Copricapo o elmetto protettivo giallo"], "notes_visibility_limitations": "La visuale dall'alto e la distanza della telecamera limitano la nitidezza dei dettagli del volto dell'operatore e dei DPI specifici."}</t>
        </is>
      </c>
      <c r="E6" s="7" t="inlineStr">
        <is>
          <t>{"unsafe_behaviors": [], "vulnerable_elements": ["Operatore nel corridoio centrale"], "risk_cues": {"S1_people_vehicle_interference": 0.25, "S2_visibility_attention_reduction": 0.25, "S3_non_compliant_behavior": 0.0, "S4_vehicle_infrastructure_interference": 0.0, "S5_storage_structural_instability": 0.25, "S6_access_to_moving_mechanical_parts": 0.0, "S7_manual_handling_heavy_unstable_loads": 0.25}, "cue_confidence": 0.8, "diagnostic_notes": "L'operatore risulta correttamente equipaggiato con DPI visibili (gilet ad alta visibilità ed elmetto) ed è fermo accanto a un transpallet manuale. Non si osservano mezzi motorizzati in movimento né comportamenti non conformi. La presenza di scaffalature industriali cariche in quota comporta un rischio intrinseco di instabilità/caduta materiali (S5), sebbene non si notino anomalie strutturali. Le attività di gestione merci vicino al carrello mantengono un livello di rischio debole/potenziale per movimentazione carichi e distrazione temporanea."}</t>
        </is>
      </c>
      <c r="F6" s="7" t="inlineStr">
        <is>
          <t>{"causal_chain_plausible": false, "causal_chain_text": "Non si ravvisano catene causali attive. L'operatore indossa i DPI necessari (elmetto, gilet) e opera con un transpallet manuale in un corridoio sgombro, senza interferenze di mezzi motorizzati o comportamenti non conformi.", "near_miss_or_incident_scenario": "Nessun incidente altamente probabile. L'unico scenario latente e a bassa probabilità riguarda la perdita di equilibrio del carico durante la movimentazione manuale o la caduta di oggetti dalle scaffalature.", "contributing_factors": ["Presenza di merci stoccate in quota sulle scaffalature", "Operazioni di movimentazione manuale dei carichi"]}</t>
        </is>
      </c>
      <c r="G6" s="7" t="n">
        <v>15</v>
      </c>
      <c r="H6" s="7" t="inlineStr">
        <is>
          <t>Il rischio è basso poiché l'operatore indossa correttamente i DPI necessari e opera in un corridoio sgombro senza interferenze di mezzi in movimento. Permangono solo i rischi intrinseci minimi legati allo stoccaggio in quota e alla movimentazione manuale.</t>
        </is>
      </c>
      <c r="I6" s="7" t="n">
        <v>15.77</v>
      </c>
      <c r="J6" s="9" t="inlineStr">
        <is>
          <t>verde</t>
        </is>
      </c>
    </row>
    <row r="7" ht="34" customHeight="1">
      <c r="A7" s="7" t="n">
        <v>5</v>
      </c>
      <c r="B7" s="7" t="n">
        <v>10</v>
      </c>
      <c r="C7" s="7" t="n">
        <v>14</v>
      </c>
      <c r="D7" s="7" t="inlineStr">
        <is>
          <t>{"scene_state": "Inquadratura dall'alto di un corridoio di un magazzino con scaffalature industriali su entrambi i lati.", "environmental_conditions": ["Illuminazione artificiale interna", "Pavimentazione liscia di colore verde", "Ambiente pulito e ordinato"], "people": ["Un operatore situato nella parte inferiore centrale del corridoio, vicino a un transpallet."], "objects": ["Scaffalature metalliche verticali", "Pallet stoccati carichi di merci imballate con pellicola trasparente"], "machines": ["Un transpallet manuale o elettrico nel corridoio", "Un possibile carrello elevatore o veicolo automatizzato visibile in lontananza lungo il corridoio"], "observable_actions": ["L'operatore è fermo vicino al transpallet", "La scena appare prevalentemente statica durante l'intervallo temporale"], "visible_ppe": ["Giacca o gilet ad alta visibilità di colore giallo/arancione"], "notes_visibility_limitations": "La telecamera è posizionata molto in alto con un obiettivo grandangolare, riducendo la risoluzione dei dettagli sui singoli operatori e sui DPI specifici."}</t>
        </is>
      </c>
      <c r="E7" s="7" t="inlineStr">
        <is>
          <t>{"unsafe_behaviors": [], "vulnerable_elements": ["Operatore situato nel corridoio vicino al transpallet"], "risk_cues": {"S1_people_vehicle_interference": 0.25, "S2_visibility_attention_reduction": 0.0, "S3_non_compliant_behavior": 0.0, "S4_vehicle_infrastructure_interference": 0.0, "S5_storage_structural_instability": 0.0, "S6_access_to_moving_mechanical_parts": 0.0, "S7_manual_handling_heavy_unstable_loads": 0.0}, "cue_confidence": 0.8, "diagnostic_notes": "La scena si presenta ordinata e prevalentemente statica. L'operatore indossa un gilet ad alta visibilità ed è fermo vicino a un transpallet. Un secondo mezzo è visibile solo in lontananza, riducendo il rischio immediato di interferenza (S1 valutato 0.25 come presenza potenziale nello stesso corridoio). La distanza e l'altezza della telecamera limitano la visibilità dei dettagli più piccoli."}</t>
        </is>
      </c>
      <c r="F7" s="7" t="inlineStr">
        <is>
          <t>{"causal_chain_plausible": true, "causal_chain_text": "La compresenza di un operatore a piedi e di un veicolo, seppur distante, nello stesso corridoio di transito configura un rischio di interferenza. Un eventuale movimento del veicolo verso l'operatore, combinato con una distrazione o mancata percezione reciproca, può portare a un investimento.", "near_miss_or_incident_scenario": "Collisione o mancato investimento dell'operatore a piedi da parte del veicolo in transito nel corridoio.", "contributing_factors": ["Presenza contemporanea di pedone e mezzo semovente nello stesso corridoio", "Potenziale distrazione dell'operatore fermo vicino al transpallet"]}</t>
        </is>
      </c>
      <c r="G7" s="7" t="n">
        <v>15</v>
      </c>
      <c r="H7" s="7" t="inlineStr">
        <is>
          <t>Il livello di rischio è basso poiché l'operatore indossa regolarmente il gilet ad alta visibilità e il veicolo si trova a distanza di sicurezza in fondo al corridoio. L'ambiente ordinato e la natura statica della scena riducono al minimo la probabilità di incidenti immediati.</t>
        </is>
      </c>
      <c r="I7" s="7" t="n">
        <v>15.31</v>
      </c>
      <c r="J7" s="9" t="inlineStr">
        <is>
          <t>verde</t>
        </is>
      </c>
    </row>
    <row r="8" ht="34" customHeight="1">
      <c r="A8" s="7" t="n">
        <v>6</v>
      </c>
      <c r="B8" s="7" t="n">
        <v>12</v>
      </c>
      <c r="C8" s="7" t="n">
        <v>16</v>
      </c>
      <c r="D8" s="7" t="inlineStr">
        <is>
          <t>{"scene_state": "Interno di un magazzino logistico con alte scaffalature verticali contenenti merci pallettizzate.", "environmental_conditions": ["Illuminazione artificiale interna", "Pavimentazione industriale verde", "Corsia di transito sgombra da ostacoli improvvisi"], "people": ["Un operatore situato nella parte inferiore dell'inquadratura", "Un secondo operatore visibile in fondo alla corsia vicino al muletto"], "objects": ["Scaffali metallici industriali", "Pallet carichi di merci imballate con pellicola protettiva", "Transpallet manuale"], "machines": ["Carrello elevatore (muletto) posizionato nella corsia centrale"], "observable_actions": ["L'operatore in primo piano si sposta vicino al transpallet", "Il carrello elevatore è posizionato lungo la corsia di passaggio"], "visible_ppe": ["Gilet ad alta visibilità (colore giallo/arancione)"], "notes_visibility_limitations": "Inquadratura dall'alto con lente grandangolare che distorce leggermente i lati e riduce la visibilità dei dettagli dei DPI minori."}</t>
        </is>
      </c>
      <c r="E8" s="7" t="inlineStr">
        <is>
          <t>{"unsafe_behaviors": ["Presenza di pedoni nella stessa corsia di transito del carrello elevatore senza evidente separazione fisica"], "vulnerable_elements": ["Operatore in primo piano vicino al transpallet", "Operatore in fondo alla corsia vicino al carrello elevatore"], "risk_cues": {"S1_people_vehicle_interference": 0.5, "S2_visibility_attention_reduction": 0.25, "S3_non_compliant_behavior": 0.0, "S4_vehicle_infrastructure_interference": 0.25, "S5_storage_structural_instability": 0.25, "S6_access_to_moving_mechanical_parts": 0.0, "S7_manual_handling_heavy_unstable_loads": 0.0}, "cue_confidence": 0.8, "diagnostic_notes": "Rilevata compresenza di pedoni e un carrello elevatore nella corsia di transito (S1). L'inquadratura grandangolare dall'alto limita la visibilità dei dettagli dei DPI minori e la valutazione di eventuali riduzioni di visibilità specifiche (S2)."}</t>
        </is>
      </c>
      <c r="F8" s="7" t="inlineStr">
        <is>
          <t>{"causal_chain_plausible": true, "causal_chain_text": "La compresenza di pedoni e del carrello elevatore nella stessa corsia, priva di barriere fisiche di separazione, crea un rischio di interferenza. Se il carrello si mette in movimento o effettua manovre di svolta o retromarcia, la distrazione degli operatori a piedi o la visibilità limitata del conducente possono portare a un impatto.", "near_miss_or_incident_scenario": "Investimento o quasi-investimento di un operatore a piedi da parte del carrello elevatore in movimento o in fase di manovra nella corsia comune.", "contributing_factors": ["Mancata segregazione fisica tra flusso pedonale e veicolare nella corsia", "Presenza di operatori a piedi nell'area di transito e manovra del muletto", "Potenziale distrazione dovuta alle attività di movimentazione manuale con transpallet"]}</t>
        </is>
      </c>
      <c r="G8" s="7" t="n">
        <v>45</v>
      </c>
      <c r="H8" s="7" t="inlineStr">
        <is>
          <t>Il punteggio riflette un rischio moderato dovuto alla compresenza di pedoni e un carrello elevatore nella stessa corsia senza barriere fisiche di separazione. Sebbene gli operatori indossino gilet ad alta visibilità, la mancanza di segregazione dei flussi aumenta la probabilità di interferenze e investimenti durante le manovre.</t>
        </is>
      </c>
      <c r="I8" s="7" t="n">
        <v>40.62</v>
      </c>
      <c r="J8" s="8" t="inlineStr">
        <is>
          <t>giallo</t>
        </is>
      </c>
    </row>
    <row r="9" ht="34" customHeight="1">
      <c r="A9" s="7" t="n">
        <v>7</v>
      </c>
      <c r="B9" s="7" t="n">
        <v>14</v>
      </c>
      <c r="C9" s="7" t="n">
        <v>18</v>
      </c>
      <c r="D9" s="7" t="inlineStr">
        <is>
          <t>{"scene_state": "Corsia di un magazzino intensivo con scaffalature industriali su entrambi i lati cariche di merci pallettizzate.", "environmental_conditions": ["Illuminazione artificiale interna costante", "Pavimentazione verde pulita"], "people": ["Due operatori situati nella parte inferiore dell'inquadratura vicino a un carrello."], "objects": ["Scaffalature metalliche", "Pallet con merci imballate", "Carrello manuale", "Scatole"], "machines": ["Un carrello elevatore posizionato in fondo alla corsia."], "observable_actions": ["Gli operatori sono fermi vicino al carrello in primo piano.", "Il carrello elevatore in fondo alla corsia è fermo o in manovra."], "visible_ppe": ["Gilet ad alta visibilità giallo/arancione", "Caschetti di protezione gialli"], "notes_visibility_limitations": "Inquadratura grandangolare dall'alto (effetto fisheye) che riduce la visibilità dei dettagli più lontani."}</t>
        </is>
      </c>
      <c r="E9" s="7" t="inlineStr">
        <is>
          <t>{"unsafe_behaviors": [], "vulnerable_elements": ["Due operatori a piedi nella corsia di transito"], "risk_cues": {"S1_people_vehicle_interference": 0.25, "S2_visibility_attention_reduction": 0.25, "S3_non_compliant_behavior": 0.0, "S4_vehicle_infrastructure_interference": 0.25, "S5_storage_structural_instability": 0.0, "S6_access_to_moving_mechanical_parts": 0.0, "S7_manual_handling_heavy_unstable_loads": 0.0}, "cue_confidence": 0.8, "diagnostic_notes": "La compresenza di operatori a piedi e di un carrello elevatore nella stessa corsia, sebbene a distanza di sicurezza temporanea, configura un potenziale rischio di interferenza (S1). La manovra del carrello in fondo alla corsia stretta richiede attenzione per evitare contatti con le scaffalature (S4). La visibilità dei dettagli in fondo è parzialmente ridotta dall'effetto grandangolare della telecamera (S2)."}</t>
        </is>
      </c>
      <c r="F9" s="7" t="inlineStr">
        <is>
          <t>{"causal_chain_plausible": true, "causal_chain_text": "La compresenza di operatori a piedi e di un carrello elevatore in manovra nella stessa corsia stretta crea un rischio di interferenza. Se il conducente del carrello effettua una manovra senza avvedersi della presenza dei pedoni a causa della distanza o di angoli ciechi, o se i pedoni si muovono improvvisamente verso l'area di manovra, si può verificare un impatto.", "near_miss_or_incident_scenario": "Quasi-investimento di un operatore a piedi da parte del carrello elevatore in fase di manovra o retromarcia all'interno della corsia.", "contributing_factors": ["Presenza simultanea di pedoni e mezzi d'opera semoventi nella stessa corsia di transito", "Spazio di manovra ristretto delimitato da scaffalature industriali cariche", "Possibile limitazione della visibilità reciproca dovuta alla distanza lungo la corsia"]}</t>
        </is>
      </c>
      <c r="G9" s="7" t="n">
        <v>30</v>
      </c>
      <c r="H9" s="7" t="inlineStr">
        <is>
          <t>Il rischio è moderato a causa della compresenza di operatori a piedi e di un carrello elevatore nella stessa corsia stretta. Tuttavia, la distanza di sicurezza temporanea e l'uso corretto dei DPI da parte dei lavoratori riducono l'imminenza di un pericolo diretto.</t>
        </is>
      </c>
      <c r="I9" s="7" t="n">
        <v>34.25</v>
      </c>
      <c r="J9" s="8" t="inlineStr">
        <is>
          <t>giallo</t>
        </is>
      </c>
    </row>
    <row r="10" ht="34" customHeight="1">
      <c r="A10" s="7" t="n">
        <v>8</v>
      </c>
      <c r="B10" s="7" t="n">
        <v>16</v>
      </c>
      <c r="C10" s="7" t="n">
        <v>20</v>
      </c>
      <c r="D10" s="7" t="inlineStr">
        <is>
          <t>{"scene_state": "Corsia interna di un magazzino con scaffalature industriali alte su entrambi i lati, cariche di merci pallettizzate.", "environmental_conditions": ["Illuminazione artificiale interna uniforme", "Pavimentazione liscia e pulita di colore verde/grigio"], "people": ["Un operatore a piedi in primo piano", "Un operatore a bordo del carrello elevatore sullo sfondo"], "objects": ["Scaffalature metalliche", "Pallet con merci imballate in film plastico", "Un transpallet manuale", "Un carrello manuale con scatole"], "machines": ["Un carrello elevatore (muletto) in movimento lungo la corsia sullo sfondo"], "observable_actions": ["Il carrello elevatore si muove lungo la corsia centrale", "L'operatore in primo piano si muove vicino al carrello manuale"], "visible_ppe": ["Gilet o maglietta ad alta visibilità di colore giallo per l'operatore in primo piano"], "notes_visibility_limitations": "Inquadratura dall'alto con lente grandangolare che distorce leggermente i lati. La distanza e la risoluzione limitano la visibilità dei dettagli del volto e di altri DPI specifici."}</t>
        </is>
      </c>
      <c r="E10" s="7" t="inlineStr">
        <is>
          <t>{"unsafe_behaviors": ["Transito di pedone in corsia di manovra del carrello elevatore senza separazione fisica visibile"], "vulnerable_elements": ["Operatore a piedi in primo piano"], "risk_cues": {"S1_people_vehicle_interference": 0.5, "S2_visibility_attention_reduction": 0.25, "S3_non_compliant_behavior": 0.25, "S4_vehicle_infrastructure_interference": 0.25, "S5_storage_structural_instability": 0.25, "S6_access_to_moving_mechanical_parts": 0.0, "S7_manual_handling_heavy_unstable_loads": 0.25}, "cue_confidence": 0.7, "diagnostic_notes": "Presenza contemporanea di un carrello elevatore in movimento e un operatore a piedi nella stessa corsia di stoccaggio. L'operatore a piedi indossa un gilet ad alta visibilità, riducendo parzialmente il rischio di investimento. L'inquadratura grandangolare e la distanza limitano la verifica di altri DPI specifici."}</t>
        </is>
      </c>
      <c r="F10" s="7" t="inlineStr">
        <is>
          <t>{"causal_chain_plausible": true, "causal_chain_text": "La compresenza di un carrello elevatore in movimento e di un pedone nella stessa corsia, priva di barriere fisiche, genera rischio di interferenza. Un movimento improvviso del pedone o una distrazione del conducente può causare un impatto.", "near_miss_or_incident_scenario": "Investimento del pedone da parte del carrello elevatore in transito nella corsia centrale del magazzino.", "contributing_factors": ["Mancanza di separazione fisica tra flusso pedonale e veicolare", "Presenza contemporanea di pedone e muletto nella stessa corsia", "Limitazioni di visibilità dovute alla distanza e alla configurazione della corsia"]}</t>
        </is>
      </c>
      <c r="G10" s="7" t="n">
        <v>50</v>
      </c>
      <c r="H10" s="7" t="inlineStr">
        <is>
          <t>Il punteggio riflette un rischio significativo dovuto alla compresenza di un pedone e di un carrello elevatore in movimento nella stessa corsia senza barriere fisiche di separazione. L'uso del gilet ad alta visibilità da parte dell'operatore a piedi mitiga parzialmente il pericolo di investimento.</t>
        </is>
      </c>
      <c r="I10" s="7" t="n">
        <v>48.7</v>
      </c>
      <c r="J10" s="8" t="inlineStr">
        <is>
          <t>giallo</t>
        </is>
      </c>
    </row>
    <row r="11" ht="34" customHeight="1">
      <c r="A11" s="7" t="n">
        <v>9</v>
      </c>
      <c r="B11" s="7" t="n">
        <v>18</v>
      </c>
      <c r="C11" s="7" t="n">
        <v>22</v>
      </c>
      <c r="D11" s="7" t="inlineStr">
        <is>
          <t>{"scene_state": "Inquadratura dall'alto di un corridoio di un magazzino con scaffalature industriali alte su entrambi i lati.", "environmental_conditions": ["Illuminazione artificiale interna", "Pavimentazione liscia di colore verde con corsia centrale sgombra"], "people": ["Un operatore con maglia gialla situato nella parte inferiore centrale", "Un secondo operatore parzialmente visibile in basso a destra vicino alle scaffalature"], "objects": ["Scaffalature metalliche portapallet", "Merci imballate su pallet", "Un transpallet manuale o carrello nella parte inferiore"], "machines": ["Un carrello elevatore posizionato lungo il corridoio sullo sfondo"], "observable_actions": ["L'operatore in maglia gialla è fermo o in leggero movimento vicino al transpallet", "Il carrello elevatore sullo sfondo appare fermo o in fase di manovra lenta"], "visible_ppe": ["Maglia di colore giallo (potenziale alta visibilità, non chiaramente verificabile)"], "notes_visibility_limitations": "La prospettiva dall'alto e la distanza della telecamera limitano la visibilità dei dettagli dei DPI specifici e dei volti."}</t>
        </is>
      </c>
      <c r="E11" s="7" t="inlineStr">
        <is>
          <t>{"unsafe_behaviors": ["Presenza di pedoni nella stessa corsia di manovra del carrello elevatore", "Mancata verifica dell'uso di DPI specifici (es. scarpe antinfortunistiche, elmetto) a causa della distanza"], "vulnerable_elements": ["Operatore in maglia gialla vicino al transpallet", "Secondo operatore parzialmente visibile vicino alle scaffalature"], "risk_cues": {"S1_people_vehicle_interference": 0.5, "S2_visibility_attention_reduction": 0.25, "S3_non_compliant_behavior": 0.25, "S4_vehicle_infrastructure_interference": 0.5, "S5_storage_structural_instability": 0.25, "S6_access_to_moving_mechanical_parts": 0.0, "S7_manual_handling_heavy_unstable_loads": 0.25}, "cue_confidence": 0.7, "diagnostic_notes": "La compresenza di operatori a piedi e di un carrello elevatore nello stesso corridoio, sebbene a distanza, configura un rischio moderato di interferenza (S1). Le manovre del carrello elevatore in un corridoio stretto con scaffalature alte presentano un potenziale rischio di urto con le strutture (S4). La prospettiva dall'alto e la distanza limitano la valutazione dettagliata dei DPI e di eventuali comportamenti non conformi specifici."}</t>
        </is>
      </c>
      <c r="F11" s="7" t="inlineStr">
        <is>
          <t>{"causal_chain_plausible": true, "causal_chain_text": "La compresenza di pedoni e di un carrello elevatore in movimento nello stesso corridoio stretto può generare una collisione se l'operatore del mezzo ha la visuale ostruita o se i pedoni non avvertono l'avvicinamento del veicolo.", "near_miss_or_incident_scenario": "Investimento di un operatore a piedi da parte del carrello elevatore durante una manovra nel corridoio, o urto del carrello contro le scaffalature con caduta di merci.", "contributing_factors": ["Presenza contemporanea di pedoni e carrello elevatore nella stessa corsia", "Spazio di manovra limitato nel corridoio stretto", "Possibile visibilità limitata tra operatori e conducente"]}</t>
        </is>
      </c>
      <c r="G11" s="7" t="n">
        <v>45</v>
      </c>
      <c r="H11" s="7" t="inlineStr">
        <is>
          <t>Il punteggio riflette un rischio moderato dovuto alla compresenza di pedoni e di un carrello elevatore all'interno dello stesso corridoio stretto. Sebbene il mezzo sia distante o in manovra lenta, la mancanza di barriere fisiche di separazione aumenta la probabilità di interferenze e collisioni.</t>
        </is>
      </c>
      <c r="I11" s="7" t="n">
        <v>46.48</v>
      </c>
      <c r="J11" s="8" t="inlineStr">
        <is>
          <t>giallo</t>
        </is>
      </c>
    </row>
    <row r="12" ht="34" customHeight="1">
      <c r="A12" s="7" t="n">
        <v>10</v>
      </c>
      <c r="B12" s="7" t="n">
        <v>20</v>
      </c>
      <c r="C12" s="7" t="n">
        <v>24</v>
      </c>
      <c r="D12" s="7" t="inlineStr">
        <is>
          <t>{"scene_state": "Interno di un magazzino con scaffalature industriali alte su entrambi i lati di un corridoio centrale.", "environmental_conditions": ["Illuminazione artificiale", "Pavimentazione verde"], "people": ["Un operatore a piedi in primo piano", "Un possibile operatore a bordo del carrello elevatore in fondo al corridoio"], "objects": ["Scaffalature metalliche", "Pallet con merci imballate", "Transpallet manuale"], "machines": ["Carrello elevatore (muletto) posizionato nel corridoio"], "observable_actions": ["L'operatore in primo piano è fermo vicino al transpallet manuale", "Il carrello elevatore è posizionato lungo il corridoio centrale"], "visible_ppe": ["Indumento ad alta visibilità di colore giallo indossato dall'operatore in primo piano"], "notes_visibility_limitations": "Inquadratura dall'alto con lente grandangolare e risoluzione che limita la visibilità dei dettagli minuti."}</t>
        </is>
      </c>
      <c r="E12" s="7" t="inlineStr">
        <is>
          <t>{"unsafe_behaviors": [], "vulnerable_elements": ["Operatore a piedi nel corridoio centrale"], "risk_cues": {"S1_people_vehicle_interference": 0.5, "S2_visibility_attention_reduction": 0.25, "S3_non_compliant_behavior": 0.0, "S4_vehicle_infrastructure_interference": 0.25, "S5_storage_structural_instability": 0.25, "S6_access_to_moving_mechanical_parts": 0.0, "S7_manual_handling_heavy_unstable_loads": 0.0}, "cue_confidence": 0.8, "diagnostic_notes": "Si rileva la compresenza nello stesso corridoio di un operatore a piedi e di un carrello elevatore, configurando un potenziale rischio di interferenza (S1), sebbene i soggetti si trovino a distanza. L'operatore indossa DPI ad alta visibilità. Non si osservano comportamenti non conformi o instabilità strutturali evidenti, ma la risoluzione e l'inquadratura grandangolare limitano l'analisi di dettagli minuti."}</t>
        </is>
      </c>
      <c r="F12" s="7" t="inlineStr">
        <is>
          <t>{"causal_chain_plausible": true, "causal_chain_text": "La compresenza di un operatore a piedi e di un carrello elevatore nello stesso corridoio di transito crea un rischio di interferenza. Se il carrello si mette in movimento o l'operatore si sposta senza reciproca visibilità o coordinamento, si può verificare una collisione.", "near_miss_or_incident_scenario": "Investimento del pedone da parte del carrello elevatore durante le manovre di movimentazione nel corridoio centrale.", "contributing_factors": ["Compresenza di pedoni e mezzi semoventi nello stesso corridoio", "Spazio di manovra limitato dalla presenza di scaffalature e merci", "Possibile riduzione dell'attenzione o della visibilità reciproca a distanza"]}</t>
        </is>
      </c>
      <c r="G12" s="7" t="n">
        <v>35</v>
      </c>
      <c r="H12" s="7" t="inlineStr">
        <is>
          <t>Il punteggio riflette un rischio moderato dovuto alla compresenza di un operatore a piedi e di un carrello elevatore nello stesso corridoio. Sebbene l'operatore indossi DPI ad alta visibilità e i soggetti siano distanti, la condivisione dello spazio di transito richiede costante attenzione per evitare interferenze.</t>
        </is>
      </c>
      <c r="I12" s="7" t="n">
        <v>39.59</v>
      </c>
      <c r="J12" s="8" t="inlineStr">
        <is>
          <t>giallo</t>
        </is>
      </c>
    </row>
    <row r="13" ht="34" customHeight="1">
      <c r="A13" s="7" t="n">
        <v>11</v>
      </c>
      <c r="B13" s="7" t="n">
        <v>22</v>
      </c>
      <c r="C13" s="7" t="n">
        <v>26</v>
      </c>
      <c r="D13" s="7" t="inlineStr">
        <is>
          <t>{"scene_state": "Corridoio interno di un magazzino con scaffalature industriali alte su entrambi i lati, cariche di merci pallettizzate.", "environmental_conditions": ["Illuminazione artificiale interna", "Pavimentazione verde con corsia centrale"], "people": ["Un operatore a terra in primo piano", "Un operatore alla guida del carrello elevatore", "Un operatore parzialmente visibile in basso a destra"], "objects": ["Scaffalature metalliche", "Pallet con merci imballate", "Transpallet manuale"], "machines": ["Carrello elevatore di colore giallo in movimento nel corridoio"], "observable_actions": ["Il carrello elevatore si muove lungo il corridoio centrale", "L'operatore in primo piano staziona vicino al transpallet"], "visible_ppe": ["Gilet o indumento ad alta visibilità giallo indossato dall'operatore in primo piano"], "notes_visibility_limitations": "Inquadratura dall'alto e distanza della telecamera che limitano la visibilità dei dettagli e l'identificazione di ulteriori DPI."}</t>
        </is>
      </c>
      <c r="E13" s="7" t="inlineStr">
        <is>
          <t>{"unsafe_behaviors": ["Stazionamento di operatori a terra nella corsia di transito del carrello elevatore in movimento"], "vulnerable_elements": ["Operatore a terra in primo piano", "Operatore parzialmente visibile in basso a destra"], "risk_cues": {"S1_people_vehicle_interference": 0.75, "S2_visibility_attention_reduction": 0.5, "S3_non_compliant_behavior": 0.5, "S4_vehicle_infrastructure_interference": 0.5, "S5_storage_structural_instability": 0.25, "S6_access_to_moving_mechanical_parts": 0.0, "S7_manual_handling_heavy_unstable_loads": 0.0}, "cue_confidence": 0.8, "diagnostic_notes": "Forte rischio di interferenza (S1) dovuto alla compresenza di pedoni e carrello elevatore nello stesso corridoio senza separazione fisica. Possibile riduzione della visibilità/attenzione (S2) durante le manovre. Limitazioni visive dovute all'altezza della telecamera."}</t>
        </is>
      </c>
      <c r="F13" s="7" t="inlineStr">
        <is>
          <t>{"causal_chain_plausible": true, "causal_chain_text": "La compresenza di operatori a terra e di un carrello elevatore in movimento nello stesso corridoio, privo di barriere fisiche di separazione, genera un'interferenza diretta. Una distrazione del conducente o del pedone, o un angolo cieco durante la marcia, può portare a un impatto improvviso.", "near_miss_or_incident_scenario": "Investimento di un operatore a terra da parte del carrello elevatore in transito lungo il corridoio del magazzino.", "contributing_factors": ["Mancata segregazione fisica tra la via di transito del mezzo e l'area di stazionamento dei pedoni", "Presenza di operatori a terra nella traiettoria di movimento del carrello elevatore", "Possibile riduzione della visibilità e dell'attenzione reciproca all'interno del corridoio"]}</t>
        </is>
      </c>
      <c r="G13" s="7" t="n">
        <v>70</v>
      </c>
      <c r="H13" s="7" t="inlineStr">
        <is>
          <t>Il punteggio riflette un rischio significativo dovuto alla compresenza di operatori a terra e di un carrello elevatore in movimento nello stesso corridoio senza barriere fisiche di separazione. Questa situazione genera un'elevata probabilità di interferenza e potenziale investimento in caso di distrazione o presenza di angoli ciechi.</t>
        </is>
      </c>
      <c r="I13" s="7" t="n">
        <v>66.59</v>
      </c>
      <c r="J13" s="10" t="inlineStr">
        <is>
          <t>arancione</t>
        </is>
      </c>
    </row>
    <row r="14" ht="34" customHeight="1">
      <c r="A14" s="7" t="n">
        <v>12</v>
      </c>
      <c r="B14" s="7" t="n">
        <v>24</v>
      </c>
      <c r="C14" s="7" t="n">
        <v>28</v>
      </c>
      <c r="D14" s="7" t="inlineStr">
        <is>
          <t>{"scene_state": "Crollo improvviso di una scaffalatura industriale all'interno di un magazzino.", "environmental_conditions": ["Illuminazione artificiale interna", "Ambiente chiuso (magazzino)"], "people": ["Un operatore a terra nella parte inferiore dell'inquadratura", "Un operatore a bordo del carrello elevatore"], "objects": ["Scaffalature metalliche portapallet", "Pallet con merci stoccate", "Merci e detriti derivanti dal crollo"], "machines": ["Un carrello elevatore giallo posizionato nel corridoio centrale"], "observable_actions": ["Il carrello elevatore si trova nel corridoio tra le scaffalature", "La struttura di stoccaggio sul lato destro collassa improvvisamente, riversando merci e componenti metallici nel corridoio"], "visible_ppe": ["Indumento ad alta visibilità di colore giallo indossato dall'operatore a terra"], "notes_visibility_limitations": "Inquadratura fissa dall'alto (telecamera di sicurezza). La distanza e la rapidità del crollo limitano la visibilità dei dettagli minuti e dei DPI specifici."}</t>
        </is>
      </c>
      <c r="E14" s="7" t="inlineStr">
        <is>
          <t>{"unsafe_behaviors": ["Presenza di un operatore a terra in un'area di transito e manovra di carrelli elevatori senza apparente segregazione fisica dei percorsi", "Stazionamento o transito del carrello elevatore in prossimità immediata di scaffalature instabili o sovraccariche"], "vulnerable_elements": ["Operatore a terra esposto direttamente al crollo dei materiali e al transito del mezzo", "Operatore a bordo del carrello elevatore esposto al collasso della struttura adiacente"], "risk_cues": {"S1_people_vehicle_interference": 0.75, "S2_visibility_attention_reduction": 0.5, "S3_non_compliant_behavior": 0.5, "S4_vehicle_infrastructure_interference": 0.75, "S5_storage_structural_instability": 1.0, "S6_access_to_moving_mechanical_parts": 0.0, "S7_manual_handling_heavy_unstable_loads": 0.0}, "cue_confidence": 0.9, "diagnostic_notes": "La situazione presenta la massima criticità per il crollo strutturale della scaffalatura (S5 = 1.0), che riversa merci e detriti nel corridoio. È evidente la compresenza pericolosa di un operatore a terra e di un carrello elevatore nello stesso spazio operativo (S1 = 0.75), con potenziale interferenza tra il mezzo e le scaffalature (S4 = 0.75) che potrebbe aver innescato o favorito il collasso."}</t>
        </is>
      </c>
      <c r="F14" s="7" t="inlineStr">
        <is>
          <t>{"causal_chain_plausible": true, "causal_chain_text": "L'instabilità strutturale o un potenziale impatto del carrello elevatore provoca il crollo improvviso della scaffalatura. Le merci e i detriti metallici cadono nel corridoio investendo l'area in cui si trovano l'operatore a terra e il mezzo.", "near_miss_or_incident_scenario": "Grave incidente da schiacciamento dell'operatore a terra a causa del crollo della scaffalatura e delle merci, con potenziale coinvolgimento e intrappolamento dell'operatore sul carrello elevatore.", "contributing_factors": ["Instabilità strutturale o sovraccarico della scaffalatura portapallet", "Mancata segregazione dei percorsi pedonali e veicolari nel magazzino", "Presenza dell'operatore a terra nell'area di manovra e di potenziale crollo", "Possibile interferenza o urto tra il carrello elevatore e la struttura"]}</t>
        </is>
      </c>
      <c r="G14" s="7" t="n">
        <v>98</v>
      </c>
      <c r="H14" s="7" t="inlineStr">
        <is>
          <t>Il punteggio riflette una situazione di imminente pericolo di vita dovuto al crollo strutturale attivo della scaffalatura pesante direttamente sull'area di transito degli operatori. La compresenza di un lavoratore a terra e di un carrello elevatore nel corridoio rende l'evento estremamente critico con altissimo rischio di lesioni gravi o fatali.</t>
        </is>
      </c>
      <c r="I14" s="7" t="n">
        <v>92.44</v>
      </c>
      <c r="J14" s="11" t="inlineStr">
        <is>
          <t>rosso</t>
        </is>
      </c>
    </row>
    <row r="15" ht="34" customHeight="1">
      <c r="A15" s="7" t="n">
        <v>13</v>
      </c>
      <c r="B15" s="7" t="n">
        <v>26</v>
      </c>
      <c r="C15" s="7" t="n">
        <v>30</v>
      </c>
      <c r="D15" s="7" t="inlineStr">
        <is>
          <t>{"scene_state": "Collasso strutturale improvviso di una scaffalatura industriale all'interno di un magazzino.", "environmental_conditions": ["Illuminazione artificiale interna", "Generazione di una fitta nube di polvere e detriti a seguito del crollo"], "people": ["Almeno due operatori presenti a terra nel corridoio prima del crollo"], "objects": ["Scaffalature metalliche autoportanti", "Pallet carichi di merci stoccate", "Merci e detriti derivanti dal collasso"], "machines": ["Un carrello elevatore posizionato nel corridoio centrale"], "observable_actions": ["La scaffalatura sul lato destro cede improvvisamente", "I pallet e l'intera struttura collassano nel corridoio", "Gli operatori tentano di fuggire prima di essere investiti dai detriti"], "visible_ppe": ["Un operatore indossa un indumento ad alta visibilità di colore giallo"], "notes_visibility_limitations": "Inquadratura di sicurezza dall'alto con risoluzione medio-bassa. Il crollo e la polvere generata occultano completamente la visibilità delle persone e dei macchinari nella fase finale."}</t>
        </is>
      </c>
      <c r="E15" s="7" t="inlineStr">
        <is>
          <t>{"unsafe_behaviors": ["Presenza di operatori a piedi in prossimità di scaffalature instabili o durante il collasso"], "vulnerable_elements": ["Almeno due operatori a terra nel corridoio", "Operatore a bordo del carrello elevatore"], "risk_cues": {"S1_people_vehicle_interference": 0.5, "S2_visibility_attention_reduction": 0.75, "S3_non_compliant_behavior": 0.25, "S4_vehicle_infrastructure_interference": 0.25, "S5_storage_structural_instability": 1.0, "S6_access_to_moving_mechanical_parts": 0.0, "S7_manual_handling_heavy_unstable_loads": 0.0}, "cue_confidence": 0.9, "diagnostic_notes": "La scena mostra una situazione estremamente critica dovuta al collasso strutturale improvviso della scaffalatura (S5=1.0), che investe direttamente l'area in cui si trovano gli operatori e il carrello elevatore. La fitta nube di polvere generata dal crollo azzera quasi completamente la visibilità nella fase finale (S2=0.75), ostacolando i tentativi di fuga e i soccorsi. La compresenza di pedoni e del carrello elevatore nello stesso corridoio (S1=0.5) aumenta l'esposizione al rischio in caso di emergenza."}</t>
        </is>
      </c>
      <c r="F15" s="7" t="inlineStr">
        <is>
          <t>{"causal_chain_plausible": true, "causal_chain_text": "Il cedimento strutturale improvviso della scaffalatura provoca la caduta di pallet pesanti e detriti nel corridoio. Gli operatori a piedi e sul carrello elevatore tentano la fuga ma vengono ostacolati dalla rapidità del crollo e dalla fitta nube di polvere che azzera la visibilità, portando al potenziale seppellimento o impatto.", "near_miss_or_incident_scenario": "Grave incidente da schiacciamento e impatto dovuto al crollo della scaffalatura metallica e dei carichi stoccati sugli operatori a terra e sul carrello elevatore nel corridoio.", "contributing_factors": ["Instabilità strutturale e collasso improvviso della scaffalatura", "Presenza di pedoni e un carrello elevatore nel corridoio di transito durante il crollo", "Drastica riduzione della visibilità causata dalla fitta nube di polvere e detriti"]}</t>
        </is>
      </c>
      <c r="G15" s="7" t="n">
        <v>98</v>
      </c>
      <c r="H15" s="7" t="inlineStr">
        <is>
          <t>Il punteggio riflette una situazione di emergenza estrema con imminente pericolo di vita dovuto al collasso strutturale che investe direttamente gli operatori a terra. La fitta nube di polvere azzera la visibilità, ostacolando la fuga e i soccorsi in uno scenario di gravissimo schiacciamento.</t>
        </is>
      </c>
      <c r="I15" s="7" t="n">
        <v>95.78</v>
      </c>
      <c r="J15" s="11" t="inlineStr">
        <is>
          <t>rosso</t>
        </is>
      </c>
    </row>
    <row r="16" ht="34" customHeight="1">
      <c r="A16" s="7" t="n">
        <v>14</v>
      </c>
      <c r="B16" s="7" t="n">
        <v>28</v>
      </c>
      <c r="C16" s="7" t="n">
        <v>32</v>
      </c>
      <c r="D16" s="7" t="inlineStr">
        <is>
          <t>{"scene_state": "Stato di grave incidente con crollo strutturale di scaffalature industriali all'interno di un magazzino.", "environmental_conditions": ["Illuminazione interna artificiale", "Presenza massiccia di polvere e detriti sospesi nell'aria"], "people": [], "objects": ["Scaffalature metalliche collassate", "Merci e scatole danneggiate e sparse al suolo", "Pallet"], "machines": ["Un carrello elevatore giallo parzialmente visibile e coperto dai detriti"], "observable_actions": ["Cedimento e caduta di scaffali e merci", "Propagazione di una fitta nube di polvere"], "visible_ppe": [], "notes_visibility_limitations": "La visibilità è significativamente limitata dalla densa polvere sollevata dal crollo e dalla bassa risoluzione della telecamera di sicurezza."}</t>
        </is>
      </c>
      <c r="E16" s="7" t="inlineStr">
        <is>
          <t>{"unsafe_behaviors": [], "vulnerable_elements": ["Operatore del carrello elevatore (potenzialmente intrappolato)", "Integrità delle strutture adiacenti"], "risk_cues": {"S1_people_vehicle_interference": 0.0, "S2_visibility_attention_reduction": 0.5, "S3_non_compliant_behavior": 0.0, "S4_vehicle_infrastructure_interference": 0.75, "S5_storage_structural_instability": 1.0, "S6_access_to_moving_mechanical_parts": 0.0, "S7_manual_handling_heavy_unstable_loads": 0.0}, "cue_confidence": 0.85, "diagnostic_notes": "La scena mostra le conseguenze di un crollo catastrofico delle scaffalature (S5=1.0). Un carrello elevatore è parzialmente visibile sotto le macerie, indicando un forte impatto con l'infrastruttura (S4=0.75). La visibilità è fortemente ostacolata dalla densa nube di polvere generata dal collasso (S2=0.5). Non si osservano persone direttamente, ma la situazione presenta un rischio estremo per l'eventuale operatore a bordo del mezzo."}</t>
        </is>
      </c>
      <c r="F16" s="7" t="inlineStr">
        <is>
          <t>{"causal_chain_plausible": true, "causal_chain_text": "L'instabilità strutturale delle scaffalature (S5) ha causato un crollo catastrofico, che ha travolto un carrello elevatore (S4). L'impatto e il cedimento hanno generato una fitta nube di polvere (S2), riducendo drasticamente la visibilità e ostacolando i soccorsi immediati.", "near_miss_or_incident_scenario": "Grave incidente da schiacciamento e seppellimento dell'operatore del carrello elevatore sotto le scaffalature metalliche e le merci collassate, con potenziale effetto domino sulle strutture adiacenti.", "contributing_factors": ["Instabilità strutturale e sovraccarico delle scaffalature", "Impatto del carrello elevatore contro l'infrastruttura", "Presenza di polvere densa che azzera la visibilità", "Mancanza di barriere di protezione per i montanti delle scaffalature"]}</t>
        </is>
      </c>
      <c r="G16" s="7" t="n">
        <v>98</v>
      </c>
      <c r="H16" s="7" t="inlineStr">
        <is>
          <t>Il punteggio riflette un livello di rischio critico dovuto al crollo strutturale catastrofico delle scaffalature che ha travolto un carrello elevatore, con un operatore potenzialmente intrappolato sotto le macerie. La densa nube di polvere riduce drasticamente la visibilità, ostacolando gravemente le operazioni di soccorso immediato.</t>
        </is>
      </c>
      <c r="I16" s="7" t="n">
        <v>97.11</v>
      </c>
      <c r="J16" s="11" t="inlineStr">
        <is>
          <t>rosso</t>
        </is>
      </c>
    </row>
    <row r="17" ht="34" customHeight="1">
      <c r="A17" s="7" t="n">
        <v>15</v>
      </c>
      <c r="B17" s="7" t="n">
        <v>30</v>
      </c>
      <c r="C17" s="7" t="n">
        <v>34</v>
      </c>
      <c r="D17" s="7" t="inlineStr">
        <is>
          <t>{"scene_state": "Corsia di un magazzino completamente ostruita a causa del crollo totale delle scaffalature industriali.", "environmental_conditions": ["Illuminazione artificiale interna", "Presenza di fitta polvere e detriti nell'aria", "Tonalità cromatica alterata (verde) tipica di riprese CCTV"], "people": [], "objects": ["Scaffalature metalliche collassate", "Pallet in legno (gialli e rossi)", "Scatole e merci sparse al suolo", "Macerie e detriti vari"], "machines": ["Strutture di stoccaggio collassate", "Possibile presenza di un macchinario parzialmente sepolto dai detriti"], "observable_actions": ["Assestamento dei detriti e della polvere sospesa dopo il crollo"], "visible_ppe": [], "notes_visibility_limitations": "La qualità del video è bassa (CCTV), con forte presenza di polvere che limita la visibilità dei dettagli sullo sfondo."}</t>
        </is>
      </c>
      <c r="E17" s="7" t="inlineStr">
        <is>
          <t>{"unsafe_behaviors": [], "vulnerable_elements": ["Eventuali operatori presenti o rimasti sepolti sotto le macerie", "Personale di soccorso o di ispezione che potrebbe accedere all'area instabile"], "risk_cues": {"S1_people_vehicle_interference": 0.0, "S2_visibility_attention_reduction": 0.5, "S3_non_compliant_behavior": 0.0, "S4_vehicle_infrastructure_interference": 0.0, "S5_storage_structural_instability": 1.0, "S6_access_to_moving_mechanical_parts": 0.0, "S7_manual_handling_heavy_unstable_loads": 0.0}, "cue_confidence": 0.85, "diagnostic_notes": "La scena mostra gli esiti di un crollo totale delle scaffalature industriali (S5=1.0), con assestamento di detriti e fitta polvere nell'aria che limita fortemente la visibilità (S2=0.5). Non sono visibili persone o mezzi in movimento nella clip, ma permane un rischio critico legato all'instabilità strutturale residua e alla possibile presenza di soggetti sepolti non identificabili a causa delle macerie."}</t>
        </is>
      </c>
      <c r="F17" s="7" t="inlineStr">
        <is>
          <t>{"causal_chain_plausible": true, "causal_chain_text": "Il crollo totale delle scaffalature ha creato un ammasso instabile di detriti e polvere. L'eventuale ingresso di soccorritori o ispettori nell'area, unito alla scarsa visibilità e all'instabilità residua dei materiali accumulati, può innescare un ulteriore cedimento strutturale improvviso.", "near_miss_or_incident_scenario": "Grave infortunio o seppellimento del personale di soccorso dovuto al collasso secondario di porzioni di scaffalatura o carichi instabili durante l'ispezione dell'area.", "contributing_factors": ["Instabilità strutturale estrema delle macerie e delle scaffalature collassate", "Riduzione della visibilità causata dalla fitta polvere sospesa nell'aria", "Ostruzione totale della corsia che impedisce una rapida evacuazione in caso di ulteriore cedimento"]}</t>
        </is>
      </c>
      <c r="G17" s="7" t="n">
        <v>95</v>
      </c>
      <c r="H17" s="7" t="inlineStr">
        <is>
          <t>Il punteggio riflette una situazione di rischio critico dovuta al crollo totale delle scaffalature, che comporta un'estrema instabilità strutturale residua e il pericolo di ulteriori cedimenti. La fitta polvere limita la visibilità, ostacolando le operazioni di ricerca e soccorso di eventuali persone sepolte sotto le macerie.</t>
        </is>
      </c>
      <c r="I17" s="7" t="n">
        <v>95.84</v>
      </c>
      <c r="J17" s="11" t="inlineStr">
        <is>
          <t>rosso</t>
        </is>
      </c>
    </row>
    <row r="18" ht="34" customHeight="1">
      <c r="A18" s="7" t="n">
        <v>16</v>
      </c>
      <c r="B18" s="7" t="n">
        <v>32</v>
      </c>
      <c r="C18" s="7" t="n">
        <v>35.867</v>
      </c>
      <c r="D18" s="7" t="inlineStr">
        <is>
          <t>{"scene_state": "Stato di forte disordine con accumulo di detriti e vegetazione all'interno di un passaggio recintato.", "environmental_conditions": ["Illuminazione artificiale", "Presenza di polvere in sospensione", "Dominante cromatica verde"], "people": [], "objects": ["Pallet in legno giallo", "Pali metallici di colore rosso", "Rami e foglie verdi", "Grate metalliche di protezione laterali"], "machines": [], "observable_actions": ["Assestamento dei detriti dopo una caduta o collasso"], "visible_ppe": [], "notes_visibility_limitations": "Inquadratura fissa con qualità d'immagine ridotta, forte tinta verde e visibilità parzialmente limitata dalla polvere."}</t>
        </is>
      </c>
      <c r="E18" s="7" t="inlineStr">
        <is>
          <t>{"unsafe_behaviors": [], "vulnerable_elements": ["Infrastruttura del passaggio recintato", "Grate metalliche di protezione"], "risk_cues": {"S1_people_vehicle_interference": 0.0, "S2_visibility_attention_reduction": 0.25, "S3_non_compliant_behavior": 0.0, "S4_vehicle_infrastructure_interference": 0.0, "S5_storage_structural_instability": 0.75, "S6_access_to_moving_mechanical_parts": 0.0, "S7_manual_handling_heavy_unstable_loads": 0.0}, "cue_confidence": 0.8, "diagnostic_notes": "La scena evidenzia una forte instabilità di materiali con l'assestamento di detriti dopo un collasso o caduta all'interno del passaggio (S5). La visibilità è parzialmente compromessa dalla polvere in sospensione generata dall'evento (S2). Non sono presenti persone o mezzi di movimentazione nell'inquadratura, escludendo rischi immediati di interferenza o movimentazione manuale."}</t>
        </is>
      </c>
      <c r="F18" s="7" t="inlineStr">
        <is>
          <t>{"causal_chain_plausible": true, "causal_chain_text": "L'accumulo disordinato di detriti e materiali nel passaggio recintato subisce un collasso o assestamento, generando polvere in sospensione che riduce la visibilità. Un eventuale operatore in transito potrebbe essere colpito da ulteriore materiale instabile o inciampare a causa degli ostacoli e della scarsa visibilità.", "near_miss_or_incident_scenario": "Inciampo e caduta di un operatore nel passaggio a causa del disordine e della polvere, oppure trauma da impatto dovuto al crollo secondario di materiali accumulati instabili.", "contributing_factors": ["Forte stato di disordine e accumulo di detriti nel passaggio", "Instabilità strutturale del materiale accumulato", "Presenza di polvere in sospensione che riduce la visibilità", "Mancanza di barriere temporanee per impedire l'accesso all'area instabile"]}</t>
        </is>
      </c>
      <c r="G18" s="7" t="n">
        <v>60</v>
      </c>
      <c r="H18" s="7" t="inlineStr">
        <is>
          <t>Il punteggio riflette un rischio significativo dovuto all'instabilità dei detriti accumulati nel passaggio, che hanno subito un cedimento generando polvere e riducendo la visibilità. Sebbene non vi siano operatori presenti nell'inquadratura, l'area ostruita e instabile rappresenta un grave pericolo di crollo secondario o inciampo.</t>
        </is>
      </c>
      <c r="I18" s="7" t="n">
        <v>74.34</v>
      </c>
      <c r="J18" s="11" t="inlineStr">
        <is>
          <t>rosso</t>
        </is>
      </c>
    </row>
    <row r="19" ht="34" customHeight="1">
      <c r="A19" s="7" t="n">
        <v>17</v>
      </c>
      <c r="B19" s="7" t="n">
        <v>34</v>
      </c>
      <c r="C19" s="7" t="n">
        <v>35.867</v>
      </c>
      <c r="D19" s="7" t="inlineStr">
        <is>
          <t>{"scene_state": "Interno di una struttura a gabbia metallica riempita di fitta vegetazione, rami e detriti vari.", "environmental_conditions": ["Illuminazione monocromatica verde (visione notturna o filtro)", "Ambiente chiuso o confinato"], "people": [], "objects": ["Fogliame e rami verdi", "Barre o pali metallici di colore rosso", "Oggetto rettangolare giallo (simile a una cassetta o targa)", "Griglie metalliche laterali della gabbia"], "machines": [], "observable_actions": ["Nessuna azione dinamica evidente nel segmento temporale indicato"], "visible_ppe": [], "notes_visibility_limitations": "La visibilità è limitata dalla tonalità verde dell'immagine (tipica di visori notturni o telecamere di sicurezza a infrarossi) e dalla densità del fogliame che ostruisce la vista del fondo."}</t>
        </is>
      </c>
      <c r="E19" s="7" t="inlineStr">
        <is>
          <t>{"unsafe_behaviors": [], "vulnerable_elements": [], "risk_cues": {"S1_people_vehicle_interference": 0.0, "S2_visibility_attention_reduction": 0.25, "S3_non_compliant_behavior": 0.0, "S4_vehicle_infrastructure_interference": 0.0, "S5_storage_structural_instability": 0.0, "S6_access_to_moving_mechanical_parts": 0.0, "S7_manual_handling_heavy_unstable_loads": 0.0}, "cue_confidence": 0.8, "diagnostic_notes": "La scena mostra un ambiente confinato (gabbia metallica) riempito di vegetazione e detriti, privo di persone o mezzi in movimento. La visibilità è fortemente limitata dalla tonalità monocromatica verde e dalla densità del fogliame, il che rappresenterebbe un fattore di rischio (S2) in caso di attività operative, sebbene al momento non si osservino soggetti o azioni in corso."}</t>
        </is>
      </c>
      <c r="F19" s="7" t="inlineStr">
        <is>
          <t>{"causal_chain_plausible": false, "causal_chain_text": "In assenza di personale, macchinari o attività operative nel segmento temporale indicato, non si rileva una catena causale diretta che possa condurre a un incidente immediato basandosi esclusivamente sugli elementi visibili.", "near_miss_or_incident_scenario": "Nessun scenario di incidente o near miss direttamente rilevabile a causa dell'assenza di soggetti esposti o di azioni dinamiche in corso.", "contributing_factors": ["Visibilità limitata dall'illuminazione monocromatica verde", "Presenza di fitta vegetazione e detriti in un ambiente confinato"]}</t>
        </is>
      </c>
      <c r="G19" s="7" t="n">
        <v>15</v>
      </c>
      <c r="H19" s="7" t="inlineStr">
        <is>
          <t>Il rischio è basso a causa dell'assenza di personale, macchinari o attività operative nel segmento temporale analizzato. Tuttavia, la visibilità limitata e l'ambiente confinato ostruito da detriti rappresentano potenziali fattori di rischio latenti in caso di accesso futuro.</t>
        </is>
      </c>
      <c r="I19" s="7" t="n">
        <v>38.74</v>
      </c>
      <c r="J19" s="8" t="inlineStr">
        <is>
          <t>giallo</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8" customWidth="1" min="4" max="4"/>
    <col width="18" customWidth="1" min="5" max="5"/>
    <col width="18" customWidth="1" min="6" max="6"/>
    <col width="8" customWidth="1" min="7" max="7"/>
    <col width="8" customWidth="1" min="8" max="8"/>
    <col width="7" customWidth="1" min="9" max="9"/>
  </cols>
  <sheetData>
    <row r="1" ht="16" customHeight="1">
      <c r="A1" s="2" t="inlineStr">
        <is>
          <t>window_id</t>
        </is>
      </c>
      <c r="B1" s="2" t="inlineStr">
        <is>
          <t>start_time_s</t>
        </is>
      </c>
      <c r="C1" s="2" t="inlineStr">
        <is>
          <t>end_time_s</t>
        </is>
      </c>
      <c r="D1" s="4" t="inlineStr">
        <is>
          <t>scene_json</t>
        </is>
      </c>
      <c r="E1" s="4" t="inlineStr">
        <is>
          <t>diagnostic_json</t>
        </is>
      </c>
      <c r="F1" s="4" t="inlineStr">
        <is>
          <t>causal_json</t>
        </is>
      </c>
      <c r="G1" s="5" t="inlineStr">
        <is>
          <t>instantaneous_risk_score_ahp</t>
        </is>
      </c>
      <c r="H1" s="5" t="inlineStr">
        <is>
          <t>dynamic_risk_score_ahp</t>
        </is>
      </c>
      <c r="I1" s="5" t="inlineStr">
        <is>
          <t>traffic_light_color_ahp</t>
        </is>
      </c>
    </row>
    <row r="2" ht="34" customHeight="1">
      <c r="A2" s="7" t="n">
        <v>0</v>
      </c>
      <c r="B2" s="7" t="n">
        <v>0</v>
      </c>
      <c r="C2" s="7" t="n">
        <v>4</v>
      </c>
      <c r="D2" s="7" t="inlineStr">
        <is>
          <t>{"scene_state": "Un corridoio di un magazzino con scaffalature industriali alte su entrambi i lati, cariche di merci pallettizzate.", "environmental_conditions": ["Illuminazione artificiale interna", "Pavimentazione liscia di colore verde"], "people": ["Due operatori situati nella parte inferiore del corridoio"], "objects": ["Scaffalature metalliche", "Pallet con merci imballate", "Scatole"], "machines": ["Un transpallet o carrello per la movimentazione interna"], "observable_actions": ["Gli operatori sono posizionati vicino al transpallet nel corridoio"], "visible_ppe": ["Gilet ad alta visibilità"], "notes_visibility_limitations": "Inquadratura dall'alto con lente grandangolare che distorce la prospettiva; distanza elevata dai soggetti."}</t>
        </is>
      </c>
      <c r="E2" s="7" t="inlineStr">
        <is>
          <t>{"unsafe_behaviors": ["Presenza ravvicinata di pedoni al mezzo di movimentazione in un corridoio stretto"], "vulnerable_elements": ["Due operatori a piedi nel corridoio di stoccaggio"], "risk_cues": {"S1_people_vehicle_interference": 0.5, "S2_visibility_attention_reduction": 0.25, "S3_non_compliant_behavior": 0.25, "S4_vehicle_infrastructure_interference": 0.5, "S5_storage_structural_instability": 0.25, "S6_access_to_moving_mechanical_parts": 0.0, "S7_manual_handling_heavy_unstable_loads": 0.25}, "cue_confidence": 0.7, "diagnostic_notes": "La presenza di operatori a piedi vicino a un transpallet in un corridoio di stoccaggio stretto evidenzia un rischio moderato di interferenza (S1, S4). La distorsione grandangolare e la distanza limitano l'analisi di comportamenti non conformi specifici."}</t>
        </is>
      </c>
      <c r="F2" s="7" t="inlineStr">
        <is>
          <t>{"causal_chain_plausible": true, "causal_chain_text": "La compresenza di operatori a piedi e di un transpallet in un corridoio stretto riduce lo spazio di manovra sicuro. Un movimento imprevisto del mezzo o una distrazione degli operatori può causare un contatto accidentale.", "near_miss_or_incident_scenario": "Investimento o schiacciamento di un operatore a piedi da parte del transpallet durante una manovra di movimentazione nel corridoio.", "contributing_factors": ["Spazio di manovra limitato nel corridoio di stoccaggio", "Prossimità ravvicinata tra pedoni e mezzo di movimentazione", "Potenziale riduzione della visibilità e dell'attenzione nell'area di lavoro"]}</t>
        </is>
      </c>
      <c r="G2" s="7" t="n">
        <v>22.97</v>
      </c>
      <c r="H2" s="7" t="n">
        <v>22.97</v>
      </c>
      <c r="I2" s="9" t="inlineStr">
        <is>
          <t>verde</t>
        </is>
      </c>
    </row>
    <row r="3" ht="34" customHeight="1">
      <c r="A3" s="7" t="n">
        <v>1</v>
      </c>
      <c r="B3" s="7" t="n">
        <v>2</v>
      </c>
      <c r="C3" s="7" t="n">
        <v>6</v>
      </c>
      <c r="D3" s="7" t="inlineStr">
        <is>
          <t>{"scene_state": "Corridoio di un magazzino con scaffalature industriali alte cariche di merci pallettizzate.", "environmental_conditions": ["Illuminazione artificiale interna", "Pavimentazione sgombra e pulita"], "people": ["Due operatori in primo piano in basso", "Una persona visibile in lontananza lungo il corridoio"], "objects": ["Scaffalature metalliche", "Pallet con merci imballate", "Carrello manuale con scatole", "Transpallet manuale di colore rosso"], "machines": [], "observable_actions": ["Gli operatori in primo piano sono fermi vicino al carrello", "La persona in fondo al corridoio cammina allontanandosi"], "visible_ppe": ["Gilet ad alta visibilità di colore arancione"], "notes_visibility_limitations": "Inquadratura dall'alto con effetto grandangolare (fisheye) e risoluzione limitata, che rende difficile identificare dettagli minuti come calzature di sicurezza o elmetti."}</t>
        </is>
      </c>
      <c r="E3" s="7" t="inlineStr">
        <is>
          <t>{"unsafe_behaviors": [], "vulnerable_elements": ["Operatori nel corridoio"], "risk_cues": {"S1_people_vehicle_interference": 0.0, "S2_visibility_attention_reduction": 0.0, "S3_non_compliant_behavior": 0.0, "S4_vehicle_infrastructure_interference": 0.0, "S5_storage_structural_instability": 0.25, "S6_access_to_moving_mechanical_parts": 0.0, "S7_manual_handling_heavy_unstable_loads": 0.25}, "cue_confidence": 0.8, "diagnostic_notes": "La scena mostra un corridoio sgombro e ben illuminato. Gli operatori sono fermi vicino a un carrello manuale e non vi sono mezzi di movimentazione motorizzati in transito. La presenza di scaffalature industriali alte e di attrezzature per la movimentazione manuale (transpallet e carrello) costituisce un rischio intrinseco standard per l'ambiente (valutato come debole evidenza), ma non si rilevano situazioni di pericolo attivo, instabilità dei carichi o comportamenti non conformità comportamenti non conformi."}</t>
        </is>
      </c>
      <c r="F3" s="7" t="inlineStr">
        <is>
          <t>{"causal_chain_plausible": false, "causal_chain_text": "La scena mostra un ambiente di lavoro ordinato e conforme. Non si rilevano comportamenti non conformi o instabilità dei carichi che possano innescare una catena causale verso un incidente.", "near_miss_or_incident_scenario": "Nessuno scenario di near miss o incidente è ritenuto probabile nelle condizioni attuali.", "contributing_factors": ["Presenza di scaffalature industriali alte", "Movimentazione manuale dei carichi con transpallet e carrello"]}</t>
        </is>
      </c>
      <c r="G3" s="7" t="n">
        <v>2.36</v>
      </c>
      <c r="H3" s="7" t="n">
        <v>10.6</v>
      </c>
      <c r="I3" s="9" t="inlineStr">
        <is>
          <t>verde</t>
        </is>
      </c>
    </row>
    <row r="4" ht="34" customHeight="1">
      <c r="A4" s="7" t="n">
        <v>2</v>
      </c>
      <c r="B4" s="7" t="n">
        <v>4</v>
      </c>
      <c r="C4" s="7" t="n">
        <v>8</v>
      </c>
      <c r="D4" s="7" t="inlineStr">
        <is>
          <t>{"scene_state": "Corridoio di un magazzino con scaffalature industriali alte su entrambi i lati cariche di merci pallettizzate.", "environmental_conditions": ["Illuminazione artificiale interna uniforme", "Pavimentazione liscia di colore verde", "Ambiente pulito e ordinato"], "people": ["Due operatori in primo piano in basso", "Una persona visibile in lontananza lungo il corridoio"], "objects": ["Pallet avvolti in pellicola protettiva sulle scaffalature", "Scatole di cartone", "Carrello per il trasporto di merci"], "machines": ["Transpallet manuale posizionato vicino ai lavoratori"], "observable_actions": ["I lavoratori sono fermi o compiono piccoli movimenti vicino al carrello merci"], "visible_ppe": ["Indumenti ad alta visibilità di colore giallo e arancione"], "notes_visibility_limitations": "Inquadratura dall'alto con lente grandangolare che distorce i dettagli e rende difficile l'identificazione precisa di piccoli DPI."}</t>
        </is>
      </c>
      <c r="E4" s="7" t="inlineStr">
        <is>
          <t>{"unsafe_behaviors": [], "vulnerable_elements": ["Due operatori in primo piano nel corridoio", "Persona in lontananza lungo il corridoio"], "risk_cues": {"S1_people_vehicle_interference": 0.25, "S2_visibility_attention_reduction": 0.25, "S3_non_compliant_behavior": 0.0, "S4_vehicle_infrastructure_interference": 0.2, "S5_storage_structural_instability": 0.25, "S6_access_to_moving_mechanical_parts": 0.0, "S7_manual_handling_heavy_unstable_loads": 0.25}, "cue_confidence": 0.75, "diagnostic_notes": "L'ambiente si presenta ordinato e pulito, con gli operatori che indossano indumenti ad alta visibilità. La presenza di un transpallet manuale e di scaffalature alte cariche di pallet configura un livello di rischio intrinseco basso e gestito. Non si rilevano comportamenti non conformi o interferenze critiche. L'inquadratura dall'alto e la lente grandangolare limitano la visibilità dei dettagli più dettagliata dei dettagliata di piccoli."}</t>
        </is>
      </c>
      <c r="F4" s="7" t="inlineStr">
        <is>
          <t>{"causal_chain_plausible": false, "causal_chain_text": "Non si identifica una catena causale plausibile per un incidente significativo. L'ambiente è pulito, ordinato e i lavoratori indossano DPI ad alta visibilità, riducendo al minimo i rischi di interferenza.", "near_miss_or_incident_scenario": "Nessun scenario di rilievo. L'unico rischio residuo è rappresentato da un potenziale e lieve inciampo accidentale sul transpallet manuale fermo nel corridoio.", "contributing_factors": ["Presenza di un transpallet manuale fermo nel corridoio di transito", "Limitazione visiva dei piccoli dettagli dovuta all'inquadratura grandangolare dall'alto"]}</t>
        </is>
      </c>
      <c r="G4" s="7" t="n">
        <v>8.34</v>
      </c>
      <c r="H4" s="7" t="n">
        <v>10.74</v>
      </c>
      <c r="I4" s="9" t="inlineStr">
        <is>
          <t>verde</t>
        </is>
      </c>
    </row>
    <row r="5" ht="34" customHeight="1">
      <c r="A5" s="7" t="n">
        <v>3</v>
      </c>
      <c r="B5" s="7" t="n">
        <v>6</v>
      </c>
      <c r="C5" s="7" t="n">
        <v>10</v>
      </c>
      <c r="D5" s="7" t="inlineStr">
        <is>
          <t>{"scene_state": "Corsia di un magazzino con scaffalature industriali alte su entrambi i lati, cariche di merci pallettizzate.", "environmental_conditions": ["Illuminazione artificiale interna uniforme", "Pavimentazione di colore verde, apparentemente pulita e sgombra"], "people": ["Un operatore in primo piano in basso al centro", "Un secondo operatore visibile in lontananza lungo la corsia"], "objects": ["Scaffalature metalliche", "Pallet con merci imballate in pellicola plastica", "Carrello manuale o transpallet"], "machines": ["Transpallet manuale posizionato nella corsia"], "observable_actions": ["L'operatore in primo piano è fermo vicino al transpallet", "L'operatore sullo sfondo è statico o in movimento lento lungo la corsia"], "visible_ppe": ["Giacca o gilet ad alta visibilità di colore giallo/arancione indossato dall'operatore in primo piano"], "notes_visibility_limitations": "Inquadratura dall'alto con lente grandangolare che distorce i dettagli ai margini e rende difficile identificare con precisione i dettagli dei DPI e i volti delle persone."}</t>
        </is>
      </c>
      <c r="E5" s="7" t="inlineStr">
        <is>
          <t>{"unsafe_behaviors": [], "vulnerable_elements": ["Operatore in primo piano", "Operatore sullo sfondo"], "risk_cues": {"S1_people_vehicle_interference": 0.25, "S2_visibility_attention_reduction": 0.25, "S3_non_compliant_behavior": 0.0, "S4_vehicle_infrastructure_interference": 0.0, "S5_storage_structural_instability": 0.25, "S6_access_to_moving_mechanical_parts": 0.0, "S7_manual_handling_heavy_unstable_loads": 0.0}, "cue_confidence": 0.8, "diagnostic_notes": "La scena presenta una situazione di lavoro stabile e apparentemente sicura. Gli operatori sono statici e il transpallet manuale non è in fase di manovra attiva, minimizzando i rischi di interferenza immediata. I punteggi bassi ma non nulli su S1, S2 e S5 riflettono i rischi intrinseci legati alla presenza di scaffalature alte e alla condivisione degli spazi con attrezzature di movimentazione, oltre ai limiti di visibilità imposti dall'inquadratura grandangolare."}</t>
        </is>
      </c>
      <c r="F5" s="7" t="inlineStr">
        <is>
          <t>{"causal_chain_plausible": true, "causal_chain_text": "La compresenza di operatori a piedi e di un transpallet in una corsia stretta con scaffalature alte configura un rischio intrinseco. Se l'operatore in primo piano iniziasse a movimentare il transpallet senza accertarsi della posizione del collega sullo sfondo, o se si verificasse un urto accidentale contro i montanti delle scaffalature, potrebbe innescarsi la caduta di materiali dall'alto o un investimento.", "near_miss_or_incident_scenario": "Urto accidentale della scaffalatura da parte del transpallet manuale con potenziale caduta di oggetti o instabilità del carico pallettizzato, oppure interferenza stretta con l'operatore sullo sfondo.", "contributing_factors": ["Presenza di attrezzature di movimentazione e pedoni nello stesso spazio di lavoro", "Stoccaggio di merci pallettizzate ad altezze elevate", "Limitazioni di visibilità e percezione dello spazio dovute alla configurazione della corsia"]}</t>
        </is>
      </c>
      <c r="G5" s="7" t="n">
        <v>6.83</v>
      </c>
      <c r="H5" s="7" t="n">
        <v>8.390000000000001</v>
      </c>
      <c r="I5" s="9" t="inlineStr">
        <is>
          <t>verde</t>
        </is>
      </c>
    </row>
    <row r="6" ht="34" customHeight="1">
      <c r="A6" s="7" t="n">
        <v>4</v>
      </c>
      <c r="B6" s="7" t="n">
        <v>8</v>
      </c>
      <c r="C6" s="7" t="n">
        <v>12</v>
      </c>
      <c r="D6" s="7" t="inlineStr">
        <is>
          <t>{"scene_state": "Inquadratura dall'alto di un corridoio di un magazzino logistico con scaffalature industriali cariche di merci su entrambi i lati.", "environmental_conditions": ["Illuminazione artificiale interna uniforme", "Pavimentazione liscia e sgombra nel corridoio centrale"], "people": ["Un operatore situato nel corridoio centrale vicino a un carrello/transpallet."], "objects": ["Scaffalature metalliche", "Pallet con merci imballate in pellicola plastica", "Scatole di cartone", "Carrello manuale o transpallet"], "machines": ["Transpallet o carrello di movimentazione merci"], "observable_actions": ["L'operatore è fermo nel corridoio accanto al carrello, apparentemente intento a gestire le merci."], "visible_ppe": ["Gilet o giubbotto ad alta visibilità di colore giallo/arancione", "Copricapo o elmetto protettivo giallo"], "notes_visibility_limitations": "La visuale dall'alto e la distanza della telecamera limitano la nitidezza dei dettagli del volto dell'operatore e dei DPI specifici."}</t>
        </is>
      </c>
      <c r="E6" s="7" t="inlineStr">
        <is>
          <t>{"unsafe_behaviors": [], "vulnerable_elements": ["Operatore nel corridoio centrale"], "risk_cues": {"S1_people_vehicle_interference": 0.25, "S2_visibility_attention_reduction": 0.25, "S3_non_compliant_behavior": 0.0, "S4_vehicle_infrastructure_interference": 0.0, "S5_storage_structural_instability": 0.25, "S6_access_to_moving_mechanical_parts": 0.0, "S7_manual_handling_heavy_unstable_loads": 0.25}, "cue_confidence": 0.8, "diagnostic_notes": "L'operatore risulta correttamente equipaggiato con DPI visibili (gilet ad alta visibilità ed elmetto) ed è fermo accanto a un transpallet manuale. Non si osservano mezzi motorizzati in movimento né comportamenti non conformi. La presenza di scaffalature industriali cariche in quota comporta un rischio intrinseco di instabilità/caduta materiali (S5), sebbene non si notino anomalie strutturali. Le attività di gestione merci vicino al carrello mantengono un livello di rischio debole/potenziale per movimentazione carichi e distrazione temporanea."}</t>
        </is>
      </c>
      <c r="F6" s="7" t="inlineStr">
        <is>
          <t>{"causal_chain_plausible": false, "causal_chain_text": "Non si ravvisano catene causali attive. L'operatore indossa i DPI necessari (elmetto, gilet) e opera con un transpallet manuale in un corridoio sgombro, senza interferenze di mezzi motorizzati o comportamenti non conformi.", "near_miss_or_incident_scenario": "Nessun incidente altamente probabile. L'unico scenario latente e a bassa probabilità riguarda la perdita di equilibrio del carico durante la movimentazione manuale o la caduta di oggetti dalle scaffalature.", "contributing_factors": ["Presenza di merci stoccate in quota sulle scaffalature", "Operazioni di movimentazione manuale dei carichi"]}</t>
        </is>
      </c>
      <c r="G6" s="7" t="n">
        <v>7.19</v>
      </c>
      <c r="H6" s="7" t="n">
        <v>7.76</v>
      </c>
      <c r="I6" s="9" t="inlineStr">
        <is>
          <t>verde</t>
        </is>
      </c>
    </row>
    <row r="7" ht="34" customHeight="1">
      <c r="A7" s="7" t="n">
        <v>5</v>
      </c>
      <c r="B7" s="7" t="n">
        <v>10</v>
      </c>
      <c r="C7" s="7" t="n">
        <v>14</v>
      </c>
      <c r="D7" s="7" t="inlineStr">
        <is>
          <t>{"scene_state": "Inquadratura dall'alto di un corridoio di un magazzino con scaffalature industriali su entrambi i lati.", "environmental_conditions": ["Illuminazione artificiale interna", "Pavimentazione liscia di colore verde", "Ambiente pulito e ordinato"], "people": ["Un operatore situato nella parte inferiore centrale del corridoio, vicino a un transpallet."], "objects": ["Scaffalature metalliche verticali", "Pallet stoccati carichi di merci imballate con pellicola trasparente"], "machines": ["Un transpallet manuale o elettrico nel corridoio", "Un possibile carrello elevatore o veicolo automatizzato visibile in lontananza lungo il corridoio"], "observable_actions": ["L'operatore è fermo vicino al transpallet", "La scena appare prevalentemente statica durante l'intervallo temporale"], "visible_ppe": ["Giacca o gilet ad alta visibilità di colore giallo/arancione"], "notes_visibility_limitations": "La telecamera è posizionata molto in alto con un obiettivo grandangolare, riducendo la risoluzione dei dettagli sui singoli operatori e sui DPI specifici."}</t>
        </is>
      </c>
      <c r="E7" s="7" t="inlineStr">
        <is>
          <t>{"unsafe_behaviors": [], "vulnerable_elements": ["Operatore situato nel corridoio vicino al transpallet"], "risk_cues": {"S1_people_vehicle_interference": 0.25, "S2_visibility_attention_reduction": 0.0, "S3_non_compliant_behavior": 0.0, "S4_vehicle_infrastructure_interference": 0.0, "S5_storage_structural_instability": 0.0, "S6_access_to_moving_mechanical_parts": 0.0, "S7_manual_handling_heavy_unstable_loads": 0.0}, "cue_confidence": 0.8, "diagnostic_notes": "La scena si presenta ordinata e prevalentemente statica. L'operatore indossa un gilet ad alta visibilità ed è fermo vicino a un transpallet. Un secondo mezzo è visibile solo in lontananza, riducendo il rischio immediato di interferenza (S1 valutato 0.25 come presenza potenziale nello stesso corridoio). La distanza e l'altezza della telecamera limitano la visibilità dei dettagli più piccoli."}</t>
        </is>
      </c>
      <c r="F7" s="7" t="inlineStr">
        <is>
          <t>{"causal_chain_plausible": true, "causal_chain_text": "La compresenza di un operatore a piedi e di un veicolo, seppur distante, nello stesso corridoio di transito configura un rischio di interferenza. Un eventuale movimento del veicolo verso l'operatore, combinato con una distrazione o mancata percezione reciproca, può portare a un investimento.", "near_miss_or_incident_scenario": "Collisione o mancato investimento dell'operatore a piedi da parte del veicolo in transito nel corridoio.", "contributing_factors": ["Presenza contemporanea di pedone e mezzo semovente nello stesso corridoio", "Potenziale distrazione dell'operatore fermo vicino al transpallet"]}</t>
        </is>
      </c>
      <c r="G7" s="7" t="n">
        <v>3.98</v>
      </c>
      <c r="H7" s="7" t="n">
        <v>5.49</v>
      </c>
      <c r="I7" s="9" t="inlineStr">
        <is>
          <t>verde</t>
        </is>
      </c>
    </row>
    <row r="8" ht="34" customHeight="1">
      <c r="A8" s="7" t="n">
        <v>6</v>
      </c>
      <c r="B8" s="7" t="n">
        <v>12</v>
      </c>
      <c r="C8" s="7" t="n">
        <v>16</v>
      </c>
      <c r="D8" s="7" t="inlineStr">
        <is>
          <t>{"scene_state": "Interno di un magazzino logistico con alte scaffalature verticali contenenti merci pallettizzate.", "environmental_conditions": ["Illuminazione artificiale interna", "Pavimentazione industriale verde", "Corsia di transito sgombra da ostacoli improvvisi"], "people": ["Un operatore situato nella parte inferiore dell'inquadratura", "Un secondo operatore visibile in fondo alla corsia vicino al muletto"], "objects": ["Scaffali metallici industriali", "Pallet carichi di merci imballate con pellicola protettiva", "Transpallet manuale"], "machines": ["Carrello elevatore (muletto) posizionato nella corsia centrale"], "observable_actions": ["L'operatore in primo piano si sposta vicino al transpallet", "Il carrello elevatore è posizionato lungo la corsia di passaggio"], "visible_ppe": ["Gilet ad alta visibilità (colore giallo/arancione)"], "notes_visibility_limitations": "Inquadratura dall'alto con lente grandangolare che distorce leggermente i lati e riduce la visibilità dei dettagli dei DPI minori."}</t>
        </is>
      </c>
      <c r="E8" s="7" t="inlineStr">
        <is>
          <t>{"unsafe_behaviors": ["Presenza di pedoni nella stessa corsia di transito del carrello elevatore senza evidente separazione fisica"], "vulnerable_elements": ["Operatore in primo piano vicino al transpallet", "Operatore in fondo alla corsia vicino al carrello elevatore"], "risk_cues": {"S1_people_vehicle_interference": 0.5, "S2_visibility_attention_reduction": 0.25, "S3_non_compliant_behavior": 0.0, "S4_vehicle_infrastructure_interference": 0.25, "S5_storage_structural_instability": 0.25, "S6_access_to_moving_mechanical_parts": 0.0, "S7_manual_handling_heavy_unstable_loads": 0.0}, "cue_confidence": 0.8, "diagnostic_notes": "Rilevata compresenza di pedoni e un carrello elevatore nella corsia di transito (S1). L'inquadratura grandangolare dall'alto limita la visibilità dei dettagli dei DPI minori e la valutazione di eventuali riduzioni di visibilità specifiche (S2)."}</t>
        </is>
      </c>
      <c r="F8" s="7" t="inlineStr">
        <is>
          <t>{"causal_chain_plausible": true, "causal_chain_text": "La compresenza di pedoni e del carrello elevatore nella stessa corsia, priva di barriere fisiche di separazione, crea un rischio di interferenza. Se il carrello si mette in movimento o effettua manovre di svolta o retromarcia, la distrazione degli operatori a piedi o la visibilità limitata del conducente possono portare a un impatto.", "near_miss_or_incident_scenario": "Investimento o quasi-investimento di un operatore a piedi da parte del carrello elevatore in movimento o in fase di manovra nella corsia comune.", "contributing_factors": ["Mancata segregazione fisica tra flusso pedonale e veicolare nella corsia", "Presenza di operatori a piedi nell'area di transito e manovra del muletto", "Potenziale distrazione dovuta alle attività di movimentazione manuale con transpallet"]}</t>
        </is>
      </c>
      <c r="G8" s="7" t="n">
        <v>11.66</v>
      </c>
      <c r="H8" s="7" t="n">
        <v>11.11</v>
      </c>
      <c r="I8" s="9" t="inlineStr">
        <is>
          <t>verde</t>
        </is>
      </c>
    </row>
    <row r="9" ht="34" customHeight="1">
      <c r="A9" s="7" t="n">
        <v>7</v>
      </c>
      <c r="B9" s="7" t="n">
        <v>14</v>
      </c>
      <c r="C9" s="7" t="n">
        <v>18</v>
      </c>
      <c r="D9" s="7" t="inlineStr">
        <is>
          <t>{"scene_state": "Corsia di un magazzino intensivo con scaffalature industriali su entrambi i lati cariche di merci pallettizzate.", "environmental_conditions": ["Illuminazione artificiale interna costante", "Pavimentazione verde pulita"], "people": ["Due operatori situati nella parte inferiore dell'inquadratura vicino a un carrello."], "objects": ["Scaffalature metalliche", "Pallet con merci imballate", "Carrello manuale", "Scatole"], "machines": ["Un carrello elevatore posizionato in fondo alla corsia."], "observable_actions": ["Gli operatori sono fermi vicino al carrello in primo piano.", "Il carrello elevatore in fondo alla corsia è fermo o in manovra."], "visible_ppe": ["Gilet ad alta visibilità giallo/arancione", "Caschetti di protezione gialli"], "notes_visibility_limitations": "Inquadratura grandangolare dall'alto (effetto fisheye) che riduce la visibilità dei dettagli più lontani."}</t>
        </is>
      </c>
      <c r="E9" s="7" t="inlineStr">
        <is>
          <t>{"unsafe_behaviors": [], "vulnerable_elements": ["Due operatori a piedi nella corsia di transito"], "risk_cues": {"S1_people_vehicle_interference": 0.25, "S2_visibility_attention_reduction": 0.25, "S3_non_compliant_behavior": 0.0, "S4_vehicle_infrastructure_interference": 0.25, "S5_storage_structural_instability": 0.0, "S6_access_to_moving_mechanical_parts": 0.0, "S7_manual_handling_heavy_unstable_loads": 0.0}, "cue_confidence": 0.8, "diagnostic_notes": "La compresenza di operatori a piedi e di un carrello elevatore nella stessa corsia, sebbene a distanza di sicurezza temporanea, configura un potenziale rischio di interferenza (S1). La manovra del carrello in fondo alla corsia stretta richiede attenzione per evitare contatti con le scaffalature (S4). La visibilità dei dettagli in fondo è parzialmente ridotta dall'effetto grandangolare della telecamera (S2)."}</t>
        </is>
      </c>
      <c r="F9" s="7" t="inlineStr">
        <is>
          <t>{"causal_chain_plausible": true, "causal_chain_text": "La compresenza di operatori a piedi e di un carrello elevatore in manovra nella stessa corsia stretta crea un rischio di interferenza. Se il conducente del carrello effettua una manovra senza avvedersi della presenza dei pedoni a causa della distanza o di angoli ciechi, o se i pedoni si muovono improvvisamente verso l'area di manovra, si può verificare un impatto.", "near_miss_or_incident_scenario": "Quasi-investimento di un operatore a piedi da parte del carrello elevatore in fase di manovra o retromarcia all'interno della corsia.", "contributing_factors": ["Presenza simultanea di pedoni e mezzi d'opera semoventi nella stessa corsia di transito", "Spazio di manovra ristretto delimitato da scaffalature industriali cariche", "Possibile limitazione della visibilità reciproca dovuta alla distanza lungo la corsia"]}</t>
        </is>
      </c>
      <c r="G9" s="7" t="n">
        <v>8.09</v>
      </c>
      <c r="H9" s="7" t="n">
        <v>9.300000000000001</v>
      </c>
      <c r="I9" s="9" t="inlineStr">
        <is>
          <t>verde</t>
        </is>
      </c>
    </row>
    <row r="10" ht="34" customHeight="1">
      <c r="A10" s="7" t="n">
        <v>8</v>
      </c>
      <c r="B10" s="7" t="n">
        <v>16</v>
      </c>
      <c r="C10" s="7" t="n">
        <v>20</v>
      </c>
      <c r="D10" s="7" t="inlineStr">
        <is>
          <t>{"scene_state": "Corsia interna di un magazzino con scaffalature industriali alte su entrambi i lati, cariche di merci pallettizzate.", "environmental_conditions": ["Illuminazione artificiale interna uniforme", "Pavimentazione liscia e pulita di colore verde/grigio"], "people": ["Un operatore a piedi in primo piano", "Un operatore a bordo del carrello elevatore sullo sfondo"], "objects": ["Scaffalature metalliche", "Pallet con merci imballate in film plastico", "Un transpallet manuale", "Un carrello manuale con scatole"], "machines": ["Un carrello elevatore (muletto) in movimento lungo la corsia sullo sfondo"], "observable_actions": ["Il carrello elevatore si muove lungo la corsia centrale", "L'operatore in primo piano si muove vicino al carrello manuale"], "visible_ppe": ["Gilet o maglietta ad alta visibilità di colore giallo per l'operatore in primo piano"], "notes_visibility_limitations": "Inquadratura dall'alto con lente grandangolare che distorce leggermente i lati. La distanza e la risoluzione limitano la visibilità dei dettagli del volto e di altri DPI specifici."}</t>
        </is>
      </c>
      <c r="E10" s="7" t="inlineStr">
        <is>
          <t>{"unsafe_behaviors": ["Transito di pedone in corsia di manovra del carrello elevatore senza separazione fisica visibile"], "vulnerable_elements": ["Operatore a piedi in primo piano"], "risk_cues": {"S1_people_vehicle_interference": 0.5, "S2_visibility_attention_reduction": 0.25, "S3_non_compliant_behavior": 0.25, "S4_vehicle_infrastructure_interference": 0.25, "S5_storage_structural_instability": 0.25, "S6_access_to_moving_mechanical_parts": 0.0, "S7_manual_handling_heavy_unstable_loads": 0.25}, "cue_confidence": 0.7, "diagnostic_notes": "Presenza contemporanea di un carrello elevatore in movimento e un operatore a piedi nella stessa corsia di stoccaggio. L'operatore a piedi indossa un gilet ad alta visibilità, riducendo parzialmente il rischio di investimento. L'inquadratura grandangolare e la distanza limitano la verifica di altri DPI specifici."}</t>
        </is>
      </c>
      <c r="F10" s="7" t="inlineStr">
        <is>
          <t>{"causal_chain_plausible": true, "causal_chain_text": "La compresenza di un carrello elevatore in movimento e di un pedone nella stessa corsia, priva di barriere fisiche, genera rischio di interferenza. Un movimento improvviso del pedone o una distrazione del conducente può causare un impatto.", "near_miss_or_incident_scenario": "Investimento del pedone da parte del carrello elevatore in transito nella corsia centrale del magazzino.", "contributing_factors": ["Mancanza di separazione fisica tra flusso pedonale e veicolare", "Presenza contemporanea di pedone e muletto nella stessa corsia", "Limitazioni di visibilità dovute alla distanza e alla configurazione della corsia"]}</t>
        </is>
      </c>
      <c r="G10" s="7" t="n">
        <v>13.33</v>
      </c>
      <c r="H10" s="7" t="n">
        <v>13.03</v>
      </c>
      <c r="I10" s="9" t="inlineStr">
        <is>
          <t>verde</t>
        </is>
      </c>
    </row>
    <row r="11" ht="34" customHeight="1">
      <c r="A11" s="7" t="n">
        <v>9</v>
      </c>
      <c r="B11" s="7" t="n">
        <v>18</v>
      </c>
      <c r="C11" s="7" t="n">
        <v>22</v>
      </c>
      <c r="D11" s="7" t="inlineStr">
        <is>
          <t>{"scene_state": "Inquadratura dall'alto di un corridoio di un magazzino con scaffalature industriali alte su entrambi i lati.", "environmental_conditions": ["Illuminazione artificiale interna", "Pavimentazione liscia di colore verde con corsia centrale sgombra"], "people": ["Un operatore con maglia gialla situato nella parte inferiore centrale", "Un secondo operatore parzialmente visibile in basso a destra vicino alle scaffalature"], "objects": ["Scaffalature metalliche portapallet", "Merci imballate su pallet", "Un transpallet manuale o carrello nella parte inferiore"], "machines": ["Un carrello elevatore posizionato lungo il corridoio sullo sfondo"], "observable_actions": ["L'operatore in maglia gialla è fermo o in leggero movimento vicino al transpallet", "Il carrello elevatore sullo sfondo appare fermo o in fase di manovra lenta"], "visible_ppe": ["Maglia di colore giallo (potenziale alta visibilità, non chiaramente verificabile)"], "notes_visibility_limitations": "La prospettiva dall'alto e la distanza della telecamera limitano la visibilità dei dettagli dei DPI specifici e dei volti."}</t>
        </is>
      </c>
      <c r="E11" s="7" t="inlineStr">
        <is>
          <t>{"unsafe_behaviors": ["Presenza di pedoni nella stessa corsia di manovra del carrello elevatore", "Mancata verifica dell'uso di DPI specifici (es. scarpe antinfortunistiche, elmetto) a causa della distanza"], "vulnerable_elements": ["Operatore in maglia gialla vicino al transpallet", "Secondo operatore parzialmente visibile vicino alle scaffalature"], "risk_cues": {"S1_people_vehicle_interference": 0.5, "S2_visibility_attention_reduction": 0.25, "S3_non_compliant_behavior": 0.25, "S4_vehicle_infrastructure_interference": 0.5, "S5_storage_structural_instability": 0.25, "S6_access_to_moving_mechanical_parts": 0.0, "S7_manual_handling_heavy_unstable_loads": 0.25}, "cue_confidence": 0.7, "diagnostic_notes": "La compresenza di operatori a piedi e di un carrello elevatore nello stesso corridoio, sebbene a distanza, configura un rischio moderato di interferenza (S1). Le manovre del carrello elevatore in un corridoio stretto con scaffalature alte presentano un potenziale rischio di urto con le strutture (S4). La prospettiva dall'alto e la distanza limitano la valutazione dettagliata dei DPI e di eventuali comportamenti non conformi specifici."}</t>
        </is>
      </c>
      <c r="F11" s="7" t="inlineStr">
        <is>
          <t>{"causal_chain_plausible": true, "causal_chain_text": "La compresenza di pedoni e di un carrello elevatore in movimento nello stesso corridoio stretto può generare una collisione se l'operatore del mezzo ha la visuale ostruita o se i pedoni non avvertono l'avvicinamento del veicolo.", "near_miss_or_incident_scenario": "Investimento di un operatore a piedi da parte del carrello elevatore durante una manovra nel corridoio, o urto del carrello contro le scaffalature con caduta di merci.", "contributing_factors": ["Presenza contemporanea di pedoni e carrello elevatore nella stessa corsia", "Spazio di manovra limitato nel corridoio stretto", "Possibile visibilità limitata tra operatori e conducente"]}</t>
        </is>
      </c>
      <c r="G11" s="7" t="n">
        <v>22.97</v>
      </c>
      <c r="H11" s="7" t="n">
        <v>21.4</v>
      </c>
      <c r="I11" s="9" t="inlineStr">
        <is>
          <t>verde</t>
        </is>
      </c>
    </row>
    <row r="12" ht="34" customHeight="1">
      <c r="A12" s="7" t="n">
        <v>10</v>
      </c>
      <c r="B12" s="7" t="n">
        <v>20</v>
      </c>
      <c r="C12" s="7" t="n">
        <v>24</v>
      </c>
      <c r="D12" s="7" t="inlineStr">
        <is>
          <t>{"scene_state": "Interno di un magazzino con scaffalature industriali alte su entrambi i lati di un corridoio centrale.", "environmental_conditions": ["Illuminazione artificiale", "Pavimentazione verde"], "people": ["Un operatore a piedi in primo piano", "Un possibile operatore a bordo del carrello elevatore in fondo al corridoio"], "objects": ["Scaffalature metalliche", "Pallet con merci imballate", "Transpallet manuale"], "machines": ["Carrello elevatore (muletto) posizionato nel corridoio"], "observable_actions": ["L'operatore in primo piano è fermo vicino al transpallet manuale", "Il carrello elevatore è posizionato lungo il corridoio centrale"], "visible_ppe": ["Indumento ad alta visibilità di colore giallo indossato dall'operatore in primo piano"], "notes_visibility_limitations": "Inquadratura dall'alto con lente grandangolare e risoluzione che limita la visibilità dei dettagli minuti."}</t>
        </is>
      </c>
      <c r="E12" s="7" t="inlineStr">
        <is>
          <t>{"unsafe_behaviors": [], "vulnerable_elements": ["Operatore a piedi nel corridoio centrale"], "risk_cues": {"S1_people_vehicle_interference": 0.5, "S2_visibility_attention_reduction": 0.25, "S3_non_compliant_behavior": 0.0, "S4_vehicle_infrastructure_interference": 0.25, "S5_storage_structural_instability": 0.25, "S6_access_to_moving_mechanical_parts": 0.0, "S7_manual_handling_heavy_unstable_loads": 0.0}, "cue_confidence": 0.8, "diagnostic_notes": "Si rileva la compresenza nello stesso corridoio di un operatore a piedi e di un carrello elevatore, configurando un potenziale rischio di interferenza (S1), sebbene i soggetti si trovino a distanza. L'operatore indossa DPI ad alta visibilità. Non si osservano comportamenti non conformi o instabilità strutturali evidenti, ma la risoluzione e l'inquadratura grandangolare limitano l'analisi di dettagli minuti."}</t>
        </is>
      </c>
      <c r="F12" s="7" t="inlineStr">
        <is>
          <t>{"causal_chain_plausible": true, "causal_chain_text": "La compresenza di un operatore a piedi e di un carrello elevatore nello stesso corridoio di transito crea un rischio di interferenza. Se il carrello si mette in movimento o l'operatore si sposta senza reciproca visibilità o coordinamento, si può verificare una collisione.", "near_miss_or_incident_scenario": "Investimento del pedone da parte del carrello elevatore durante le manovre di movimentazione nel corridoio centrale.", "contributing_factors": ["Compresenza di pedoni e mezzi semoventi nello stesso corridoio", "Spazio di manovra limitato dalla presenza di scaffalature e merci", "Possibile riduzione dell'attenzione o della visibilità reciproca a distanza"]}</t>
        </is>
      </c>
      <c r="G12" s="7" t="n">
        <v>11.66</v>
      </c>
      <c r="H12" s="7" t="n">
        <v>15.56</v>
      </c>
      <c r="I12" s="9" t="inlineStr">
        <is>
          <t>verde</t>
        </is>
      </c>
    </row>
    <row r="13" ht="34" customHeight="1">
      <c r="A13" s="7" t="n">
        <v>11</v>
      </c>
      <c r="B13" s="7" t="n">
        <v>22</v>
      </c>
      <c r="C13" s="7" t="n">
        <v>26</v>
      </c>
      <c r="D13" s="7" t="inlineStr">
        <is>
          <t>{"scene_state": "Corridoio interno di un magazzino con scaffalature industriali alte su entrambi i lati, cariche di merci pallettizzate.", "environmental_conditions": ["Illuminazione artificiale interna", "Pavimentazione verde con corsia centrale"], "people": ["Un operatore a terra in primo piano", "Un operatore alla guida del carrello elevatore", "Un operatore parzialmente visibile in basso a destra"], "objects": ["Scaffalature metalliche", "Pallet con merci imballate", "Transpallet manuale"], "machines": ["Carrello elevatore di colore giallo in movimento nel corridoio"], "observable_actions": ["Il carrello elevatore si muove lungo il corridoio centrale", "L'operatore in primo piano staziona vicino al transpallet"], "visible_ppe": ["Gilet o indumento ad alta visibilità giallo indossato dall'operatore in primo piano"], "notes_visibility_limitations": "Inquadratura dall'alto e distanza della telecamera che limitano la visibilità dei dettagli e l'identificazione di ulteriori DPI."}</t>
        </is>
      </c>
      <c r="E13" s="7" t="inlineStr">
        <is>
          <t>{"unsafe_behaviors": ["Stazionamento di operatori a terra nella corsia di transito del carrello elevatore in movimento"], "vulnerable_elements": ["Operatore a terra in primo piano", "Operatore parzialmente visibile in basso a destra"], "risk_cues": {"S1_people_vehicle_interference": 0.75, "S2_visibility_attention_reduction": 0.5, "S3_non_compliant_behavior": 0.5, "S4_vehicle_infrastructure_interference": 0.5, "S5_storage_structural_instability": 0.25, "S6_access_to_moving_mechanical_parts": 0.0, "S7_manual_handling_heavy_unstable_loads": 0.0}, "cue_confidence": 0.8, "diagnostic_notes": "Forte rischio di interferenza (S1) dovuto alla compresenza di pedoni e carrello elevatore nello stesso corridoio senza separazione fisica. Possibile riduzione della visibilità/attenzione (S2) durante le manovre. Limitazioni visive dovute all'altezza della telecamera."}</t>
        </is>
      </c>
      <c r="F13" s="7" t="inlineStr">
        <is>
          <t>{"causal_chain_plausible": true, "causal_chain_text": "La compresenza di operatori a terra e di un carrello elevatore in movimento nello stesso corridoio, privo di barriere fisiche di separazione, genera un'interferenza diretta. Una distrazione del conducente o del pedone, o un angolo cieco durante la marcia, può portare a un impatto improvviso.", "near_miss_or_incident_scenario": "Investimento di un operatore a terra da parte del carrello elevatore in transito lungo il corridoio del magazzino.", "contributing_factors": ["Mancata segregazione fisica tra la via di transito del mezzo e l'area di stazionamento dei pedoni", "Presenza di operatori a terra nella traiettoria di movimento del carrello elevatore", "Possibile riduzione della visibilità e dell'attenzione reciproca all'interno del corridoio"]}</t>
        </is>
      </c>
      <c r="G13" s="7" t="n">
        <v>29.37</v>
      </c>
      <c r="H13" s="7" t="n">
        <v>28.27</v>
      </c>
      <c r="I13" s="8" t="inlineStr">
        <is>
          <t>giallo</t>
        </is>
      </c>
    </row>
    <row r="14" ht="34" customHeight="1">
      <c r="A14" s="7" t="n">
        <v>12</v>
      </c>
      <c r="B14" s="7" t="n">
        <v>24</v>
      </c>
      <c r="C14" s="7" t="n">
        <v>28</v>
      </c>
      <c r="D14" s="7" t="inlineStr">
        <is>
          <t>{"scene_state": "Crollo improvviso di una scaffalatura industriale all'interno di un magazzino.", "environmental_conditions": ["Illuminazione artificiale interna", "Ambiente chiuso (magazzino)"], "people": ["Un operatore a terra nella parte inferiore dell'inquadratura", "Un operatore a bordo del carrello elevatore"], "objects": ["Scaffalature metalliche portapallet", "Pallet con merci stoccate", "Merci e detriti derivanti dal crollo"], "machines": ["Un carrello elevatore giallo posizionato nel corridoio centrale"], "observable_actions": ["Il carrello elevatore si trova nel corridoio tra le scaffalature", "La struttura di stoccaggio sul lato destro collassa improvvisamente, riversando merci e componenti metallici nel corridoio"], "visible_ppe": ["Indumento ad alta visibilità di colore giallo indossato dall'operatore a terra"], "notes_visibility_limitations": "Inquadratura fissa dall'alto (telecamera di sicurezza). La distanza e la rapidità del crollo limitano la visibilità dei dettagli minuti e dei DPI specifici."}</t>
        </is>
      </c>
      <c r="E14" s="7" t="inlineStr">
        <is>
          <t>{"unsafe_behaviors": ["Presenza di un operatore a terra in un'area di transito e manovra di carrelli elevatori senza apparente segregazione fisica dei percorsi", "Stazionamento o transito del carrello elevatore in prossimità immediata di scaffalature instabili o sovraccariche"], "vulnerable_elements": ["Operatore a terra esposto direttamente al crollo dei materiali e al transito del mezzo", "Operatore a bordo del carrello elevatore esposto al collasso della struttura adiacente"], "risk_cues": {"S1_people_vehicle_interference": 0.75, "S2_visibility_attention_reduction": 0.5, "S3_non_compliant_behavior": 0.5, "S4_vehicle_infrastructure_interference": 0.75, "S5_storage_structural_instability": 1.0, "S6_access_to_moving_mechanical_parts": 0.0, "S7_manual_handling_heavy_unstable_loads": 0.0}, "cue_confidence": 0.9, "diagnostic_notes": "La situazione presenta la massima criticità per il crollo strutturale della scaffalatura (S5 = 1.0), che riversa merci e detriti nel corridoio. È evidente la compresenza pericolosa di un operatore a terra e di un carrello elevatore nello stesso spazio operativo (S1 = 0.75), con potenziale interferenza tra il mezzo e le scaffalature (S4 = 0.75) che potrebbe aver innescato o favorito il collasso."}</t>
        </is>
      </c>
      <c r="F14" s="7" t="inlineStr">
        <is>
          <t>{"causal_chain_plausible": true, "causal_chain_text": "L'instabilità strutturale o un potenziale impatto del carrello elevatore provoca il crollo improvviso della scaffalatura. Le merci e i detriti metallici cadono nel corridoio investendo l'area in cui si trovano l'operatore a terra e il mezzo.", "near_miss_or_incident_scenario": "Grave incidente da schiacciamento dell'operatore a terra a causa del crollo della scaffalatura e delle merci, con potenziale coinvolgimento e intrappolamento dell'operatore sul carrello elevatore.", "contributing_factors": ["Instabilità strutturale o sovraccarico della scaffalatura portapallet", "Mancata segregazione dei percorsi pedonali e veicolari nel magazzino", "Presenza dell'operatore a terra nell'area di manovra e di potenziale crollo", "Possibile interferenza o urto tra il carrello elevatore e la struttura"]}</t>
        </is>
      </c>
      <c r="G14" s="7" t="n">
        <v>54.18</v>
      </c>
      <c r="H14" s="7" t="n">
        <v>50.02</v>
      </c>
      <c r="I14" s="10" t="inlineStr">
        <is>
          <t>arancione</t>
        </is>
      </c>
    </row>
    <row r="15" ht="34" customHeight="1">
      <c r="A15" s="7" t="n">
        <v>13</v>
      </c>
      <c r="B15" s="7" t="n">
        <v>26</v>
      </c>
      <c r="C15" s="7" t="n">
        <v>30</v>
      </c>
      <c r="D15" s="7" t="inlineStr">
        <is>
          <t>{"scene_state": "Collasso strutturale improvviso di una scaffalatura industriale all'interno di un magazzino.", "environmental_conditions": ["Illuminazione artificiale interna", "Generazione di una fitta nube di polvere e detriti a seguito del crollo"], "people": ["Almeno due operatori presenti a terra nel corridoio prima del crollo"], "objects": ["Scaffalature metalliche autoportanti", "Pallet carichi di merci stoccate", "Merci e detriti derivanti dal collasso"], "machines": ["Un carrello elevatore posizionato nel corridoio centrale"], "observable_actions": ["La scaffalatura sul lato destro cede improvvisamente", "I pallet e l'intera struttura collassano nel corridoio", "Gli operatori tentano di fuggire prima di essere investiti dai detriti"], "visible_ppe": ["Un operatore indossa un indumento ad alta visibilità di colore giallo"], "notes_visibility_limitations": "Inquadratura di sicurezza dall'alto con risoluzione medio-bassa. Il crollo e la polvere generata occultano completamente la visibilità delle persone e dei macchinari nella fase finale."}</t>
        </is>
      </c>
      <c r="E15" s="7" t="inlineStr">
        <is>
          <t>{"unsafe_behaviors": ["Presenza di operatori a piedi in prossimità di scaffalature instabili o durante il collasso"], "vulnerable_elements": ["Almeno due operatori a terra nel corridoio", "Operatore a bordo del carrello elevatore"], "risk_cues": {"S1_people_vehicle_interference": 0.5, "S2_visibility_attention_reduction": 0.75, "S3_non_compliant_behavior": 0.25, "S4_vehicle_infrastructure_interference": 0.25, "S5_storage_structural_instability": 1.0, "S6_access_to_moving_mechanical_parts": 0.0, "S7_manual_handling_heavy_unstable_loads": 0.0}, "cue_confidence": 0.9, "diagnostic_notes": "La scena mostra una situazione estremamente critica dovuta al collasso strutturale improvviso della scaffalatura (S5=1.0), che investe direttamente l'area in cui si trovano gli operatori e il carrello elevatore. La fitta nube di polvere generata dal crollo azzera quasi completamente la visibilità nella fase finale (S2=0.75), ostacolando i tentativi di fuga e i soccorsi. La compresenza di pedoni e del carrello elevatore nello stesso corridoio (S1=0.5) aumenta l'esposizione al rischio in caso di emergenza."}</t>
        </is>
      </c>
      <c r="F15" s="7" t="inlineStr">
        <is>
          <t>{"causal_chain_plausible": true, "causal_chain_text": "Il cedimento strutturale improvviso della scaffalatura provoca la caduta di pallet pesanti e detriti nel corridoio. Gli operatori a piedi e sul carrello elevatore tentano la fuga ma vengono ostacolati dalla rapidità del crollo e dalla fitta nube di polvere che azzera la visibilità, portando al potenziale seppellimento o impatto.", "near_miss_or_incident_scenario": "Grave incidente da schiacciamento e impatto dovuto al crollo della scaffalatura metallica e dei carichi stoccati sugli operatori a terra e sul carrello elevatore nel corridoio.", "contributing_factors": ["Instabilità strutturale e collasso improvviso della scaffalatura", "Presenza di pedoni e un carrello elevatore nel corridoio di transito durante il crollo", "Drastica riduzione della visibilità causata dalla fitta nube di polvere e detriti"]}</t>
        </is>
      </c>
      <c r="G15" s="7" t="n">
        <v>35.88</v>
      </c>
      <c r="H15" s="7" t="n">
        <v>41.54</v>
      </c>
      <c r="I15" s="8" t="inlineStr">
        <is>
          <t>giallo</t>
        </is>
      </c>
    </row>
    <row r="16" ht="34" customHeight="1">
      <c r="A16" s="7" t="n">
        <v>14</v>
      </c>
      <c r="B16" s="7" t="n">
        <v>28</v>
      </c>
      <c r="C16" s="7" t="n">
        <v>32</v>
      </c>
      <c r="D16" s="7" t="inlineStr">
        <is>
          <t>{"scene_state": "Stato di grave incidente con crollo strutturale di scaffalature industriali all'interno di un magazzino.", "environmental_conditions": ["Illuminazione interna artificiale", "Presenza massiccia di polvere e detriti sospesi nell'aria"], "people": [], "objects": ["Scaffalature metalliche collassate", "Merci e scatole danneggiate e sparse al suolo", "Pallet"], "machines": ["Un carrello elevatore giallo parzialmente visibile e coperto dai detriti"], "observable_actions": ["Cedimento e caduta di scaffali e merci", "Propagazione di una fitta nube di polvere"], "visible_ppe": [], "notes_visibility_limitations": "La visibilità è significativamente limitata dalla densa polvere sollevata dal crollo e dalla bassa risoluzione della telecamera di sicurezza."}</t>
        </is>
      </c>
      <c r="E16" s="7" t="inlineStr">
        <is>
          <t>{"unsafe_behaviors": [], "vulnerable_elements": ["Operatore del carrello elevatore (potenzialmente intrappolato)", "Integrità delle strutture adiacenti"], "risk_cues": {"S1_people_vehicle_interference": 0.0, "S2_visibility_attention_reduction": 0.5, "S3_non_compliant_behavior": 0.0, "S4_vehicle_infrastructure_interference": 0.75, "S5_storage_structural_instability": 1.0, "S6_access_to_moving_mechanical_parts": 0.0, "S7_manual_handling_heavy_unstable_loads": 0.0}, "cue_confidence": 0.85, "diagnostic_notes": "La scena mostra le conseguenze di un crollo catastrofico delle scaffalature (S5=1.0). Un carrello elevatore è parzialmente visibile sotto le macerie, indicando un forte impatto con l'infrastruttura (S4=0.75). La visibilità è fortemente ostacolata dalla densa nube di polvere generata dal collasso (S2=0.5). Non si osservano persone direttamente, ma la situazione presenta un rischio estremo per l'eventuale operatore a bordo del mezzo."}</t>
        </is>
      </c>
      <c r="F16" s="7" t="inlineStr">
        <is>
          <t>{"causal_chain_plausible": true, "causal_chain_text": "L'instabilità strutturale delle scaffalature (S5) ha causato un crollo catastrofico, che ha travolto un carrello elevatore (S4). L'impatto e il cedimento hanno generato una fitta nube di polvere (S2), riducendo drasticamente la visibilità e ostacolando i soccorsi immediati.", "near_miss_or_incident_scenario": "Grave incidente da schiacciamento e seppellimento dell'operatore del carrello elevatore sotto le scaffalature metalliche e le merci collassate, con potenziale effetto domino sulle strutture adiacenti.", "contributing_factors": ["Instabilità strutturale e sovraccarico delle scaffalature", "Impatto del carrello elevatore contro l'infrastruttura", "Presenza di polvere densa che azzera la visibilità", "Mancanza di barriere di protezione per i montanti delle scaffalature"]}</t>
        </is>
      </c>
      <c r="G16" s="7" t="n">
        <v>41.54</v>
      </c>
      <c r="H16" s="7" t="n">
        <v>42.95</v>
      </c>
      <c r="I16" s="8" t="inlineStr">
        <is>
          <t>giallo</t>
        </is>
      </c>
    </row>
    <row r="17" ht="34" customHeight="1">
      <c r="A17" s="7" t="n">
        <v>15</v>
      </c>
      <c r="B17" s="7" t="n">
        <v>30</v>
      </c>
      <c r="C17" s="7" t="n">
        <v>34</v>
      </c>
      <c r="D17" s="7" t="inlineStr">
        <is>
          <t>{"scene_state": "Corsia di un magazzino completamente ostruita a causa del crollo totale delle scaffalature industriali.", "environmental_conditions": ["Illuminazione artificiale interna", "Presenza di fitta polvere e detriti nell'aria", "Tonalità cromatica alterata (verde) tipica di riprese CCTV"], "people": [], "objects": ["Scaffalature metalliche collassate", "Pallet in legno (gialli e rossi)", "Scatole e merci sparse al suolo", "Macerie e detriti vari"], "machines": ["Strutture di stoccaggio collassate", "Possibile presenza di un macchinario parzialmente sepolto dai detriti"], "observable_actions": ["Assestamento dei detriti e della polvere sospesa dopo il crollo"], "visible_ppe": [], "notes_visibility_limitations": "La qualità del video è bassa (CCTV), con forte presenza di polvere che limita la visibilità dei dettagli sullo sfondo."}</t>
        </is>
      </c>
      <c r="E17" s="7" t="inlineStr">
        <is>
          <t>{"unsafe_behaviors": [], "vulnerable_elements": ["Eventuali operatori presenti o rimasti sepolti sotto le macerie", "Personale di soccorso o di ispezione che potrebbe accedere all'area instabile"], "risk_cues": {"S1_people_vehicle_interference": 0.0, "S2_visibility_attention_reduction": 0.5, "S3_non_compliant_behavior": 0.0, "S4_vehicle_infrastructure_interference": 0.0, "S5_storage_structural_instability": 1.0, "S6_access_to_moving_mechanical_parts": 0.0, "S7_manual_handling_heavy_unstable_loads": 0.0}, "cue_confidence": 0.85, "diagnostic_notes": "La scena mostra gli esiti di un crollo totale delle scaffalature industriali (S5=1.0), con assestamento di detriti e fitta polvere nell'aria che limita fortemente la visibilità (S2=0.5). Non sono visibili persone o mezzi in movimento nella clip, ma permane un rischio critico legato all'instabilità strutturale residua e alla possibile presenza di soggetti sepolti non identificabili a causa delle macerie."}</t>
        </is>
      </c>
      <c r="F17" s="7" t="inlineStr">
        <is>
          <t>{"causal_chain_plausible": true, "causal_chain_text": "Il crollo totale delle scaffalature ha creato un ammasso instabile di detriti e polvere. L'eventuale ingresso di soccorritori o ispettori nell'area, unito alla scarsa visibilità e all'instabilità residua dei materiali accumulati, può innescare un ulteriore cedimento strutturale improvviso.", "near_miss_or_incident_scenario": "Grave infortunio o seppellimento del personale di soccorso dovuto al collasso secondario di porzioni di scaffalatura o carichi instabili durante l'ispezione dell'area.", "contributing_factors": ["Instabilità strutturale estrema delle macerie e delle scaffalature collassate", "Riduzione della visibilità causata dalla fitta polvere sospesa nell'aria", "Ostruzione totale della corsia che impedisce una rapida evacuazione in caso di ulteriore cedimento"]}</t>
        </is>
      </c>
      <c r="G17" s="7" t="n">
        <v>26.51</v>
      </c>
      <c r="H17" s="7" t="n">
        <v>33.09</v>
      </c>
      <c r="I17" s="8" t="inlineStr">
        <is>
          <t>giallo</t>
        </is>
      </c>
    </row>
    <row r="18" ht="34" customHeight="1">
      <c r="A18" s="7" t="n">
        <v>16</v>
      </c>
      <c r="B18" s="7" t="n">
        <v>32</v>
      </c>
      <c r="C18" s="7" t="n">
        <v>35.867</v>
      </c>
      <c r="D18" s="7" t="inlineStr">
        <is>
          <t>{"scene_state": "Stato di forte disordine con accumulo di detriti e vegetazione all'interno di un passaggio recintato.", "environmental_conditions": ["Illuminazione artificiale", "Presenza di polvere in sospensione", "Dominante cromatica verde"], "people": [], "objects": ["Pallet in legno giallo", "Pali metallici di colore rosso", "Rami e foglie verdi", "Grate metalliche di protezione laterali"], "machines": [], "observable_actions": ["Assestamento dei detriti dopo una caduta o collasso"], "visible_ppe": [], "notes_visibility_limitations": "Inquadratura fissa con qualità d'immagine ridotta, forte tinta verde e visibilità parzialmente limitata dalla polvere."}</t>
        </is>
      </c>
      <c r="E18" s="7" t="inlineStr">
        <is>
          <t>{"unsafe_behaviors": [], "vulnerable_elements": ["Infrastruttura del passaggio recintato", "Grate metalliche di protezione"], "risk_cues": {"S1_people_vehicle_interference": 0.0, "S2_visibility_attention_reduction": 0.25, "S3_non_compliant_behavior": 0.0, "S4_vehicle_infrastructure_interference": 0.0, "S5_storage_structural_instability": 0.75, "S6_access_to_moving_mechanical_parts": 0.0, "S7_manual_handling_heavy_unstable_loads": 0.0}, "cue_confidence": 0.8, "diagnostic_notes": "La scena evidenzia una forte instabilità di materiali con l'assestamento di detriti dopo un collasso o caduta all'interno del passaggio (S5). La visibilità è parzialmente compromessa dalla polvere in sospensione generata dall'evento (S2). Non sono presenti persone o mezzi di movimentazione nell'inquadratura, escludendo rischi immediati di interferenza o movimentazione manuale."}</t>
        </is>
      </c>
      <c r="F18" s="7" t="inlineStr">
        <is>
          <t>{"causal_chain_plausible": true, "causal_chain_text": "L'accumulo disordinato di detriti e materiali nel passaggio recintato subisce un collasso o assestamento, generando polvere in sospensione che riduce la visibilità. Un eventuale operatore in transito potrebbe essere colpito da ulteriore materiale instabile o inciampare a causa degli ostacoli e della scarsa visibilità.", "near_miss_or_incident_scenario": "Inciampo e caduta di un operatore nel passaggio a causa del disordine e della polvere, oppure trauma da impatto dovuto al crollo secondario di materiali accumulati instabili.", "contributing_factors": ["Forte stato di disordine e accumulo di detriti nel passaggio", "Instabilità strutturale del materiale accumulato", "Presenza di polvere in sospensione che riduce la visibilità", "Mancanza di barriere temporanee per impedire l'accesso all'area instabile"]}</t>
        </is>
      </c>
      <c r="G18" s="7" t="n">
        <v>14.43</v>
      </c>
      <c r="H18" s="7" t="n">
        <v>21.89</v>
      </c>
      <c r="I18" s="9" t="inlineStr">
        <is>
          <t>verde</t>
        </is>
      </c>
    </row>
    <row r="19" ht="34" customHeight="1">
      <c r="A19" s="7" t="n">
        <v>17</v>
      </c>
      <c r="B19" s="7" t="n">
        <v>34</v>
      </c>
      <c r="C19" s="7" t="n">
        <v>35.867</v>
      </c>
      <c r="D19" s="7" t="inlineStr">
        <is>
          <t>{"scene_state": "Interno di una struttura a gabbia metallica riempita di fitta vegetazione, rami e detriti vari.", "environmental_conditions": ["Illuminazione monocromatica verde (visione notturna o filtro)", "Ambiente chiuso o confinato"], "people": [], "objects": ["Fogliame e rami verdi", "Barre o pali metallici di colore rosso", "Oggetto rettangolare giallo (simile a una cassetta o targa)", "Griglie metalliche laterali della gabbia"], "machines": [], "observable_actions": ["Nessuna azione dinamica evidente nel segmento temporale indicato"], "visible_ppe": [], "notes_visibility_limitations": "La visibilità è limitata dalla tonalità verde dell'immagine (tipica di visori notturni o telecamere di sicurezza a infrarossi) e dalla densità del fogliame che ostruisce la vista del fondo."}</t>
        </is>
      </c>
      <c r="E19" s="7" t="inlineStr">
        <is>
          <t>{"unsafe_behaviors": [], "vulnerable_elements": [], "risk_cues": {"S1_people_vehicle_interference": 0.0, "S2_visibility_attention_reduction": 0.25, "S3_non_compliant_behavior": 0.0, "S4_vehicle_infrastructure_interference": 0.0, "S5_storage_structural_instability": 0.0, "S6_access_to_moving_mechanical_parts": 0.0, "S7_manual_handling_heavy_unstable_loads": 0.0}, "cue_confidence": 0.8, "diagnostic_notes": "La scena mostra un ambiente confinato (gabbia metallica) riempito di vegetazione e detriti, privo di persone o mezzi in movimento. La visibilità è fortemente limitata dalla tonalità monocromatica verde e dalla densità del fogliame, il che rappresenterebbe un fattore di rischio (S2) in caso di attività operative, sebbene al momento non si osservino soggetti o azioni in corso."}</t>
        </is>
      </c>
      <c r="F19" s="7" t="inlineStr">
        <is>
          <t>{"causal_chain_plausible": false, "causal_chain_text": "In assenza di personale, macchinari o attività operative nel segmento temporale indicato, non si rileva una catena causale diretta che possa condurre a un incidente immediato basandosi esclusivamente sugli elementi visibili.", "near_miss_or_incident_scenario": "Nessun scenario di incidente o near miss direttamente rilevabile a causa dell'assenza di soggetti esposti o di azioni dinamiche in corso.", "contributing_factors": ["Visibilità limitata dall'illuminazione monocromatica verde", "Presenza di fitta vegetazione e detriti in un ambiente confinato"]}</t>
        </is>
      </c>
      <c r="G19" s="7" t="n">
        <v>3.26</v>
      </c>
      <c r="H19" s="7" t="n">
        <v>10.71</v>
      </c>
      <c r="I19" s="9" t="inlineStr">
        <is>
          <t>verde</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4" customWidth="1" min="4" max="4"/>
    <col width="14" customWidth="1" min="5" max="5"/>
  </cols>
  <sheetData>
    <row r="1" ht="16" customHeight="1">
      <c r="A1" s="6" t="inlineStr">
        <is>
          <t>window_id</t>
        </is>
      </c>
      <c r="B1" s="6" t="inlineStr">
        <is>
          <t>start_time_s</t>
        </is>
      </c>
      <c r="C1" s="6" t="inlineStr">
        <is>
          <t>end_time_s</t>
        </is>
      </c>
      <c r="D1" s="6" t="inlineStr">
        <is>
          <t>vlm_free_scoring_json</t>
        </is>
      </c>
      <c r="E1" s="6" t="inlineStr">
        <is>
          <t>vlm_guided_scoring_json</t>
        </is>
      </c>
    </row>
    <row r="2" ht="34" customHeight="1">
      <c r="A2" s="7" t="n">
        <v>0</v>
      </c>
      <c r="B2" s="7" t="n">
        <v>0</v>
      </c>
      <c r="C2" s="7" t="n">
        <v>4</v>
      </c>
      <c r="D2" s="7" t="inlineStr">
        <is>
          <t>{"instantaneous_risk_score": 25.0, "score_rationale": "La scena mostra operazioni standard in un magazzino. Gli operatori indossano gilet ad alta visibilità e non vi sono mezzi in movimento o pericoli immediati visibili. Il punteggio di 25 riflette i rischi intrinseci dell'ambiente industriale (movimentazione manuale dei carichi, potenziale caduta di materiali dall'alto e incertezza sull'uso di elmetti/scarpe antinfortunistiche), pur in assenza di situazioni critiche attive."}</t>
        </is>
      </c>
      <c r="E2" s="7" t="inlineStr">
        <is>
          <t>{"risk_score_0_100": 45, "score_rationale": "Il punteggio riflette un rischio moderato dovuto alla compresenza di operatori a piedi e un transpallet in un corridoio stretto, che limita lo spazio di manovra. Sebbene indossino gilet ad alta visibilità, la vicinanza al mezzo aumenta la probabilità di contatti accidentali o schiacciamenti."}</t>
        </is>
      </c>
    </row>
    <row r="3" ht="34" customHeight="1">
      <c r="A3" s="7" t="n">
        <v>1</v>
      </c>
      <c r="B3" s="7" t="n">
        <v>2</v>
      </c>
      <c r="C3" s="7" t="n">
        <v>6</v>
      </c>
      <c r="D3" s="7" t="inlineStr">
        <is>
          <t>{"instantaneous_risk_score": 30.0, "score_rationale": "Il punteggio di 30 riflette una situazione operativa standard con rischi intrinseci moderati. Gli operatori a terra indossano correttamente i DPI (elmetti e gilet ad alta visibilità), mitigando i rischi principali. Rimangono fattori di attenzione legati alla presenza di attrezzature manuali nella via di transito e al potenziale rischio di caduta materiali dalle scaffalature verticali ad alta densità."}</t>
        </is>
      </c>
      <c r="E3" s="7" t="inlineStr">
        <is>
          <t>{"risk_score_0_100": 15, "score_rationale": "L'ambiente si presenta ordinato, pulito e ben illuminato, senza evidenze di comportamenti non conformi o pericoli immediati. Il punteggio riflette unicamente il rischio intrinseco standard legato alla presenza di scaffalature alte e alla movimentazione manuale dei carichi."}</t>
        </is>
      </c>
    </row>
    <row r="4" ht="34" customHeight="1">
      <c r="A4" s="7" t="n">
        <v>2</v>
      </c>
      <c r="B4" s="7" t="n">
        <v>4</v>
      </c>
      <c r="C4" s="7" t="n">
        <v>8</v>
      </c>
      <c r="D4" s="7" t="inlineStr">
        <is>
          <t>{"instantaneous_risk_score": 30.0, "score_rationale": "Il punteggio di 30 indica un rischio basso-moderato, tipico di un'area di lavoro logistica attiva ma ordinata. Gli operatori indossano i gilet ad alta visibilità e la pavimentazione è sgombra. I fattori di rischio sono limitati alla movimentazione manuale dei carichi in spazi ristretti e alla potenziale caduta di oggetti dalle scaffalature verticali adiacenti."}</t>
        </is>
      </c>
      <c r="E4" s="7" t="inlineStr">
        <is>
          <t>{"risk_score_0_100": 15, "score_rationale": "L'ambiente di lavoro si presenta pulito e ordinato, con gli operatori che indossano regolarmente i DPI ad alta visibilità. Non si rilevano comportamenti non conformi o interferenze critiche, mantenendo il livello di rischio estremamente basso e limitato ai pericoli intrinseci dell'area."}</t>
        </is>
      </c>
    </row>
    <row r="5" ht="34" customHeight="1">
      <c r="A5" s="7" t="n">
        <v>3</v>
      </c>
      <c r="B5" s="7" t="n">
        <v>6</v>
      </c>
      <c r="C5" s="7" t="n">
        <v>10</v>
      </c>
      <c r="D5" s="7" t="inlineStr">
        <is>
          <t>{"instantaneous_risk_score": 45.0, "score_rationale": "Il punteggio riflette un rischio moderato (45/100). L'operatore indossa i DPI visibili (elmetto e gilet), ma la compresenza di una seconda figura sullo sfondo in una corsia stretta, unita alla presenza di un transpallet e alla visibilità ridotta alle estremità della corsia, genera potenziali rischi di investimento o di urto accidentale contro le scaffalature verticali."}</t>
        </is>
      </c>
      <c r="E5" s="7" t="inlineStr">
        <is>
          <t>{"risk_score_0_100": 15, "score_rationale": "Il livello di rischio è basso poiché gli operatori sono attualmente statici e non vi sono manovre attive con il transpallet. Permangono solo i rischi intrinseci legati alla presenza di scaffalature alte e alla condivisione dello spazio di lavoro."}</t>
        </is>
      </c>
    </row>
    <row r="6" ht="34" customHeight="1">
      <c r="A6" s="7" t="n">
        <v>4</v>
      </c>
      <c r="B6" s="7" t="n">
        <v>8</v>
      </c>
      <c r="C6" s="7" t="n">
        <v>12</v>
      </c>
      <c r="D6" s="7" t="inlineStr">
        <is>
          <t>{"instantaneous_risk_score": 30.0, "score_rationale": "Il punteggio riflette una situazione di normale operatività con rischi intrinseci moderati. L'operatore indossa correttamente il gilet ad alta visibilità e l'area presenta segnaletica di sicurezza sulla pavimentazione. I rischi sono legati esclusivamente alla natura dell'ambiente (stoccaggio verticale elevato, corridoio stretto e potenziale transito di mezzi), ma non si rilevano comportamenti pericolosi o minacce immediate nel frame temporale indicato."}</t>
        </is>
      </c>
      <c r="E6" s="7" t="inlineStr">
        <is>
          <t>{"risk_score_0_100": 15, "score_rationale": "Il rischio è basso poiché l'operatore indossa correttamente i DPI necessari e opera in un corridoio sgombro senza interferenze di mezzi in movimento. Permangono solo i rischi intrinseci minimi legati allo stoccaggio in quota e alla movimentazione manuale."}</t>
        </is>
      </c>
    </row>
    <row r="7" ht="34" customHeight="1">
      <c r="A7" s="7" t="n">
        <v>5</v>
      </c>
      <c r="B7" s="7" t="n">
        <v>10</v>
      </c>
      <c r="C7" s="7" t="n">
        <v>14</v>
      </c>
      <c r="D7" s="7" t="inlineStr">
        <is>
          <t>{"instantaneous_risk_score": 70.0, "score_rationale": "Il punteggio di 70 riflette un rischio elevato dovuto alla compresenza e condivisione dello spazio di manovra tra un operatore a terra e un veicolo industriale in movimento in una corsia stretta priva di barriere fisiche di separazione. Sebbene l'operatore indossi un gilet ad alta visibilità, la mancanza di segregazione fisica e la potenziale deviazione del mezzo o un movimento improvviso del pedone generano un rischio concreto di investimento o schiacciamento."}</t>
        </is>
      </c>
      <c r="E7" s="7" t="inlineStr">
        <is>
          <t>{"risk_score_0_100": 15, "score_rationale": "Il livello di rischio è basso poiché l'operatore indossa regolarmente il gilet ad alta visibilità e il veicolo si trova a distanza di sicurezza in fondo al corridoio. L'ambiente ordinato e la natura statica della scena riducono al minimo la probabilità di incidenti immediati."}</t>
        </is>
      </c>
    </row>
    <row r="8" ht="34" customHeight="1">
      <c r="A8" s="7" t="n">
        <v>6</v>
      </c>
      <c r="B8" s="7" t="n">
        <v>12</v>
      </c>
      <c r="C8" s="7" t="n">
        <v>16</v>
      </c>
      <c r="D8" s="7" t="inlineStr">
        <is>
          <t>{"instantaneous_risk_score": 65.0, "score_rationale": "Il punteggio di 65 è giustificato dalla compresenza di un operatore a piedi e di un carrello elevatore all'interno di una corsia stretta. Nonostante l'uso del gilet ad alta visibilità e la distanza tra i soggetti, la presenza di punti ciechi strutturali e lo spazio limitato di manovra configurano un rischio concreto di interferenza e potenziale collisione in caso di manovre repentine o mancato contatto visivo."}</t>
        </is>
      </c>
      <c r="E8" s="7" t="inlineStr">
        <is>
          <t>{"risk_score_0_100": 45, "score_rationale": "Il punteggio riflette un rischio moderato dovuto alla compresenza di pedoni e un carrello elevatore nella stessa corsia senza barriere fisiche di separazione. Sebbene gli operatori indossino gilet ad alta visibilità, la mancanza di segregazione dei flussi aumenta la probabilità di interferenze e investimenti durante le manovre."}</t>
        </is>
      </c>
    </row>
    <row r="9" ht="34" customHeight="1">
      <c r="A9" s="7" t="n">
        <v>7</v>
      </c>
      <c r="B9" s="7" t="n">
        <v>14</v>
      </c>
      <c r="C9" s="7" t="n">
        <v>18</v>
      </c>
      <c r="D9" s="7" t="inlineStr">
        <is>
          <t>{"instantaneous_risk_score": 50.0, "score_rationale": "Il punteggio di 50 indica un livello di rischio moderato. La compresenza di operatori a piedi e un carrello elevatore nello stesso corridoio operativo, in assenza di barriere fisiche di segregazione, configura un rischio intrinseco di investimento. Tuttavia, la situazione è parzialmente mitigata dal fatto che il carrello è sullo sfondo (statico o in manovra lenta), la visibilità è buona e i pedoni indossano gilet ad alta visibilità."}</t>
        </is>
      </c>
      <c r="E9" s="7" t="inlineStr">
        <is>
          <t>{"risk_score_0_100": 30, "score_rationale": "Il rischio è moderato a causa della compresenza di operatori a piedi e di un carrello elevatore nella stessa corsia stretta. Tuttavia, la distanza di sicurezza temporanea e l'uso corretto dei DPI da parte dei lavoratori riducono l'imminenza di un pericolo diretto."}</t>
        </is>
      </c>
    </row>
    <row r="10" ht="34" customHeight="1">
      <c r="A10" s="7" t="n">
        <v>8</v>
      </c>
      <c r="B10" s="7" t="n">
        <v>16</v>
      </c>
      <c r="C10" s="7" t="n">
        <v>20</v>
      </c>
      <c r="D10" s="7" t="inlineStr">
        <is>
          <t>{"instantaneous_risk_score": 65.0, "score_rationale": "Il punteggio di 65 è giustificato dalla compresenza di un operatore a terra e di un carrello elevatore all'interno dello stesso corridoio stretto, in assenza di barriere fisiche di segregazione. Sebbene l'operatore indossi un gilet ad alta visibilità e il mezzo sembri muoversi lentamente o essere fermo, la configurazione spaziale e le potenziali zone d'ombra creano un rischio concreto di investimento dovuto a distrazioni o manovre impreviste."}</t>
        </is>
      </c>
      <c r="E10" s="7" t="inlineStr">
        <is>
          <t>{"risk_score_0_100": 50, "score_rationale": "Il punteggio riflette un rischio significativo dovuto alla compresenza di un pedone e di un carrello elevatore in movimento nella stessa corsia senza barriere fisiche di separazione. L'uso del gilet ad alta visibilità da parte dell'operatore a piedi mitiga parzialmente il pericolo di investimento."}</t>
        </is>
      </c>
    </row>
    <row r="11" ht="34" customHeight="1">
      <c r="A11" s="7" t="n">
        <v>9</v>
      </c>
      <c r="B11" s="7" t="n">
        <v>18</v>
      </c>
      <c r="C11" s="7" t="n">
        <v>22</v>
      </c>
      <c r="D11" s="7" t="inlineStr">
        <is>
          <t>{"instantaneous_risk_score": 60.0, "score_rationale": "Il punteggio di 60 riflette un rischio moderato-alto dovuto alla compresenza di un operatore a piedi e di un carrello elevatore all'interno della stessa corsia stretta senza barriere fisiche di separazione. Sebbene l'operatore indossi un gilet ad alta visibilità e il carrello sia sullo sfondo, la mancanza di segregazione dei flussi pedonali e veicolari in spazi ristretti rappresenta un potenziale pericolo di investimento o schiacciamento in caso di manovre improvvise o distrazioni."}</t>
        </is>
      </c>
      <c r="E11" s="7" t="inlineStr">
        <is>
          <t>{"risk_score_0_100": 45, "score_rationale": "Il punteggio riflette un rischio moderato dovuto alla compresenza di pedoni e di un carrello elevatore all'interno dello stesso corridoio stretto. Sebbene il mezzo sia distante o in manovra lenta, la mancanza di barriere fisiche di separazione aumenta la probabilità di interferenze e collisioni."}</t>
        </is>
      </c>
    </row>
    <row r="12" ht="34" customHeight="1">
      <c r="A12" s="7" t="n">
        <v>10</v>
      </c>
      <c r="B12" s="7" t="n">
        <v>20</v>
      </c>
      <c r="C12" s="7" t="n">
        <v>24</v>
      </c>
      <c r="D12" s="7" t="inlineStr">
        <is>
          <t>{"instantaneous_risk_score": 75.0, "score_rationale": "La compresenza di un operatore a terra e di un carrello elevatore attivo all'interno di una corsia di stoccaggio stretta, priva di segregazione fisica tra flussi pedonali e veicolari, genera un rischio elevato di investimento o schiacciamento. Sebbene l'operatore indossi un gilet ad alta visibilità, lo spazio di manovra ridotto e la potenziale visibilità limitata del conducente durante le manovre aumentano sensibilmente la criticità."}</t>
        </is>
      </c>
      <c r="E12" s="7" t="inlineStr">
        <is>
          <t>{"risk_score_0_100": 35, "score_rationale": "Il punteggio riflette un rischio moderato dovuto alla compresenza di un operatore a piedi e di un carrello elevatore nello stesso corridoio. Sebbene l'operatore indossi DPI ad alta visibilità e i soggetti siano distanti, la condivisione dello spazio di transito richiede costante attenzione per evitare interferenze."}</t>
        </is>
      </c>
    </row>
    <row r="13" ht="34" customHeight="1">
      <c r="A13" s="7" t="n">
        <v>11</v>
      </c>
      <c r="B13" s="7" t="n">
        <v>22</v>
      </c>
      <c r="C13" s="7" t="n">
        <v>26</v>
      </c>
      <c r="D13" s="7" t="inlineStr">
        <is>
          <t>{"instantaneous_risk_score": 70.0, "score_rationale": "La compresenza di un carrello elevatore operativo e di un operatore a terra all'interno della stessa corsia stretta configura un rischio medio-alto (70) di investimento o schiacciamento. Sebbene l'operatore indossi un gilet ad alta visibilità, lo spazio di manovra limitato e la mancanza di barriere fisiche di separazione aumentano la criticità della situazione."}</t>
        </is>
      </c>
      <c r="E13" s="7" t="inlineStr">
        <is>
          <t>{"risk_score_0_100": 70, "score_rationale": "Il punteggio riflette un rischio significativo dovuto alla compresenza di operatori a terra e di un carrello elevatore in movimento nello stesso corridoio senza barriere fisiche di separazione. Questa situazione genera un'elevata probabilità di interferenza e potenziale investimento in caso di distrazione o presenza di angoli ciechi."}</t>
        </is>
      </c>
    </row>
    <row r="14" ht="34" customHeight="1">
      <c r="A14" s="7" t="n">
        <v>12</v>
      </c>
      <c r="B14" s="7" t="n">
        <v>24</v>
      </c>
      <c r="C14" s="7" t="n">
        <v>28</v>
      </c>
      <c r="D14" s="7" t="inlineStr">
        <is>
          <t>{"instantaneous_risk_score": 100.0, "score_rationale": "Il punteggio massimo è giustificato dal crollo strutturale catastrofico e improvviso delle scaffalature pesanti cariche di merci direttamente nella corsia di transito. La presenza di almeno due operatori a terra e del conducente del muletto nell'area d'impatto immediato configura un pericolo estremo e imminente di morte o lesioni gravissime per schiacciamento e seppellimento, oltre al rischio di effetto domino."}</t>
        </is>
      </c>
      <c r="E14" s="7" t="inlineStr">
        <is>
          <t>{"risk_score_0_100": 98, "score_rationale": "Il punteggio riflette una situazione di imminente pericolo di vita dovuto al crollo strutturale attivo della scaffalatura pesante direttamente sull'area di transito degli operatori. La compresenza di un lavoratore a terra e di un carrello elevatore nel corridoio rende l'evento estremamente critico con altissimo rischio di lesioni gravi o fatali."}</t>
        </is>
      </c>
    </row>
    <row r="15" ht="34" customHeight="1">
      <c r="A15" s="7" t="n">
        <v>13</v>
      </c>
      <c r="B15" s="7" t="n">
        <v>26</v>
      </c>
      <c r="C15" s="7" t="n">
        <v>30</v>
      </c>
      <c r="D15" s="7" t="inlineStr">
        <is>
          <t>{"instantaneous_risk_score": 100.0, "score_rationale": "Il punteggio massimo di 100 è motivato dal crollo catastrofico e improvviso di scaffalature industriali pesanti cariche di merci direttamente sopra un'area di lavoro in cui sono presenti operatori a terra. Questo evento genera un rischio immediato ed estremo di schiacciamento, seppellimento e lesioni fatali per il personale coinvolto, con l'azzeramento della visibilità e l'impossibilità di una fuga sicura."}</t>
        </is>
      </c>
      <c r="E15" s="7" t="inlineStr">
        <is>
          <t>{"risk_score_0_100": 98, "score_rationale": "Il punteggio riflette una situazione di emergenza estrema con imminente pericolo di vita dovuto al collasso strutturale che investe direttamente gli operatori a terra. La fitta nube di polvere azzera la visibilità, ostacolando la fuga e i soccorsi in uno scenario di gravissimo schiacciamento."}</t>
        </is>
      </c>
    </row>
    <row r="16" ht="34" customHeight="1">
      <c r="A16" s="7" t="n">
        <v>14</v>
      </c>
      <c r="B16" s="7" t="n">
        <v>28</v>
      </c>
      <c r="C16" s="7" t="n">
        <v>32</v>
      </c>
      <c r="D16" s="7" t="inlineStr">
        <is>
          <t>{"instantaneous_risk_score": 100.0, "score_rationale": "Il collasso strutturale catastrofico a catena (effetto domino) di scaffalature industriali pesanti rappresenta uno scenario di massimo rischio (100). La caduta di merci voluminose, la generazione di dense nubi di polvere che azzerano la visibilità e il parziale travolgimento di un carrello elevatore comportano un pericolo immediato e letale per l'incolumità del personale, oltre a minacciare la stabilità strutturale dell'intero edificio."}</t>
        </is>
      </c>
      <c r="E16" s="7" t="inlineStr">
        <is>
          <t>{"risk_score_0_100": 98, "score_rationale": "Il punteggio riflette un livello di rischio critico dovuto al crollo strutturale catastrofico delle scaffalature che ha travolto un carrello elevatore, con un operatore potenzialmente intrappolato sotto le macerie. La densa nube di polvere riduce drasticamente la visibilità, ostacolando gravemente le operazioni di soccorso immediato."}</t>
        </is>
      </c>
    </row>
    <row r="17" ht="34" customHeight="1">
      <c r="A17" s="7" t="n">
        <v>15</v>
      </c>
      <c r="B17" s="7" t="n">
        <v>30</v>
      </c>
      <c r="C17" s="7" t="n">
        <v>34</v>
      </c>
      <c r="D17" s="7" t="inlineStr">
        <is>
          <t>{"instantaneous_risk_score": 98.0, "score_rationale": "Il punteggio riflette una situazione di imminente e gravissimo pericolo dovuta al crollo catastrofico e progressivo delle scaffalature pesanti. La presenza di un mezzo di movimentazione parzialmente sepolto dalle macerie suggerisce il potenziale coinvolgimento di operatori. Il rischio di schiacciamento, seppellimento ed effetto domino sulle campate adiacenti è ai massimi livelli, aggravato dalla visibilità compromessa dalla densa nube di polvere."}</t>
        </is>
      </c>
      <c r="E17" s="7" t="inlineStr">
        <is>
          <t>{"risk_score_0_100": 95, "score_rationale": "Il punteggio riflette una situazione di rischio critico dovuta al crollo totale delle scaffalature, che comporta un'estrema instabilità strutturale residua e il pericolo di ulteriori cedimenti. La fitta polvere limita la visibilità, ostacolando le operazioni di ricerca e soccorso di eventuali persone sepolte sotto le macerie."}</t>
        </is>
      </c>
    </row>
    <row r="18" ht="34" customHeight="1">
      <c r="A18" s="7" t="n">
        <v>16</v>
      </c>
      <c r="B18" s="7" t="n">
        <v>32</v>
      </c>
      <c r="C18" s="7" t="n">
        <v>35.867</v>
      </c>
      <c r="D18" s="7" t="inlineStr">
        <is>
          <t>{"instantaneous_risk_score": 70.0, "score_rationale": "Il punteggio di 70 è giustificato dalla presenza di un accumulo caotico e instabile di detriti industriali e vegetazione all'interno di una griglia metallica, indicativo di un probabile cedimento strutturale o scarico incontrollato. Sebbene non vi siano operatori visibili nell'immediato, lo stato dei luoghi presenta rischi significativi di ulteriore crollo, intasamento dei macchinari e potenziali infortuni gravi durante le inevitabili operazioni di rimozione e ripristino."}</t>
        </is>
      </c>
      <c r="E18" s="7" t="inlineStr">
        <is>
          <t>{"risk_score_0_100": 60, "score_rationale": "Il punteggio riflette un rischio significativo dovuto all'instabilità dei detriti accumulati nel passaggio, che hanno subito un cedimento generando polvere e riducendo la visibilità. Sebbene non vi siano operatori presenti nell'inquadratura, l'area ostruita e instabile rappresenta un grave pericolo di crollo secondario o inciampo."}</t>
        </is>
      </c>
    </row>
    <row r="19" ht="34" customHeight="1">
      <c r="A19" s="7" t="n">
        <v>17</v>
      </c>
      <c r="B19" s="7" t="n">
        <v>34</v>
      </c>
      <c r="C19" s="7" t="n">
        <v>35.867</v>
      </c>
      <c r="D19" s="7" t="inlineStr">
        <is>
          <t>{"instantaneous_risk_score": 45.0, "score_rationale": "Il punteggio di 45 indica un rischio operativo moderato. Non essendoci operatori nell'area, non vi è un pericolo immediato per la sicurezza del personale. Tuttavia, la presenza di corpi estranei rigidi e voluminosi (strutture metalliche e plastiche) nel flusso di materiale organico comporta un rischio concreto di inceppamento del nastro trasportatore o di danneggiamento dei macchinari di triturazione a valle."}</t>
        </is>
      </c>
      <c r="E19" s="7" t="inlineStr">
        <is>
          <t>{"risk_score_0_100": 15, "score_rationale": "Il rischio è basso a causa dell'assenza di personale, macchinari o attività operative nel segmento temporale analizzato. Tuttavia, la visibilità limitata e l'ambiente confinato ostruito da detriti rappresentano potenziali fattori di rischio latenti in caso di accesso futuro."}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38"/>
  <sheetViews>
    <sheetView showGridLines="1" zoomScale="80" workbookViewId="0">
      <pane ySplit="1" topLeftCell="A2" activePane="bottomLeft" state="frozen"/>
      <selection pane="bottomLeft" activeCell="A1" sqref="A1"/>
    </sheetView>
  </sheetViews>
  <sheetFormatPr baseColWidth="8" defaultRowHeight="15"/>
  <cols>
    <col width="7" customWidth="1" min="1" max="1"/>
    <col width="14" customWidth="1" min="2" max="2"/>
    <col width="10" customWidth="1" min="3" max="3"/>
    <col width="12" customWidth="1" min="4" max="4"/>
    <col width="6" customWidth="1" min="5" max="5"/>
    <col width="11" customWidth="1" min="6" max="6"/>
    <col width="8" customWidth="1" min="7" max="7"/>
    <col width="8" customWidth="1" min="8" max="8"/>
    <col width="8" customWidth="1" min="9" max="9"/>
    <col width="10" customWidth="1" min="10" max="10"/>
    <col width="8" customWidth="1" min="11" max="11"/>
    <col width="16" customWidth="1" min="12" max="12"/>
    <col width="9" customWidth="1" min="13" max="13"/>
  </cols>
  <sheetData>
    <row r="1" ht="16" customHeight="1">
      <c r="A1" s="2" t="inlineStr">
        <is>
          <t>execution_order</t>
        </is>
      </c>
      <c r="B1" s="2" t="inlineStr">
        <is>
          <t>timestamp</t>
        </is>
      </c>
      <c r="C1" s="14" t="inlineStr">
        <is>
          <t>branch_name</t>
        </is>
      </c>
      <c r="D1" s="14" t="inlineStr">
        <is>
          <t>block_name</t>
        </is>
      </c>
      <c r="E1" s="2" t="inlineStr">
        <is>
          <t>window_id</t>
        </is>
      </c>
      <c r="F1" s="14" t="inlineStr">
        <is>
          <t>model_name</t>
        </is>
      </c>
      <c r="G1" s="14" t="inlineStr">
        <is>
          <t>input_tokens</t>
        </is>
      </c>
      <c r="H1" s="14" t="inlineStr">
        <is>
          <t>output_tokens</t>
        </is>
      </c>
      <c r="I1" s="14" t="inlineStr">
        <is>
          <t>total_tokens</t>
        </is>
      </c>
      <c r="J1" s="14" t="inlineStr">
        <is>
          <t>usage_source</t>
        </is>
      </c>
      <c r="K1" s="14" t="inlineStr">
        <is>
          <t>status</t>
        </is>
      </c>
      <c r="L1" s="14" t="inlineStr">
        <is>
          <t>error</t>
        </is>
      </c>
      <c r="M1" s="14" t="inlineStr">
        <is>
          <t>branch_api_call_count</t>
        </is>
      </c>
    </row>
    <row r="2" ht="34" customHeight="1">
      <c r="A2" s="7" t="n">
        <v>1</v>
      </c>
      <c r="B2" s="7" t="inlineStr">
        <is>
          <t>2026-07-27T14:36:55Z</t>
        </is>
      </c>
      <c r="C2" s="7" t="inlineStr">
        <is>
          <t>vlm_free</t>
        </is>
      </c>
      <c r="D2" s="7" t="inlineStr">
        <is>
          <t>vlm_free_descriptive_causal</t>
        </is>
      </c>
      <c r="E2" s="7" t="n">
        <v>0</v>
      </c>
      <c r="F2" s="7" t="inlineStr">
        <is>
          <t>gemini-3.5-flash</t>
        </is>
      </c>
      <c r="G2" s="7" t="n">
        <v>736</v>
      </c>
      <c r="H2" s="7" t="n">
        <v>578</v>
      </c>
      <c r="I2" s="7" t="n">
        <v>2754</v>
      </c>
      <c r="J2" s="7" t="inlineStr">
        <is>
          <t>sdk_usage_metadata</t>
        </is>
      </c>
      <c r="K2" s="7" t="inlineStr">
        <is>
          <t>success</t>
        </is>
      </c>
      <c r="L2" s="7" t="inlineStr"/>
      <c r="M2" s="7" t="n">
        <v>1</v>
      </c>
    </row>
    <row r="3" ht="34" customHeight="1">
      <c r="A3" s="7" t="n">
        <v>2</v>
      </c>
      <c r="B3" s="7" t="inlineStr">
        <is>
          <t>2026-07-27T14:37:00Z</t>
        </is>
      </c>
      <c r="C3" s="7" t="inlineStr">
        <is>
          <t>vlm_free</t>
        </is>
      </c>
      <c r="D3" s="7" t="inlineStr">
        <is>
          <t>vlm_free_scoring</t>
        </is>
      </c>
      <c r="E3" s="7" t="n">
        <v>0</v>
      </c>
      <c r="F3" s="7" t="inlineStr">
        <is>
          <t>gemini-3.5-flash</t>
        </is>
      </c>
      <c r="G3" s="7" t="n">
        <v>872</v>
      </c>
      <c r="H3" s="7" t="n">
        <v>139</v>
      </c>
      <c r="I3" s="7" t="n">
        <v>1842</v>
      </c>
      <c r="J3" s="7" t="inlineStr">
        <is>
          <t>sdk_usage_metadata</t>
        </is>
      </c>
      <c r="K3" s="7" t="inlineStr">
        <is>
          <t>success</t>
        </is>
      </c>
      <c r="L3" s="7" t="inlineStr"/>
      <c r="M3" s="7" t="n">
        <v>2</v>
      </c>
    </row>
    <row r="4" ht="34" customHeight="1">
      <c r="A4" s="7" t="n">
        <v>3</v>
      </c>
      <c r="B4" s="7" t="inlineStr">
        <is>
          <t>2026-07-27T14:37:06Z</t>
        </is>
      </c>
      <c r="C4" s="7" t="inlineStr">
        <is>
          <t>vlm_free</t>
        </is>
      </c>
      <c r="D4" s="7" t="inlineStr">
        <is>
          <t>vlm_free_scoring</t>
        </is>
      </c>
      <c r="E4" s="7" t="n">
        <v>0</v>
      </c>
      <c r="F4" s="7" t="inlineStr">
        <is>
          <t>gemini-3.5-flash</t>
        </is>
      </c>
      <c r="G4" s="7" t="n">
        <v>872</v>
      </c>
      <c r="H4" s="7" t="n">
        <v>130</v>
      </c>
      <c r="I4" s="7" t="n">
        <v>1804</v>
      </c>
      <c r="J4" s="7" t="inlineStr">
        <is>
          <t>sdk_usage_metadata</t>
        </is>
      </c>
      <c r="K4" s="7" t="inlineStr">
        <is>
          <t>success</t>
        </is>
      </c>
      <c r="L4" s="7" t="inlineStr"/>
      <c r="M4" s="7" t="n">
        <v>3</v>
      </c>
    </row>
    <row r="5" ht="34" customHeight="1">
      <c r="A5" s="7" t="n">
        <v>4</v>
      </c>
      <c r="B5" s="7" t="inlineStr">
        <is>
          <t>2026-07-27T14:37:10Z</t>
        </is>
      </c>
      <c r="C5" s="7" t="inlineStr">
        <is>
          <t>common</t>
        </is>
      </c>
      <c r="D5" s="7" t="inlineStr">
        <is>
          <t>guided_descriptive_prompt</t>
        </is>
      </c>
      <c r="E5" s="7" t="n">
        <v>0</v>
      </c>
      <c r="F5" s="7" t="inlineStr">
        <is>
          <t>gemini-3.5-flash</t>
        </is>
      </c>
      <c r="G5" s="7" t="n">
        <v>576</v>
      </c>
      <c r="H5" s="7" t="n">
        <v>247</v>
      </c>
      <c r="I5" s="7" t="n">
        <v>1363</v>
      </c>
      <c r="J5" s="7" t="inlineStr">
        <is>
          <t>sdk_usage_metadata</t>
        </is>
      </c>
      <c r="K5" s="7" t="inlineStr">
        <is>
          <t>success</t>
        </is>
      </c>
      <c r="L5" s="7" t="inlineStr"/>
      <c r="M5" s="7" t="n">
        <v>1</v>
      </c>
    </row>
    <row r="6" ht="34" customHeight="1">
      <c r="A6" s="7" t="n">
        <v>5</v>
      </c>
      <c r="B6" s="7" t="inlineStr">
        <is>
          <t>2026-07-27T14:37:20Z</t>
        </is>
      </c>
      <c r="C6" s="7" t="inlineStr">
        <is>
          <t>common</t>
        </is>
      </c>
      <c r="D6" s="7" t="inlineStr">
        <is>
          <t>guided_question_set</t>
        </is>
      </c>
      <c r="E6" s="7" t="n">
        <v>0</v>
      </c>
      <c r="F6" s="7" t="inlineStr">
        <is>
          <t>gemini-3.5-flash</t>
        </is>
      </c>
      <c r="G6" s="7" t="n">
        <v>1724</v>
      </c>
      <c r="H6" s="7" t="n">
        <v>294</v>
      </c>
      <c r="I6" s="7" t="n">
        <v>3791</v>
      </c>
      <c r="J6" s="7" t="inlineStr">
        <is>
          <t>sdk_usage_metadata</t>
        </is>
      </c>
      <c r="K6" s="7" t="inlineStr">
        <is>
          <t>success</t>
        </is>
      </c>
      <c r="L6" s="7" t="inlineStr"/>
      <c r="M6" s="7" t="n">
        <v>2</v>
      </c>
    </row>
    <row r="7" ht="34" customHeight="1">
      <c r="A7" s="7" t="n">
        <v>6</v>
      </c>
      <c r="B7" s="7" t="inlineStr">
        <is>
          <t>2026-07-27T14:37:25Z</t>
        </is>
      </c>
      <c r="C7" s="7" t="inlineStr">
        <is>
          <t>common</t>
        </is>
      </c>
      <c r="D7" s="7" t="inlineStr">
        <is>
          <t>guided_causal_engine</t>
        </is>
      </c>
      <c r="E7" s="7" t="n">
        <v>0</v>
      </c>
      <c r="F7" s="7" t="inlineStr">
        <is>
          <t>gemini-3.5-flash</t>
        </is>
      </c>
      <c r="G7" s="7" t="n">
        <v>823</v>
      </c>
      <c r="H7" s="7" t="n">
        <v>195</v>
      </c>
      <c r="I7" s="7" t="n">
        <v>1939</v>
      </c>
      <c r="J7" s="7" t="inlineStr">
        <is>
          <t>sdk_usage_metadata</t>
        </is>
      </c>
      <c r="K7" s="7" t="inlineStr">
        <is>
          <t>success</t>
        </is>
      </c>
      <c r="L7" s="7" t="inlineStr"/>
      <c r="M7" s="7" t="n">
        <v>3</v>
      </c>
    </row>
    <row r="8" ht="34" customHeight="1">
      <c r="A8" s="7" t="n">
        <v>7</v>
      </c>
      <c r="B8" s="7" t="inlineStr">
        <is>
          <t>2026-07-27T14:37:29Z</t>
        </is>
      </c>
      <c r="C8" s="7" t="inlineStr">
        <is>
          <t>vlm_guided</t>
        </is>
      </c>
      <c r="D8" s="7" t="inlineStr">
        <is>
          <t>vlm_guided_scoring</t>
        </is>
      </c>
      <c r="E8" s="7" t="n">
        <v>0</v>
      </c>
      <c r="F8" s="7" t="inlineStr">
        <is>
          <t>gemini-3.5-flash</t>
        </is>
      </c>
      <c r="G8" s="7" t="n">
        <v>1004</v>
      </c>
      <c r="H8" s="7" t="n">
        <v>100</v>
      </c>
      <c r="I8" s="7" t="n">
        <v>1853</v>
      </c>
      <c r="J8" s="7" t="inlineStr">
        <is>
          <t>sdk_usage_metadata</t>
        </is>
      </c>
      <c r="K8" s="7" t="inlineStr">
        <is>
          <t>success</t>
        </is>
      </c>
      <c r="L8" s="7" t="inlineStr"/>
      <c r="M8" s="7" t="n">
        <v>1</v>
      </c>
    </row>
    <row r="9" ht="34" customHeight="1">
      <c r="A9" s="7" t="n">
        <v>8</v>
      </c>
      <c r="B9" s="7" t="inlineStr">
        <is>
          <t>2026-07-27T14:37:49Z</t>
        </is>
      </c>
      <c r="C9" s="7" t="inlineStr">
        <is>
          <t>vlm_free</t>
        </is>
      </c>
      <c r="D9" s="7" t="inlineStr">
        <is>
          <t>vlm_free_descriptive_causal</t>
        </is>
      </c>
      <c r="E9" s="7" t="n">
        <v>1</v>
      </c>
      <c r="F9" s="7" t="inlineStr">
        <is>
          <t>gemini-3.5-flash</t>
        </is>
      </c>
      <c r="G9" s="7" t="n">
        <v>736</v>
      </c>
      <c r="H9" s="7" t="n">
        <v>616</v>
      </c>
      <c r="I9" s="7" t="n">
        <v>2881</v>
      </c>
      <c r="J9" s="7" t="inlineStr">
        <is>
          <t>sdk_usage_metadata</t>
        </is>
      </c>
      <c r="K9" s="7" t="inlineStr">
        <is>
          <t>success</t>
        </is>
      </c>
      <c r="L9" s="7" t="inlineStr"/>
      <c r="M9" s="7" t="n">
        <v>4</v>
      </c>
    </row>
    <row r="10" ht="34" customHeight="1">
      <c r="A10" s="7" t="n">
        <v>9</v>
      </c>
      <c r="B10" s="7" t="inlineStr">
        <is>
          <t>2026-07-27T14:37:53Z</t>
        </is>
      </c>
      <c r="C10" s="7" t="inlineStr">
        <is>
          <t>vlm_free</t>
        </is>
      </c>
      <c r="D10" s="7" t="inlineStr">
        <is>
          <t>vlm_free_scoring</t>
        </is>
      </c>
      <c r="E10" s="7" t="n">
        <v>1</v>
      </c>
      <c r="F10" s="7" t="inlineStr">
        <is>
          <t>gemini-3.5-flash</t>
        </is>
      </c>
      <c r="G10" s="7" t="n">
        <v>924</v>
      </c>
      <c r="H10" s="7" t="n">
        <v>115</v>
      </c>
      <c r="I10" s="7" t="n">
        <v>1825</v>
      </c>
      <c r="J10" s="7" t="inlineStr">
        <is>
          <t>sdk_usage_metadata</t>
        </is>
      </c>
      <c r="K10" s="7" t="inlineStr">
        <is>
          <t>success</t>
        </is>
      </c>
      <c r="L10" s="7" t="inlineStr"/>
      <c r="M10" s="7" t="n">
        <v>5</v>
      </c>
    </row>
    <row r="11" ht="34" customHeight="1">
      <c r="A11" s="7" t="n">
        <v>10</v>
      </c>
      <c r="B11" s="7" t="inlineStr">
        <is>
          <t>2026-07-27T14:37:59Z</t>
        </is>
      </c>
      <c r="C11" s="7" t="inlineStr">
        <is>
          <t>common</t>
        </is>
      </c>
      <c r="D11" s="7" t="inlineStr">
        <is>
          <t>guided_descriptive_prompt</t>
        </is>
      </c>
      <c r="E11" s="7" t="n">
        <v>1</v>
      </c>
      <c r="F11" s="7" t="inlineStr">
        <is>
          <t>gemini-3.5-flash</t>
        </is>
      </c>
      <c r="G11" s="7" t="n">
        <v>576</v>
      </c>
      <c r="H11" s="7" t="n">
        <v>286</v>
      </c>
      <c r="I11" s="7" t="n">
        <v>1734</v>
      </c>
      <c r="J11" s="7" t="inlineStr">
        <is>
          <t>sdk_usage_metadata</t>
        </is>
      </c>
      <c r="K11" s="7" t="inlineStr">
        <is>
          <t>success</t>
        </is>
      </c>
      <c r="L11" s="7" t="inlineStr"/>
      <c r="M11" s="7" t="n">
        <v>4</v>
      </c>
    </row>
    <row r="12" ht="34" customHeight="1">
      <c r="A12" s="7" t="n">
        <v>11</v>
      </c>
      <c r="B12" s="7" t="inlineStr">
        <is>
          <t>2026-07-27T14:38:07Z</t>
        </is>
      </c>
      <c r="C12" s="7" t="inlineStr">
        <is>
          <t>common</t>
        </is>
      </c>
      <c r="D12" s="7" t="inlineStr">
        <is>
          <t>guided_question_set</t>
        </is>
      </c>
      <c r="E12" s="7" t="n">
        <v>1</v>
      </c>
      <c r="F12" s="7" t="inlineStr">
        <is>
          <t>gemini-3.5-flash</t>
        </is>
      </c>
      <c r="G12" s="7" t="n">
        <v>1764</v>
      </c>
      <c r="H12" s="7" t="n">
        <v>311</v>
      </c>
      <c r="I12" s="7" t="n">
        <v>3402</v>
      </c>
      <c r="J12" s="7" t="inlineStr">
        <is>
          <t>sdk_usage_metadata</t>
        </is>
      </c>
      <c r="K12" s="7" t="inlineStr">
        <is>
          <t>success</t>
        </is>
      </c>
      <c r="L12" s="7" t="inlineStr"/>
      <c r="M12" s="7" t="n">
        <v>5</v>
      </c>
    </row>
    <row r="13" ht="34" customHeight="1">
      <c r="A13" s="7" t="n">
        <v>12</v>
      </c>
      <c r="B13" s="7" t="inlineStr">
        <is>
          <t>2026-07-27T14:38:13Z</t>
        </is>
      </c>
      <c r="C13" s="7" t="inlineStr">
        <is>
          <t>common</t>
        </is>
      </c>
      <c r="D13" s="7" t="inlineStr">
        <is>
          <t>guided_causal_engine</t>
        </is>
      </c>
      <c r="E13" s="7" t="n">
        <v>1</v>
      </c>
      <c r="F13" s="7" t="inlineStr">
        <is>
          <t>gemini-3.5-flash</t>
        </is>
      </c>
      <c r="G13" s="7" t="n">
        <v>880</v>
      </c>
      <c r="H13" s="7" t="n">
        <v>143</v>
      </c>
      <c r="I13" s="7" t="n">
        <v>2013</v>
      </c>
      <c r="J13" s="7" t="inlineStr">
        <is>
          <t>sdk_usage_metadata</t>
        </is>
      </c>
      <c r="K13" s="7" t="inlineStr">
        <is>
          <t>success</t>
        </is>
      </c>
      <c r="L13" s="7" t="inlineStr"/>
      <c r="M13" s="7" t="n">
        <v>6</v>
      </c>
    </row>
    <row r="14" ht="34" customHeight="1">
      <c r="A14" s="7" t="n">
        <v>13</v>
      </c>
      <c r="B14" s="7" t="inlineStr">
        <is>
          <t>2026-07-27T14:38:17Z</t>
        </is>
      </c>
      <c r="C14" s="7" t="inlineStr">
        <is>
          <t>vlm_guided</t>
        </is>
      </c>
      <c r="D14" s="7" t="inlineStr">
        <is>
          <t>vlm_guided_scoring</t>
        </is>
      </c>
      <c r="E14" s="7" t="n">
        <v>1</v>
      </c>
      <c r="F14" s="7" t="inlineStr">
        <is>
          <t>gemini-3.5-flash</t>
        </is>
      </c>
      <c r="G14" s="7" t="n">
        <v>1010</v>
      </c>
      <c r="H14" s="7" t="n">
        <v>89</v>
      </c>
      <c r="I14" s="7" t="n">
        <v>1821</v>
      </c>
      <c r="J14" s="7" t="inlineStr">
        <is>
          <t>sdk_usage_metadata</t>
        </is>
      </c>
      <c r="K14" s="7" t="inlineStr">
        <is>
          <t>success</t>
        </is>
      </c>
      <c r="L14" s="7" t="inlineStr"/>
      <c r="M14" s="7" t="n">
        <v>2</v>
      </c>
    </row>
    <row r="15" ht="34" customHeight="1">
      <c r="A15" s="7" t="n">
        <v>14</v>
      </c>
      <c r="B15" s="7" t="inlineStr">
        <is>
          <t>2026-07-27T14:38:36Z</t>
        </is>
      </c>
      <c r="C15" s="7" t="inlineStr">
        <is>
          <t>vlm_free</t>
        </is>
      </c>
      <c r="D15" s="7" t="inlineStr">
        <is>
          <t>vlm_free_descriptive_causal</t>
        </is>
      </c>
      <c r="E15" s="7" t="n">
        <v>2</v>
      </c>
      <c r="F15" s="7" t="inlineStr">
        <is>
          <t>gemini-3.5-flash</t>
        </is>
      </c>
      <c r="G15" s="7" t="n">
        <v>736</v>
      </c>
      <c r="H15" s="7" t="n">
        <v>442</v>
      </c>
      <c r="I15" s="7" t="n">
        <v>2669</v>
      </c>
      <c r="J15" s="7" t="inlineStr">
        <is>
          <t>sdk_usage_metadata</t>
        </is>
      </c>
      <c r="K15" s="7" t="inlineStr">
        <is>
          <t>success</t>
        </is>
      </c>
      <c r="L15" s="7" t="inlineStr"/>
      <c r="M15" s="7" t="n">
        <v>6</v>
      </c>
    </row>
    <row r="16" ht="34" customHeight="1">
      <c r="A16" s="7" t="n">
        <v>15</v>
      </c>
      <c r="B16" s="7" t="inlineStr">
        <is>
          <t>2026-07-27T14:38:41Z</t>
        </is>
      </c>
      <c r="C16" s="7" t="inlineStr">
        <is>
          <t>vlm_free</t>
        </is>
      </c>
      <c r="D16" s="7" t="inlineStr">
        <is>
          <t>vlm_free_scoring</t>
        </is>
      </c>
      <c r="E16" s="7" t="n">
        <v>2</v>
      </c>
      <c r="F16" s="7" t="inlineStr">
        <is>
          <t>gemini-3.5-flash</t>
        </is>
      </c>
      <c r="G16" s="7" t="n">
        <v>736</v>
      </c>
      <c r="H16" s="7" t="n">
        <v>114</v>
      </c>
      <c r="I16" s="7" t="n">
        <v>1536</v>
      </c>
      <c r="J16" s="7" t="inlineStr">
        <is>
          <t>sdk_usage_metadata</t>
        </is>
      </c>
      <c r="K16" s="7" t="inlineStr">
        <is>
          <t>success</t>
        </is>
      </c>
      <c r="L16" s="7" t="inlineStr"/>
      <c r="M16" s="7" t="n">
        <v>7</v>
      </c>
    </row>
    <row r="17" ht="34" customHeight="1">
      <c r="A17" s="7" t="n">
        <v>16</v>
      </c>
      <c r="B17" s="7" t="inlineStr">
        <is>
          <t>2026-07-27T14:38:47Z</t>
        </is>
      </c>
      <c r="C17" s="7" t="inlineStr">
        <is>
          <t>common</t>
        </is>
      </c>
      <c r="D17" s="7" t="inlineStr">
        <is>
          <t>guided_descriptive_prompt</t>
        </is>
      </c>
      <c r="E17" s="7" t="n">
        <v>2</v>
      </c>
      <c r="F17" s="7" t="inlineStr">
        <is>
          <t>gemini-3.5-flash</t>
        </is>
      </c>
      <c r="G17" s="7" t="n">
        <v>576</v>
      </c>
      <c r="H17" s="7" t="n">
        <v>291</v>
      </c>
      <c r="I17" s="7" t="n">
        <v>1831</v>
      </c>
      <c r="J17" s="7" t="inlineStr">
        <is>
          <t>sdk_usage_metadata</t>
        </is>
      </c>
      <c r="K17" s="7" t="inlineStr">
        <is>
          <t>success</t>
        </is>
      </c>
      <c r="L17" s="7" t="inlineStr"/>
      <c r="M17" s="7" t="n">
        <v>7</v>
      </c>
    </row>
    <row r="18" ht="34" customHeight="1">
      <c r="A18" s="7" t="n">
        <v>17</v>
      </c>
      <c r="B18" s="7" t="inlineStr">
        <is>
          <t>2026-07-27T14:38:55Z</t>
        </is>
      </c>
      <c r="C18" s="7" t="inlineStr">
        <is>
          <t>common</t>
        </is>
      </c>
      <c r="D18" s="7" t="inlineStr">
        <is>
          <t>guided_question_set</t>
        </is>
      </c>
      <c r="E18" s="7" t="n">
        <v>2</v>
      </c>
      <c r="F18" s="7" t="inlineStr">
        <is>
          <t>gemini-3.5-flash</t>
        </is>
      </c>
      <c r="G18" s="7" t="n">
        <v>1769</v>
      </c>
      <c r="H18" s="7" t="n">
        <v>319</v>
      </c>
      <c r="I18" s="7" t="n">
        <v>3372</v>
      </c>
      <c r="J18" s="7" t="inlineStr">
        <is>
          <t>sdk_usage_metadata</t>
        </is>
      </c>
      <c r="K18" s="7" t="inlineStr">
        <is>
          <t>success</t>
        </is>
      </c>
      <c r="L18" s="7" t="inlineStr"/>
      <c r="M18" s="7" t="n">
        <v>8</v>
      </c>
    </row>
    <row r="19" ht="34" customHeight="1">
      <c r="A19" s="7" t="n">
        <v>18</v>
      </c>
      <c r="B19" s="7" t="inlineStr">
        <is>
          <t>2026-07-27T14:39:02Z</t>
        </is>
      </c>
      <c r="C19" s="7" t="inlineStr">
        <is>
          <t>common</t>
        </is>
      </c>
      <c r="D19" s="7" t="inlineStr">
        <is>
          <t>guided_causal_engine</t>
        </is>
      </c>
      <c r="E19" s="7" t="n">
        <v>2</v>
      </c>
      <c r="F19" s="7" t="inlineStr">
        <is>
          <t>gemini-3.5-flash</t>
        </is>
      </c>
      <c r="G19" s="7" t="n">
        <v>893</v>
      </c>
      <c r="H19" s="7" t="n">
        <v>184</v>
      </c>
      <c r="I19" s="7" t="n">
        <v>2260</v>
      </c>
      <c r="J19" s="7" t="inlineStr">
        <is>
          <t>sdk_usage_metadata</t>
        </is>
      </c>
      <c r="K19" s="7" t="inlineStr">
        <is>
          <t>success</t>
        </is>
      </c>
      <c r="L19" s="7" t="inlineStr"/>
      <c r="M19" s="7" t="n">
        <v>9</v>
      </c>
    </row>
    <row r="20" ht="34" customHeight="1">
      <c r="A20" s="7" t="n">
        <v>19</v>
      </c>
      <c r="B20" s="7" t="inlineStr">
        <is>
          <t>2026-07-27T14:39:07Z</t>
        </is>
      </c>
      <c r="C20" s="7" t="inlineStr">
        <is>
          <t>vlm_guided</t>
        </is>
      </c>
      <c r="D20" s="7" t="inlineStr">
        <is>
          <t>vlm_guided_scoring</t>
        </is>
      </c>
      <c r="E20" s="7" t="n">
        <v>2</v>
      </c>
      <c r="F20" s="7" t="inlineStr">
        <is>
          <t>gemini-3.5-flash</t>
        </is>
      </c>
      <c r="G20" s="7" t="n">
        <v>1064</v>
      </c>
      <c r="H20" s="7" t="n">
        <v>93</v>
      </c>
      <c r="I20" s="7" t="n">
        <v>1846</v>
      </c>
      <c r="J20" s="7" t="inlineStr">
        <is>
          <t>sdk_usage_metadata</t>
        </is>
      </c>
      <c r="K20" s="7" t="inlineStr">
        <is>
          <t>success</t>
        </is>
      </c>
      <c r="L20" s="7" t="inlineStr"/>
      <c r="M20" s="7" t="n">
        <v>3</v>
      </c>
    </row>
    <row r="21" ht="34" customHeight="1">
      <c r="A21" s="7" t="n">
        <v>20</v>
      </c>
      <c r="B21" s="7" t="inlineStr">
        <is>
          <t>2026-07-27T14:39:28Z</t>
        </is>
      </c>
      <c r="C21" s="7" t="inlineStr">
        <is>
          <t>vlm_free</t>
        </is>
      </c>
      <c r="D21" s="7" t="inlineStr">
        <is>
          <t>vlm_free_descriptive_causal</t>
        </is>
      </c>
      <c r="E21" s="7" t="n">
        <v>3</v>
      </c>
      <c r="F21" s="7" t="inlineStr">
        <is>
          <t>gemini-3.5-flash</t>
        </is>
      </c>
      <c r="G21" s="7" t="n">
        <v>737</v>
      </c>
      <c r="H21" s="7" t="n">
        <v>558</v>
      </c>
      <c r="I21" s="7" t="n">
        <v>2930</v>
      </c>
      <c r="J21" s="7" t="inlineStr">
        <is>
          <t>sdk_usage_metadata</t>
        </is>
      </c>
      <c r="K21" s="7" t="inlineStr">
        <is>
          <t>success</t>
        </is>
      </c>
      <c r="L21" s="7" t="inlineStr"/>
      <c r="M21" s="7" t="n">
        <v>8</v>
      </c>
    </row>
    <row r="22" ht="34" customHeight="1">
      <c r="A22" s="7" t="n">
        <v>21</v>
      </c>
      <c r="B22" s="7" t="inlineStr">
        <is>
          <t>2026-07-27T14:39:39Z</t>
        </is>
      </c>
      <c r="C22" s="7" t="inlineStr">
        <is>
          <t>vlm_free</t>
        </is>
      </c>
      <c r="D22" s="7" t="inlineStr">
        <is>
          <t>vlm_free_descriptive_causal</t>
        </is>
      </c>
      <c r="E22" s="7" t="n">
        <v>3</v>
      </c>
      <c r="F22" s="7" t="inlineStr">
        <is>
          <t>gemini-3.5-flash</t>
        </is>
      </c>
      <c r="G22" s="7" t="n">
        <v>737</v>
      </c>
      <c r="H22" s="7" t="n">
        <v>428</v>
      </c>
      <c r="I22" s="7" t="n">
        <v>2433</v>
      </c>
      <c r="J22" s="7" t="inlineStr">
        <is>
          <t>sdk_usage_metadata</t>
        </is>
      </c>
      <c r="K22" s="7" t="inlineStr">
        <is>
          <t>success</t>
        </is>
      </c>
      <c r="L22" s="7" t="inlineStr"/>
      <c r="M22" s="7" t="n">
        <v>9</v>
      </c>
    </row>
    <row r="23" ht="34" customHeight="1">
      <c r="A23" s="7" t="n">
        <v>22</v>
      </c>
      <c r="B23" s="7" t="inlineStr">
        <is>
          <t>2026-07-27T14:39:44Z</t>
        </is>
      </c>
      <c r="C23" s="7" t="inlineStr">
        <is>
          <t>vlm_free</t>
        </is>
      </c>
      <c r="D23" s="7" t="inlineStr">
        <is>
          <t>vlm_free_scoring</t>
        </is>
      </c>
      <c r="E23" s="7" t="n">
        <v>3</v>
      </c>
      <c r="F23" s="7" t="inlineStr">
        <is>
          <t>gemini-3.5-flash</t>
        </is>
      </c>
      <c r="G23" s="7" t="n">
        <v>723</v>
      </c>
      <c r="H23" s="7" t="n">
        <v>118</v>
      </c>
      <c r="I23" s="7" t="n">
        <v>1720</v>
      </c>
      <c r="J23" s="7" t="inlineStr">
        <is>
          <t>sdk_usage_metadata</t>
        </is>
      </c>
      <c r="K23" s="7" t="inlineStr">
        <is>
          <t>success</t>
        </is>
      </c>
      <c r="L23" s="7" t="inlineStr"/>
      <c r="M23" s="7" t="n">
        <v>10</v>
      </c>
    </row>
    <row r="24" ht="34" customHeight="1">
      <c r="A24" s="7" t="n">
        <v>23</v>
      </c>
      <c r="B24" s="7" t="inlineStr">
        <is>
          <t>2026-07-27T14:39:50Z</t>
        </is>
      </c>
      <c r="C24" s="7" t="inlineStr">
        <is>
          <t>common</t>
        </is>
      </c>
      <c r="D24" s="7" t="inlineStr">
        <is>
          <t>guided_descriptive_prompt</t>
        </is>
      </c>
      <c r="E24" s="7" t="n">
        <v>3</v>
      </c>
      <c r="F24" s="7" t="inlineStr">
        <is>
          <t>gemini-3.5-flash</t>
        </is>
      </c>
      <c r="G24" s="7" t="n">
        <v>577</v>
      </c>
      <c r="H24" s="7" t="n">
        <v>328</v>
      </c>
      <c r="I24" s="7" t="n">
        <v>1918</v>
      </c>
      <c r="J24" s="7" t="inlineStr">
        <is>
          <t>sdk_usage_metadata</t>
        </is>
      </c>
      <c r="K24" s="7" t="inlineStr">
        <is>
          <t>success</t>
        </is>
      </c>
      <c r="L24" s="7" t="inlineStr"/>
      <c r="M24" s="7" t="n">
        <v>10</v>
      </c>
    </row>
    <row r="25" ht="34" customHeight="1">
      <c r="A25" s="7" t="n">
        <v>24</v>
      </c>
      <c r="B25" s="7" t="inlineStr">
        <is>
          <t>2026-07-27T14:40:00Z</t>
        </is>
      </c>
      <c r="C25" s="7" t="inlineStr">
        <is>
          <t>common</t>
        </is>
      </c>
      <c r="D25" s="7" t="inlineStr">
        <is>
          <t>guided_question_set</t>
        </is>
      </c>
      <c r="E25" s="7" t="n">
        <v>3</v>
      </c>
      <c r="F25" s="7" t="inlineStr">
        <is>
          <t>gemini-3.5-flash</t>
        </is>
      </c>
      <c r="G25" s="7" t="n">
        <v>1807</v>
      </c>
      <c r="H25" s="7" t="n">
        <v>317</v>
      </c>
      <c r="I25" s="7" t="n">
        <v>3761</v>
      </c>
      <c r="J25" s="7" t="inlineStr">
        <is>
          <t>sdk_usage_metadata</t>
        </is>
      </c>
      <c r="K25" s="7" t="inlineStr">
        <is>
          <t>success</t>
        </is>
      </c>
      <c r="L25" s="7" t="inlineStr"/>
      <c r="M25" s="7" t="n">
        <v>11</v>
      </c>
    </row>
    <row r="26" ht="34" customHeight="1">
      <c r="A26" s="7" t="n">
        <v>25</v>
      </c>
      <c r="B26" s="7" t="inlineStr">
        <is>
          <t>2026-07-27T14:40:08Z</t>
        </is>
      </c>
      <c r="C26" s="7" t="inlineStr">
        <is>
          <t>common</t>
        </is>
      </c>
      <c r="D26" s="7" t="inlineStr">
        <is>
          <t>guided_causal_engine</t>
        </is>
      </c>
      <c r="E26" s="7" t="n">
        <v>3</v>
      </c>
      <c r="F26" s="7" t="inlineStr">
        <is>
          <t>gemini-3.5-flash</t>
        </is>
      </c>
      <c r="G26" s="7" t="n">
        <v>929</v>
      </c>
      <c r="H26" s="7" t="n">
        <v>252</v>
      </c>
      <c r="I26" s="7" t="n">
        <v>2345</v>
      </c>
      <c r="J26" s="7" t="inlineStr">
        <is>
          <t>sdk_usage_metadata</t>
        </is>
      </c>
      <c r="K26" s="7" t="inlineStr">
        <is>
          <t>success</t>
        </is>
      </c>
      <c r="L26" s="7" t="inlineStr"/>
      <c r="M26" s="7" t="n">
        <v>12</v>
      </c>
    </row>
    <row r="27" ht="34" customHeight="1">
      <c r="A27" s="7" t="n">
        <v>26</v>
      </c>
      <c r="B27" s="7" t="inlineStr">
        <is>
          <t>2026-07-27T14:40:12Z</t>
        </is>
      </c>
      <c r="C27" s="7" t="inlineStr">
        <is>
          <t>vlm_guided</t>
        </is>
      </c>
      <c r="D27" s="7" t="inlineStr">
        <is>
          <t>vlm_guided_scoring</t>
        </is>
      </c>
      <c r="E27" s="7" t="n">
        <v>3</v>
      </c>
      <c r="F27" s="7" t="inlineStr">
        <is>
          <t>gemini-3.5-flash</t>
        </is>
      </c>
      <c r="G27" s="7" t="n">
        <v>1167</v>
      </c>
      <c r="H27" s="7" t="n">
        <v>85</v>
      </c>
      <c r="I27" s="7" t="n">
        <v>1995</v>
      </c>
      <c r="J27" s="7" t="inlineStr">
        <is>
          <t>sdk_usage_metadata</t>
        </is>
      </c>
      <c r="K27" s="7" t="inlineStr">
        <is>
          <t>success</t>
        </is>
      </c>
      <c r="L27" s="7" t="inlineStr"/>
      <c r="M27" s="7" t="n">
        <v>4</v>
      </c>
    </row>
    <row r="28" ht="34" customHeight="1">
      <c r="A28" s="7" t="n">
        <v>27</v>
      </c>
      <c r="B28" s="7" t="inlineStr">
        <is>
          <t>2026-07-27T14:40:31Z</t>
        </is>
      </c>
      <c r="C28" s="7" t="inlineStr">
        <is>
          <t>vlm_free</t>
        </is>
      </c>
      <c r="D28" s="7" t="inlineStr">
        <is>
          <t>vlm_free_descriptive_causal</t>
        </is>
      </c>
      <c r="E28" s="7" t="n">
        <v>4</v>
      </c>
      <c r="F28" s="7" t="inlineStr">
        <is>
          <t>gemini-3.5-flash</t>
        </is>
      </c>
      <c r="G28" s="7" t="n">
        <v>737</v>
      </c>
      <c r="H28" s="7" t="n">
        <v>430</v>
      </c>
      <c r="I28" s="7" t="n">
        <v>2334</v>
      </c>
      <c r="J28" s="7" t="inlineStr">
        <is>
          <t>sdk_usage_metadata</t>
        </is>
      </c>
      <c r="K28" s="7" t="inlineStr">
        <is>
          <t>success</t>
        </is>
      </c>
      <c r="L28" s="7" t="inlineStr"/>
      <c r="M28" s="7" t="n">
        <v>11</v>
      </c>
    </row>
    <row r="29" ht="34" customHeight="1">
      <c r="A29" s="7" t="n">
        <v>28</v>
      </c>
      <c r="B29" s="7" t="inlineStr">
        <is>
          <t>2026-07-27T14:40:36Z</t>
        </is>
      </c>
      <c r="C29" s="7" t="inlineStr">
        <is>
          <t>vlm_free</t>
        </is>
      </c>
      <c r="D29" s="7" t="inlineStr">
        <is>
          <t>vlm_free_scoring</t>
        </is>
      </c>
      <c r="E29" s="7" t="n">
        <v>4</v>
      </c>
      <c r="F29" s="7" t="inlineStr">
        <is>
          <t>gemini-3.5-flash</t>
        </is>
      </c>
      <c r="G29" s="7" t="n">
        <v>725</v>
      </c>
      <c r="H29" s="7" t="n">
        <v>121</v>
      </c>
      <c r="I29" s="7" t="n">
        <v>1645</v>
      </c>
      <c r="J29" s="7" t="inlineStr">
        <is>
          <t>sdk_usage_metadata</t>
        </is>
      </c>
      <c r="K29" s="7" t="inlineStr">
        <is>
          <t>success</t>
        </is>
      </c>
      <c r="L29" s="7" t="inlineStr"/>
      <c r="M29" s="7" t="n">
        <v>12</v>
      </c>
    </row>
    <row r="30" ht="34" customHeight="1">
      <c r="A30" s="7" t="n">
        <v>29</v>
      </c>
      <c r="B30" s="7" t="inlineStr">
        <is>
          <t>2026-07-27T14:40:43Z</t>
        </is>
      </c>
      <c r="C30" s="7" t="inlineStr">
        <is>
          <t>vlm_free</t>
        </is>
      </c>
      <c r="D30" s="7" t="inlineStr">
        <is>
          <t>vlm_free_scoring</t>
        </is>
      </c>
      <c r="E30" s="7" t="n">
        <v>4</v>
      </c>
      <c r="F30" s="7" t="inlineStr">
        <is>
          <t>gemini-3.5-flash</t>
        </is>
      </c>
      <c r="G30" s="7" t="n">
        <v>725</v>
      </c>
      <c r="H30" s="7" t="n">
        <v>124</v>
      </c>
      <c r="I30" s="7" t="n">
        <v>1544</v>
      </c>
      <c r="J30" s="7" t="inlineStr">
        <is>
          <t>sdk_usage_metadata</t>
        </is>
      </c>
      <c r="K30" s="7" t="inlineStr">
        <is>
          <t>success</t>
        </is>
      </c>
      <c r="L30" s="7" t="inlineStr"/>
      <c r="M30" s="7" t="n">
        <v>13</v>
      </c>
    </row>
    <row r="31" ht="34" customHeight="1">
      <c r="A31" s="7" t="n">
        <v>30</v>
      </c>
      <c r="B31" s="7" t="inlineStr">
        <is>
          <t>2026-07-27T14:40:49Z</t>
        </is>
      </c>
      <c r="C31" s="7" t="inlineStr">
        <is>
          <t>common</t>
        </is>
      </c>
      <c r="D31" s="7" t="inlineStr">
        <is>
          <t>guided_descriptive_prompt</t>
        </is>
      </c>
      <c r="E31" s="7" t="n">
        <v>4</v>
      </c>
      <c r="F31" s="7" t="inlineStr">
        <is>
          <t>gemini-3.5-flash</t>
        </is>
      </c>
      <c r="G31" s="7" t="n">
        <v>577</v>
      </c>
      <c r="H31" s="7" t="n">
        <v>320</v>
      </c>
      <c r="I31" s="7" t="n">
        <v>1971</v>
      </c>
      <c r="J31" s="7" t="inlineStr">
        <is>
          <t>sdk_usage_metadata</t>
        </is>
      </c>
      <c r="K31" s="7" t="inlineStr">
        <is>
          <t>success</t>
        </is>
      </c>
      <c r="L31" s="7" t="inlineStr"/>
      <c r="M31" s="7" t="n">
        <v>13</v>
      </c>
    </row>
    <row r="32" ht="34" customHeight="1">
      <c r="A32" s="7" t="n">
        <v>31</v>
      </c>
      <c r="B32" s="7" t="inlineStr">
        <is>
          <t>2026-07-27T14:40:57Z</t>
        </is>
      </c>
      <c r="C32" s="7" t="inlineStr">
        <is>
          <t>common</t>
        </is>
      </c>
      <c r="D32" s="7" t="inlineStr">
        <is>
          <t>guided_question_set</t>
        </is>
      </c>
      <c r="E32" s="7" t="n">
        <v>4</v>
      </c>
      <c r="F32" s="7" t="inlineStr">
        <is>
          <t>gemini-3.5-flash</t>
        </is>
      </c>
      <c r="G32" s="7" t="n">
        <v>1798</v>
      </c>
      <c r="H32" s="7" t="n">
        <v>321</v>
      </c>
      <c r="I32" s="7" t="n">
        <v>3308</v>
      </c>
      <c r="J32" s="7" t="inlineStr">
        <is>
          <t>sdk_usage_metadata</t>
        </is>
      </c>
      <c r="K32" s="7" t="inlineStr">
        <is>
          <t>success</t>
        </is>
      </c>
      <c r="L32" s="7" t="inlineStr"/>
      <c r="M32" s="7" t="n">
        <v>14</v>
      </c>
    </row>
    <row r="33" ht="34" customHeight="1">
      <c r="A33" s="7" t="n">
        <v>32</v>
      </c>
      <c r="B33" s="7" t="inlineStr">
        <is>
          <t>2026-07-27T14:41:05Z</t>
        </is>
      </c>
      <c r="C33" s="7" t="inlineStr">
        <is>
          <t>common</t>
        </is>
      </c>
      <c r="D33" s="7" t="inlineStr">
        <is>
          <t>guided_causal_engine</t>
        </is>
      </c>
      <c r="E33" s="7" t="n">
        <v>4</v>
      </c>
      <c r="F33" s="7" t="inlineStr">
        <is>
          <t>gemini-3.5-flash</t>
        </is>
      </c>
      <c r="G33" s="7" t="n">
        <v>924</v>
      </c>
      <c r="H33" s="7" t="n">
        <v>186</v>
      </c>
      <c r="I33" s="7" t="n">
        <v>2312</v>
      </c>
      <c r="J33" s="7" t="inlineStr">
        <is>
          <t>sdk_usage_metadata</t>
        </is>
      </c>
      <c r="K33" s="7" t="inlineStr">
        <is>
          <t>success</t>
        </is>
      </c>
      <c r="L33" s="7" t="inlineStr"/>
      <c r="M33" s="7" t="n">
        <v>15</v>
      </c>
    </row>
    <row r="34" ht="34" customHeight="1">
      <c r="A34" s="7" t="n">
        <v>33</v>
      </c>
      <c r="B34" s="7" t="inlineStr">
        <is>
          <t>2026-07-27T14:41:09Z</t>
        </is>
      </c>
      <c r="C34" s="7" t="inlineStr">
        <is>
          <t>vlm_guided</t>
        </is>
      </c>
      <c r="D34" s="7" t="inlineStr">
        <is>
          <t>vlm_guided_scoring</t>
        </is>
      </c>
      <c r="E34" s="7" t="n">
        <v>4</v>
      </c>
      <c r="F34" s="7" t="inlineStr">
        <is>
          <t>gemini-3.5-flash</t>
        </is>
      </c>
      <c r="G34" s="7" t="n">
        <v>1096</v>
      </c>
      <c r="H34" s="7" t="n">
        <v>104</v>
      </c>
      <c r="I34" s="7" t="n">
        <v>2018</v>
      </c>
      <c r="J34" s="7" t="inlineStr">
        <is>
          <t>sdk_usage_metadata</t>
        </is>
      </c>
      <c r="K34" s="7" t="inlineStr">
        <is>
          <t>success</t>
        </is>
      </c>
      <c r="L34" s="7" t="inlineStr"/>
      <c r="M34" s="7" t="n">
        <v>5</v>
      </c>
    </row>
    <row r="35" ht="34" customHeight="1">
      <c r="A35" s="7" t="n">
        <v>34</v>
      </c>
      <c r="B35" s="7" t="inlineStr">
        <is>
          <t>2026-07-27T14:41:15Z</t>
        </is>
      </c>
      <c r="C35" s="7" t="inlineStr">
        <is>
          <t>vlm_guided</t>
        </is>
      </c>
      <c r="D35" s="7" t="inlineStr">
        <is>
          <t>vlm_guided_scoring</t>
        </is>
      </c>
      <c r="E35" s="7" t="n">
        <v>4</v>
      </c>
      <c r="F35" s="7" t="inlineStr">
        <is>
          <t>gemini-3.5-flash</t>
        </is>
      </c>
      <c r="G35" s="7" t="n">
        <v>1096</v>
      </c>
      <c r="H35" s="7" t="n">
        <v>88</v>
      </c>
      <c r="I35" s="7" t="n">
        <v>1971</v>
      </c>
      <c r="J35" s="7" t="inlineStr">
        <is>
          <t>sdk_usage_metadata</t>
        </is>
      </c>
      <c r="K35" s="7" t="inlineStr">
        <is>
          <t>success</t>
        </is>
      </c>
      <c r="L35" s="7" t="inlineStr"/>
      <c r="M35" s="7" t="n">
        <v>6</v>
      </c>
    </row>
    <row r="36" ht="34" customHeight="1">
      <c r="A36" s="7" t="n">
        <v>35</v>
      </c>
      <c r="B36" s="7" t="inlineStr">
        <is>
          <t>2026-07-27T14:41:33Z</t>
        </is>
      </c>
      <c r="C36" s="7" t="inlineStr">
        <is>
          <t>vlm_free</t>
        </is>
      </c>
      <c r="D36" s="7" t="inlineStr">
        <is>
          <t>vlm_free_descriptive_causal</t>
        </is>
      </c>
      <c r="E36" s="7" t="n">
        <v>5</v>
      </c>
      <c r="F36" s="7" t="inlineStr">
        <is>
          <t>gemini-3.5-flash</t>
        </is>
      </c>
      <c r="G36" s="7" t="n">
        <v>738</v>
      </c>
      <c r="H36" s="7" t="n">
        <v>369</v>
      </c>
      <c r="I36" s="7" t="n">
        <v>2340</v>
      </c>
      <c r="J36" s="7" t="inlineStr">
        <is>
          <t>sdk_usage_metadata</t>
        </is>
      </c>
      <c r="K36" s="7" t="inlineStr">
        <is>
          <t>success</t>
        </is>
      </c>
      <c r="L36" s="7" t="inlineStr"/>
      <c r="M36" s="7" t="n">
        <v>14</v>
      </c>
    </row>
    <row r="37" ht="34" customHeight="1">
      <c r="A37" s="7" t="n">
        <v>36</v>
      </c>
      <c r="B37" s="7" t="inlineStr">
        <is>
          <t>2026-07-27T14:41:43Z</t>
        </is>
      </c>
      <c r="C37" s="7" t="inlineStr">
        <is>
          <t>vlm_free</t>
        </is>
      </c>
      <c r="D37" s="7" t="inlineStr">
        <is>
          <t>vlm_free_descriptive_causal</t>
        </is>
      </c>
      <c r="E37" s="7" t="n">
        <v>5</v>
      </c>
      <c r="F37" s="7" t="inlineStr">
        <is>
          <t>gemini-3.5-flash</t>
        </is>
      </c>
      <c r="G37" s="7" t="n">
        <v>738</v>
      </c>
      <c r="H37" s="7" t="n">
        <v>466</v>
      </c>
      <c r="I37" s="7" t="n">
        <v>2632</v>
      </c>
      <c r="J37" s="7" t="inlineStr">
        <is>
          <t>sdk_usage_metadata</t>
        </is>
      </c>
      <c r="K37" s="7" t="inlineStr">
        <is>
          <t>success</t>
        </is>
      </c>
      <c r="L37" s="7" t="inlineStr"/>
      <c r="M37" s="7" t="n">
        <v>15</v>
      </c>
    </row>
    <row r="38" ht="34" customHeight="1">
      <c r="A38" s="7" t="n">
        <v>37</v>
      </c>
      <c r="B38" s="7" t="inlineStr">
        <is>
          <t>2026-07-27T14:41:48Z</t>
        </is>
      </c>
      <c r="C38" s="7" t="inlineStr">
        <is>
          <t>vlm_free</t>
        </is>
      </c>
      <c r="D38" s="7" t="inlineStr">
        <is>
          <t>vlm_free_scoring</t>
        </is>
      </c>
      <c r="E38" s="7" t="n">
        <v>5</v>
      </c>
      <c r="F38" s="7" t="inlineStr">
        <is>
          <t>gemini-3.5-flash</t>
        </is>
      </c>
      <c r="G38" s="7" t="n">
        <v>762</v>
      </c>
      <c r="H38" s="7" t="n">
        <v>126</v>
      </c>
      <c r="I38" s="7" t="n">
        <v>1786</v>
      </c>
      <c r="J38" s="7" t="inlineStr">
        <is>
          <t>sdk_usage_metadata</t>
        </is>
      </c>
      <c r="K38" s="7" t="inlineStr">
        <is>
          <t>success</t>
        </is>
      </c>
      <c r="L38" s="7" t="inlineStr"/>
      <c r="M38" s="7" t="n">
        <v>16</v>
      </c>
    </row>
    <row r="39" ht="34" customHeight="1">
      <c r="A39" s="7" t="n">
        <v>38</v>
      </c>
      <c r="B39" s="7" t="inlineStr">
        <is>
          <t>2026-07-27T14:41:55Z</t>
        </is>
      </c>
      <c r="C39" s="7" t="inlineStr">
        <is>
          <t>vlm_free</t>
        </is>
      </c>
      <c r="D39" s="7" t="inlineStr">
        <is>
          <t>vlm_free_scoring</t>
        </is>
      </c>
      <c r="E39" s="7" t="n">
        <v>5</v>
      </c>
      <c r="F39" s="7" t="inlineStr">
        <is>
          <t>gemini-3.5-flash</t>
        </is>
      </c>
      <c r="G39" s="7" t="n">
        <v>762</v>
      </c>
      <c r="H39" s="7" t="n">
        <v>135</v>
      </c>
      <c r="I39" s="7" t="n">
        <v>1737</v>
      </c>
      <c r="J39" s="7" t="inlineStr">
        <is>
          <t>sdk_usage_metadata</t>
        </is>
      </c>
      <c r="K39" s="7" t="inlineStr">
        <is>
          <t>success</t>
        </is>
      </c>
      <c r="L39" s="7" t="inlineStr"/>
      <c r="M39" s="7" t="n">
        <v>17</v>
      </c>
    </row>
    <row r="40" ht="34" customHeight="1">
      <c r="A40" s="7" t="n">
        <v>39</v>
      </c>
      <c r="B40" s="7" t="inlineStr">
        <is>
          <t>2026-07-27T14:42:02Z</t>
        </is>
      </c>
      <c r="C40" s="7" t="inlineStr">
        <is>
          <t>common</t>
        </is>
      </c>
      <c r="D40" s="7" t="inlineStr">
        <is>
          <t>guided_descriptive_prompt</t>
        </is>
      </c>
      <c r="E40" s="7" t="n">
        <v>5</v>
      </c>
      <c r="F40" s="7" t="inlineStr">
        <is>
          <t>gemini-3.5-flash</t>
        </is>
      </c>
      <c r="G40" s="7" t="n">
        <v>578</v>
      </c>
      <c r="H40" s="7" t="n">
        <v>331</v>
      </c>
      <c r="I40" s="7" t="n">
        <v>1882</v>
      </c>
      <c r="J40" s="7" t="inlineStr">
        <is>
          <t>sdk_usage_metadata</t>
        </is>
      </c>
      <c r="K40" s="7" t="inlineStr">
        <is>
          <t>success</t>
        </is>
      </c>
      <c r="L40" s="7" t="inlineStr"/>
      <c r="M40" s="7" t="n">
        <v>16</v>
      </c>
    </row>
    <row r="41" ht="34" customHeight="1">
      <c r="A41" s="7" t="n">
        <v>40</v>
      </c>
      <c r="B41" s="7" t="inlineStr">
        <is>
          <t>2026-07-27T14:42:11Z</t>
        </is>
      </c>
      <c r="C41" s="7" t="inlineStr">
        <is>
          <t>common</t>
        </is>
      </c>
      <c r="D41" s="7" t="inlineStr">
        <is>
          <t>guided_question_set</t>
        </is>
      </c>
      <c r="E41" s="7" t="n">
        <v>5</v>
      </c>
      <c r="F41" s="7" t="inlineStr">
        <is>
          <t>gemini-3.5-flash</t>
        </is>
      </c>
      <c r="G41" s="7" t="n">
        <v>1811</v>
      </c>
      <c r="H41" s="7" t="n">
        <v>297</v>
      </c>
      <c r="I41" s="7" t="n">
        <v>3768</v>
      </c>
      <c r="J41" s="7" t="inlineStr">
        <is>
          <t>sdk_usage_metadata</t>
        </is>
      </c>
      <c r="K41" s="7" t="inlineStr">
        <is>
          <t>success</t>
        </is>
      </c>
      <c r="L41" s="7" t="inlineStr"/>
      <c r="M41" s="7" t="n">
        <v>17</v>
      </c>
    </row>
    <row r="42" ht="34" customHeight="1">
      <c r="A42" s="7" t="n">
        <v>41</v>
      </c>
      <c r="B42" s="7" t="inlineStr">
        <is>
          <t>2026-07-27T14:42:19Z</t>
        </is>
      </c>
      <c r="C42" s="7" t="inlineStr">
        <is>
          <t>common</t>
        </is>
      </c>
      <c r="D42" s="7" t="inlineStr">
        <is>
          <t>guided_causal_engine</t>
        </is>
      </c>
      <c r="E42" s="7" t="n">
        <v>5</v>
      </c>
      <c r="F42" s="7" t="inlineStr">
        <is>
          <t>gemini-3.5-flash</t>
        </is>
      </c>
      <c r="G42" s="7" t="n">
        <v>913</v>
      </c>
      <c r="H42" s="7" t="n">
        <v>185</v>
      </c>
      <c r="I42" s="7" t="n">
        <v>2520</v>
      </c>
      <c r="J42" s="7" t="inlineStr">
        <is>
          <t>sdk_usage_metadata</t>
        </is>
      </c>
      <c r="K42" s="7" t="inlineStr">
        <is>
          <t>success</t>
        </is>
      </c>
      <c r="L42" s="7" t="inlineStr"/>
      <c r="M42" s="7" t="n">
        <v>18</v>
      </c>
    </row>
    <row r="43" ht="34" customHeight="1">
      <c r="A43" s="7" t="n">
        <v>42</v>
      </c>
      <c r="B43" s="7" t="inlineStr">
        <is>
          <t>2026-07-27T14:42:23Z</t>
        </is>
      </c>
      <c r="C43" s="7" t="inlineStr">
        <is>
          <t>vlm_guided</t>
        </is>
      </c>
      <c r="D43" s="7" t="inlineStr">
        <is>
          <t>vlm_guided_scoring</t>
        </is>
      </c>
      <c r="E43" s="7" t="n">
        <v>5</v>
      </c>
      <c r="F43" s="7" t="inlineStr">
        <is>
          <t>gemini-3.5-flash</t>
        </is>
      </c>
      <c r="G43" s="7" t="n">
        <v>1085</v>
      </c>
      <c r="H43" s="7" t="n">
        <v>81</v>
      </c>
      <c r="I43" s="7" t="n">
        <v>1820</v>
      </c>
      <c r="J43" s="7" t="inlineStr">
        <is>
          <t>sdk_usage_metadata</t>
        </is>
      </c>
      <c r="K43" s="7" t="inlineStr">
        <is>
          <t>success</t>
        </is>
      </c>
      <c r="L43" s="7" t="inlineStr"/>
      <c r="M43" s="7" t="n">
        <v>7</v>
      </c>
    </row>
    <row r="44" ht="34" customHeight="1">
      <c r="A44" s="7" t="n">
        <v>43</v>
      </c>
      <c r="B44" s="7" t="inlineStr">
        <is>
          <t>2026-07-27T14:42:28Z</t>
        </is>
      </c>
      <c r="C44" s="7" t="inlineStr">
        <is>
          <t>vlm_guided</t>
        </is>
      </c>
      <c r="D44" s="7" t="inlineStr">
        <is>
          <t>vlm_guided_scoring</t>
        </is>
      </c>
      <c r="E44" s="7" t="n">
        <v>5</v>
      </c>
      <c r="F44" s="7" t="inlineStr">
        <is>
          <t>gemini-3.5-flash</t>
        </is>
      </c>
      <c r="G44" s="7" t="n">
        <v>1085</v>
      </c>
      <c r="H44" s="7" t="n">
        <v>86</v>
      </c>
      <c r="I44" s="7" t="n">
        <v>1891</v>
      </c>
      <c r="J44" s="7" t="inlineStr">
        <is>
          <t>sdk_usage_metadata</t>
        </is>
      </c>
      <c r="K44" s="7" t="inlineStr">
        <is>
          <t>success</t>
        </is>
      </c>
      <c r="L44" s="7" t="inlineStr"/>
      <c r="M44" s="7" t="n">
        <v>8</v>
      </c>
    </row>
    <row r="45" ht="34" customHeight="1">
      <c r="A45" s="7" t="n">
        <v>44</v>
      </c>
      <c r="B45" s="7" t="inlineStr">
        <is>
          <t>2026-07-27T14:42:34Z</t>
        </is>
      </c>
      <c r="C45" s="7" t="inlineStr">
        <is>
          <t>vlm_guided</t>
        </is>
      </c>
      <c r="D45" s="7" t="inlineStr">
        <is>
          <t>vlm_guided_scoring</t>
        </is>
      </c>
      <c r="E45" s="7" t="n">
        <v>5</v>
      </c>
      <c r="F45" s="7" t="inlineStr">
        <is>
          <t>gemini-3.5-flash</t>
        </is>
      </c>
      <c r="G45" s="7" t="n">
        <v>1085</v>
      </c>
      <c r="H45" s="7" t="n">
        <v>94</v>
      </c>
      <c r="I45" s="7" t="n">
        <v>1811</v>
      </c>
      <c r="J45" s="7" t="inlineStr">
        <is>
          <t>sdk_usage_metadata</t>
        </is>
      </c>
      <c r="K45" s="7" t="inlineStr">
        <is>
          <t>success</t>
        </is>
      </c>
      <c r="L45" s="7" t="inlineStr"/>
      <c r="M45" s="7" t="n">
        <v>9</v>
      </c>
    </row>
    <row r="46" ht="34" customHeight="1">
      <c r="A46" s="7" t="n">
        <v>45</v>
      </c>
      <c r="B46" s="7" t="inlineStr">
        <is>
          <t>2026-07-27T14:42:57Z</t>
        </is>
      </c>
      <c r="C46" s="7" t="inlineStr">
        <is>
          <t>vlm_free</t>
        </is>
      </c>
      <c r="D46" s="7" t="inlineStr">
        <is>
          <t>vlm_free_descriptive_causal</t>
        </is>
      </c>
      <c r="E46" s="7" t="n">
        <v>6</v>
      </c>
      <c r="F46" s="7" t="inlineStr">
        <is>
          <t>gemini-3.5-flash</t>
        </is>
      </c>
      <c r="G46" s="7" t="n">
        <v>738</v>
      </c>
      <c r="H46" s="7" t="n">
        <v>396</v>
      </c>
      <c r="I46" s="7" t="n">
        <v>2760</v>
      </c>
      <c r="J46" s="7" t="inlineStr">
        <is>
          <t>sdk_usage_metadata</t>
        </is>
      </c>
      <c r="K46" s="7" t="inlineStr">
        <is>
          <t>success</t>
        </is>
      </c>
      <c r="L46" s="7" t="inlineStr"/>
      <c r="M46" s="7" t="n">
        <v>18</v>
      </c>
    </row>
    <row r="47" ht="34" customHeight="1">
      <c r="A47" s="7" t="n">
        <v>46</v>
      </c>
      <c r="B47" s="7" t="inlineStr">
        <is>
          <t>2026-07-27T14:43:08Z</t>
        </is>
      </c>
      <c r="C47" s="7" t="inlineStr">
        <is>
          <t>vlm_free</t>
        </is>
      </c>
      <c r="D47" s="7" t="inlineStr">
        <is>
          <t>vlm_free_descriptive_causal</t>
        </is>
      </c>
      <c r="E47" s="7" t="n">
        <v>6</v>
      </c>
      <c r="F47" s="7" t="inlineStr">
        <is>
          <t>gemini-3.5-flash</t>
        </is>
      </c>
      <c r="G47" s="7" t="n">
        <v>738</v>
      </c>
      <c r="H47" s="7" t="n">
        <v>449</v>
      </c>
      <c r="I47" s="7" t="n">
        <v>2439</v>
      </c>
      <c r="J47" s="7" t="inlineStr">
        <is>
          <t>sdk_usage_metadata</t>
        </is>
      </c>
      <c r="K47" s="7" t="inlineStr">
        <is>
          <t>success</t>
        </is>
      </c>
      <c r="L47" s="7" t="inlineStr"/>
      <c r="M47" s="7" t="n">
        <v>19</v>
      </c>
    </row>
    <row r="48" ht="34" customHeight="1">
      <c r="A48" s="7" t="n">
        <v>47</v>
      </c>
      <c r="B48" s="7" t="inlineStr">
        <is>
          <t>2026-07-27T14:43:13Z</t>
        </is>
      </c>
      <c r="C48" s="7" t="inlineStr">
        <is>
          <t>vlm_free</t>
        </is>
      </c>
      <c r="D48" s="7" t="inlineStr">
        <is>
          <t>vlm_free_scoring</t>
        </is>
      </c>
      <c r="E48" s="7" t="n">
        <v>6</v>
      </c>
      <c r="F48" s="7" t="inlineStr">
        <is>
          <t>gemini-3.5-flash</t>
        </is>
      </c>
      <c r="G48" s="7" t="n">
        <v>745</v>
      </c>
      <c r="H48" s="7" t="n">
        <v>126</v>
      </c>
      <c r="I48" s="7" t="n">
        <v>1710</v>
      </c>
      <c r="J48" s="7" t="inlineStr">
        <is>
          <t>sdk_usage_metadata</t>
        </is>
      </c>
      <c r="K48" s="7" t="inlineStr">
        <is>
          <t>success</t>
        </is>
      </c>
      <c r="L48" s="7" t="inlineStr"/>
      <c r="M48" s="7" t="n">
        <v>20</v>
      </c>
    </row>
    <row r="49" ht="34" customHeight="1">
      <c r="A49" s="7" t="n">
        <v>48</v>
      </c>
      <c r="B49" s="7" t="inlineStr">
        <is>
          <t>2026-07-27T14:43:20Z</t>
        </is>
      </c>
      <c r="C49" s="7" t="inlineStr">
        <is>
          <t>common</t>
        </is>
      </c>
      <c r="D49" s="7" t="inlineStr">
        <is>
          <t>guided_descriptive_prompt</t>
        </is>
      </c>
      <c r="E49" s="7" t="n">
        <v>6</v>
      </c>
      <c r="F49" s="7" t="inlineStr">
        <is>
          <t>gemini-3.5-flash</t>
        </is>
      </c>
      <c r="G49" s="7" t="n">
        <v>578</v>
      </c>
      <c r="H49" s="7" t="n">
        <v>319</v>
      </c>
      <c r="I49" s="7" t="n">
        <v>2072</v>
      </c>
      <c r="J49" s="7" t="inlineStr">
        <is>
          <t>sdk_usage_metadata</t>
        </is>
      </c>
      <c r="K49" s="7" t="inlineStr">
        <is>
          <t>success</t>
        </is>
      </c>
      <c r="L49" s="7" t="inlineStr"/>
      <c r="M49" s="7" t="n">
        <v>19</v>
      </c>
    </row>
    <row r="50" ht="34" customHeight="1">
      <c r="A50" s="7" t="n">
        <v>49</v>
      </c>
      <c r="B50" s="7" t="inlineStr">
        <is>
          <t>2026-07-27T14:43:28Z</t>
        </is>
      </c>
      <c r="C50" s="7" t="inlineStr">
        <is>
          <t>common</t>
        </is>
      </c>
      <c r="D50" s="7" t="inlineStr">
        <is>
          <t>guided_question_set</t>
        </is>
      </c>
      <c r="E50" s="7" t="n">
        <v>6</v>
      </c>
      <c r="F50" s="7" t="inlineStr">
        <is>
          <t>gemini-3.5-flash</t>
        </is>
      </c>
      <c r="G50" s="7" t="n">
        <v>1799</v>
      </c>
      <c r="H50" s="7" t="n">
        <v>282</v>
      </c>
      <c r="I50" s="7" t="n">
        <v>3388</v>
      </c>
      <c r="J50" s="7" t="inlineStr">
        <is>
          <t>sdk_usage_metadata</t>
        </is>
      </c>
      <c r="K50" s="7" t="inlineStr">
        <is>
          <t>success</t>
        </is>
      </c>
      <c r="L50" s="7" t="inlineStr"/>
      <c r="M50" s="7" t="n">
        <v>20</v>
      </c>
    </row>
    <row r="51" ht="34" customHeight="1">
      <c r="A51" s="7" t="n">
        <v>50</v>
      </c>
      <c r="B51" s="7" t="inlineStr">
        <is>
          <t>2026-07-27T14:43:37Z</t>
        </is>
      </c>
      <c r="C51" s="7" t="inlineStr">
        <is>
          <t>common</t>
        </is>
      </c>
      <c r="D51" s="7" t="inlineStr">
        <is>
          <t>guided_question_set</t>
        </is>
      </c>
      <c r="E51" s="7" t="n">
        <v>6</v>
      </c>
      <c r="F51" s="7" t="inlineStr">
        <is>
          <t>gemini-3.5-flash</t>
        </is>
      </c>
      <c r="G51" s="7" t="n">
        <v>1799</v>
      </c>
      <c r="H51" s="7" t="n">
        <v>306</v>
      </c>
      <c r="I51" s="7" t="n">
        <v>3724</v>
      </c>
      <c r="J51" s="7" t="inlineStr">
        <is>
          <t>sdk_usage_metadata</t>
        </is>
      </c>
      <c r="K51" s="7" t="inlineStr">
        <is>
          <t>success</t>
        </is>
      </c>
      <c r="L51" s="7" t="inlineStr"/>
      <c r="M51" s="7" t="n">
        <v>21</v>
      </c>
    </row>
    <row r="52" ht="34" customHeight="1">
      <c r="A52" s="7" t="n">
        <v>51</v>
      </c>
      <c r="B52" s="7" t="inlineStr">
        <is>
          <t>2026-07-27T14:43:43Z</t>
        </is>
      </c>
      <c r="C52" s="7" t="inlineStr">
        <is>
          <t>common</t>
        </is>
      </c>
      <c r="D52" s="7" t="inlineStr">
        <is>
          <t>guided_causal_engine</t>
        </is>
      </c>
      <c r="E52" s="7" t="n">
        <v>6</v>
      </c>
      <c r="F52" s="7" t="inlineStr">
        <is>
          <t>gemini-3.5-flash</t>
        </is>
      </c>
      <c r="G52" s="7" t="n">
        <v>910</v>
      </c>
      <c r="H52" s="7" t="n">
        <v>226</v>
      </c>
      <c r="I52" s="7" t="n">
        <v>2119</v>
      </c>
      <c r="J52" s="7" t="inlineStr">
        <is>
          <t>sdk_usage_metadata</t>
        </is>
      </c>
      <c r="K52" s="7" t="inlineStr">
        <is>
          <t>success</t>
        </is>
      </c>
      <c r="L52" s="7" t="inlineStr"/>
      <c r="M52" s="7" t="n">
        <v>22</v>
      </c>
    </row>
    <row r="53" ht="34" customHeight="1">
      <c r="A53" s="7" t="n">
        <v>52</v>
      </c>
      <c r="B53" s="7" t="inlineStr">
        <is>
          <t>2026-07-27T14:43:51Z</t>
        </is>
      </c>
      <c r="C53" s="7" t="inlineStr">
        <is>
          <t>common</t>
        </is>
      </c>
      <c r="D53" s="7" t="inlineStr">
        <is>
          <t>guided_causal_engine</t>
        </is>
      </c>
      <c r="E53" s="7" t="n">
        <v>6</v>
      </c>
      <c r="F53" s="7" t="inlineStr">
        <is>
          <t>gemini-3.5-flash</t>
        </is>
      </c>
      <c r="G53" s="7" t="n">
        <v>910</v>
      </c>
      <c r="H53" s="7" t="n">
        <v>236</v>
      </c>
      <c r="I53" s="7" t="n">
        <v>2170</v>
      </c>
      <c r="J53" s="7" t="inlineStr">
        <is>
          <t>sdk_usage_metadata</t>
        </is>
      </c>
      <c r="K53" s="7" t="inlineStr">
        <is>
          <t>success</t>
        </is>
      </c>
      <c r="L53" s="7" t="inlineStr"/>
      <c r="M53" s="7" t="n">
        <v>23</v>
      </c>
    </row>
    <row r="54" ht="34" customHeight="1">
      <c r="A54" s="7" t="n">
        <v>53</v>
      </c>
      <c r="B54" s="7" t="inlineStr">
        <is>
          <t>2026-07-27T14:43:56Z</t>
        </is>
      </c>
      <c r="C54" s="7" t="inlineStr">
        <is>
          <t>vlm_guided</t>
        </is>
      </c>
      <c r="D54" s="7" t="inlineStr">
        <is>
          <t>vlm_guided_scoring</t>
        </is>
      </c>
      <c r="E54" s="7" t="n">
        <v>6</v>
      </c>
      <c r="F54" s="7" t="inlineStr">
        <is>
          <t>gemini-3.5-flash</t>
        </is>
      </c>
      <c r="G54" s="7" t="n">
        <v>1132</v>
      </c>
      <c r="H54" s="7" t="n">
        <v>102</v>
      </c>
      <c r="I54" s="7" t="n">
        <v>2112</v>
      </c>
      <c r="J54" s="7" t="inlineStr">
        <is>
          <t>sdk_usage_metadata</t>
        </is>
      </c>
      <c r="K54" s="7" t="inlineStr">
        <is>
          <t>success</t>
        </is>
      </c>
      <c r="L54" s="7" t="inlineStr"/>
      <c r="M54" s="7" t="n">
        <v>10</v>
      </c>
    </row>
    <row r="55" ht="34" customHeight="1">
      <c r="A55" s="7" t="n">
        <v>54</v>
      </c>
      <c r="B55" s="7" t="inlineStr">
        <is>
          <t>2026-07-27T14:44:16Z</t>
        </is>
      </c>
      <c r="C55" s="7" t="inlineStr">
        <is>
          <t>vlm_free</t>
        </is>
      </c>
      <c r="D55" s="7" t="inlineStr">
        <is>
          <t>vlm_free_descriptive_causal</t>
        </is>
      </c>
      <c r="E55" s="7" t="n">
        <v>7</v>
      </c>
      <c r="F55" s="7" t="inlineStr">
        <is>
          <t>gemini-3.5-flash</t>
        </is>
      </c>
      <c r="G55" s="7" t="n">
        <v>738</v>
      </c>
      <c r="H55" s="7" t="n">
        <v>555</v>
      </c>
      <c r="I55" s="7" t="n">
        <v>2925</v>
      </c>
      <c r="J55" s="7" t="inlineStr">
        <is>
          <t>sdk_usage_metadata</t>
        </is>
      </c>
      <c r="K55" s="7" t="inlineStr">
        <is>
          <t>success</t>
        </is>
      </c>
      <c r="L55" s="7" t="inlineStr"/>
      <c r="M55" s="7" t="n">
        <v>21</v>
      </c>
    </row>
    <row r="56" ht="34" customHeight="1">
      <c r="A56" s="7" t="n">
        <v>55</v>
      </c>
      <c r="B56" s="7" t="inlineStr">
        <is>
          <t>2026-07-27T14:44:21Z</t>
        </is>
      </c>
      <c r="C56" s="7" t="inlineStr">
        <is>
          <t>vlm_free</t>
        </is>
      </c>
      <c r="D56" s="7" t="inlineStr">
        <is>
          <t>vlm_free_scoring</t>
        </is>
      </c>
      <c r="E56" s="7" t="n">
        <v>7</v>
      </c>
      <c r="F56" s="7" t="inlineStr">
        <is>
          <t>gemini-3.5-flash</t>
        </is>
      </c>
      <c r="G56" s="7" t="n">
        <v>850</v>
      </c>
      <c r="H56" s="7" t="n">
        <v>130</v>
      </c>
      <c r="I56" s="7" t="n">
        <v>1761</v>
      </c>
      <c r="J56" s="7" t="inlineStr">
        <is>
          <t>sdk_usage_metadata</t>
        </is>
      </c>
      <c r="K56" s="7" t="inlineStr">
        <is>
          <t>success</t>
        </is>
      </c>
      <c r="L56" s="7" t="inlineStr"/>
      <c r="M56" s="7" t="n">
        <v>22</v>
      </c>
    </row>
    <row r="57" ht="34" customHeight="1">
      <c r="A57" s="7" t="n">
        <v>56</v>
      </c>
      <c r="B57" s="7" t="inlineStr">
        <is>
          <t>2026-07-27T14:44:28Z</t>
        </is>
      </c>
      <c r="C57" s="7" t="inlineStr">
        <is>
          <t>common</t>
        </is>
      </c>
      <c r="D57" s="7" t="inlineStr">
        <is>
          <t>guided_descriptive_prompt</t>
        </is>
      </c>
      <c r="E57" s="7" t="n">
        <v>7</v>
      </c>
      <c r="F57" s="7" t="inlineStr">
        <is>
          <t>gemini-3.5-flash</t>
        </is>
      </c>
      <c r="G57" s="7" t="n">
        <v>578</v>
      </c>
      <c r="H57" s="7" t="n">
        <v>298</v>
      </c>
      <c r="I57" s="7" t="n">
        <v>1949</v>
      </c>
      <c r="J57" s="7" t="inlineStr">
        <is>
          <t>sdk_usage_metadata</t>
        </is>
      </c>
      <c r="K57" s="7" t="inlineStr">
        <is>
          <t>success</t>
        </is>
      </c>
      <c r="L57" s="7" t="inlineStr"/>
      <c r="M57" s="7" t="n">
        <v>24</v>
      </c>
    </row>
    <row r="58" ht="34" customHeight="1">
      <c r="A58" s="7" t="n">
        <v>57</v>
      </c>
      <c r="B58" s="7" t="inlineStr">
        <is>
          <t>2026-07-27T14:44:34Z</t>
        </is>
      </c>
      <c r="C58" s="7" t="inlineStr">
        <is>
          <t>common</t>
        </is>
      </c>
      <c r="D58" s="7" t="inlineStr">
        <is>
          <t>guided_question_set</t>
        </is>
      </c>
      <c r="E58" s="7" t="n">
        <v>7</v>
      </c>
      <c r="F58" s="7" t="inlineStr">
        <is>
          <t>gemini-3.5-flash</t>
        </is>
      </c>
      <c r="G58" s="7" t="n">
        <v>1778</v>
      </c>
      <c r="H58" s="7" t="n">
        <v>298</v>
      </c>
      <c r="I58" s="7" t="n">
        <v>3311</v>
      </c>
      <c r="J58" s="7" t="inlineStr">
        <is>
          <t>sdk_usage_metadata</t>
        </is>
      </c>
      <c r="K58" s="7" t="inlineStr">
        <is>
          <t>success</t>
        </is>
      </c>
      <c r="L58" s="7" t="inlineStr"/>
      <c r="M58" s="7" t="n">
        <v>25</v>
      </c>
    </row>
    <row r="59" ht="34" customHeight="1">
      <c r="A59" s="7" t="n">
        <v>58</v>
      </c>
      <c r="B59" s="7" t="inlineStr">
        <is>
          <t>2026-07-27T14:44:41Z</t>
        </is>
      </c>
      <c r="C59" s="7" t="inlineStr">
        <is>
          <t>common</t>
        </is>
      </c>
      <c r="D59" s="7" t="inlineStr">
        <is>
          <t>guided_causal_engine</t>
        </is>
      </c>
      <c r="E59" s="7" t="n">
        <v>7</v>
      </c>
      <c r="F59" s="7" t="inlineStr">
        <is>
          <t>gemini-3.5-flash</t>
        </is>
      </c>
      <c r="G59" s="7" t="n">
        <v>881</v>
      </c>
      <c r="H59" s="7" t="n">
        <v>252</v>
      </c>
      <c r="I59" s="7" t="n">
        <v>2261</v>
      </c>
      <c r="J59" s="7" t="inlineStr">
        <is>
          <t>sdk_usage_metadata</t>
        </is>
      </c>
      <c r="K59" s="7" t="inlineStr">
        <is>
          <t>success</t>
        </is>
      </c>
      <c r="L59" s="7" t="inlineStr"/>
      <c r="M59" s="7" t="n">
        <v>26</v>
      </c>
    </row>
    <row r="60" ht="34" customHeight="1">
      <c r="A60" s="7" t="n">
        <v>59</v>
      </c>
      <c r="B60" s="7" t="inlineStr">
        <is>
          <t>2026-07-27T14:44:45Z</t>
        </is>
      </c>
      <c r="C60" s="7" t="inlineStr">
        <is>
          <t>vlm_guided</t>
        </is>
      </c>
      <c r="D60" s="7" t="inlineStr">
        <is>
          <t>vlm_guided_scoring</t>
        </is>
      </c>
      <c r="E60" s="7" t="n">
        <v>7</v>
      </c>
      <c r="F60" s="7" t="inlineStr">
        <is>
          <t>gemini-3.5-flash</t>
        </is>
      </c>
      <c r="G60" s="7" t="n">
        <v>1119</v>
      </c>
      <c r="H60" s="7" t="n">
        <v>91</v>
      </c>
      <c r="I60" s="7" t="n">
        <v>1940</v>
      </c>
      <c r="J60" s="7" t="inlineStr">
        <is>
          <t>sdk_usage_metadata</t>
        </is>
      </c>
      <c r="K60" s="7" t="inlineStr">
        <is>
          <t>success</t>
        </is>
      </c>
      <c r="L60" s="7" t="inlineStr"/>
      <c r="M60" s="7" t="n">
        <v>11</v>
      </c>
    </row>
    <row r="61" ht="34" customHeight="1">
      <c r="A61" s="7" t="n">
        <v>60</v>
      </c>
      <c r="B61" s="7" t="inlineStr">
        <is>
          <t>2026-07-27T14:45:05Z</t>
        </is>
      </c>
      <c r="C61" s="7" t="inlineStr">
        <is>
          <t>vlm_free</t>
        </is>
      </c>
      <c r="D61" s="7" t="inlineStr">
        <is>
          <t>vlm_free_descriptive_causal</t>
        </is>
      </c>
      <c r="E61" s="7" t="n">
        <v>8</v>
      </c>
      <c r="F61" s="7" t="inlineStr">
        <is>
          <t>gemini-3.5-flash</t>
        </is>
      </c>
      <c r="G61" s="7" t="n">
        <v>738</v>
      </c>
      <c r="H61" s="7" t="n">
        <v>509</v>
      </c>
      <c r="I61" s="7" t="n">
        <v>2670</v>
      </c>
      <c r="J61" s="7" t="inlineStr">
        <is>
          <t>sdk_usage_metadata</t>
        </is>
      </c>
      <c r="K61" s="7" t="inlineStr">
        <is>
          <t>success</t>
        </is>
      </c>
      <c r="L61" s="7" t="inlineStr"/>
      <c r="M61" s="7" t="n">
        <v>23</v>
      </c>
    </row>
    <row r="62" ht="34" customHeight="1">
      <c r="A62" s="7" t="n">
        <v>61</v>
      </c>
      <c r="B62" s="7" t="inlineStr">
        <is>
          <t>2026-07-27T14:45:10Z</t>
        </is>
      </c>
      <c r="C62" s="7" t="inlineStr">
        <is>
          <t>vlm_free</t>
        </is>
      </c>
      <c r="D62" s="7" t="inlineStr">
        <is>
          <t>vlm_free_scoring</t>
        </is>
      </c>
      <c r="E62" s="7" t="n">
        <v>8</v>
      </c>
      <c r="F62" s="7" t="inlineStr">
        <is>
          <t>gemini-3.5-flash</t>
        </is>
      </c>
      <c r="G62" s="7" t="n">
        <v>805</v>
      </c>
      <c r="H62" s="7" t="n">
        <v>136</v>
      </c>
      <c r="I62" s="7" t="n">
        <v>1710</v>
      </c>
      <c r="J62" s="7" t="inlineStr">
        <is>
          <t>sdk_usage_metadata</t>
        </is>
      </c>
      <c r="K62" s="7" t="inlineStr">
        <is>
          <t>success</t>
        </is>
      </c>
      <c r="L62" s="7" t="inlineStr"/>
      <c r="M62" s="7" t="n">
        <v>24</v>
      </c>
    </row>
    <row r="63" ht="34" customHeight="1">
      <c r="A63" s="7" t="n">
        <v>62</v>
      </c>
      <c r="B63" s="7" t="inlineStr">
        <is>
          <t>2026-07-27T14:45:17Z</t>
        </is>
      </c>
      <c r="C63" s="7" t="inlineStr">
        <is>
          <t>common</t>
        </is>
      </c>
      <c r="D63" s="7" t="inlineStr">
        <is>
          <t>guided_descriptive_prompt</t>
        </is>
      </c>
      <c r="E63" s="7" t="n">
        <v>8</v>
      </c>
      <c r="F63" s="7" t="inlineStr">
        <is>
          <t>gemini-3.5-flash</t>
        </is>
      </c>
      <c r="G63" s="7" t="n">
        <v>578</v>
      </c>
      <c r="H63" s="7" t="n">
        <v>338</v>
      </c>
      <c r="I63" s="7" t="n">
        <v>2015</v>
      </c>
      <c r="J63" s="7" t="inlineStr">
        <is>
          <t>sdk_usage_metadata</t>
        </is>
      </c>
      <c r="K63" s="7" t="inlineStr">
        <is>
          <t>success</t>
        </is>
      </c>
      <c r="L63" s="7" t="inlineStr"/>
      <c r="M63" s="7" t="n">
        <v>27</v>
      </c>
    </row>
    <row r="64" ht="34" customHeight="1">
      <c r="A64" s="7" t="n">
        <v>63</v>
      </c>
      <c r="B64" s="7" t="inlineStr">
        <is>
          <t>2026-07-27T14:45:26Z</t>
        </is>
      </c>
      <c r="C64" s="7" t="inlineStr">
        <is>
          <t>common</t>
        </is>
      </c>
      <c r="D64" s="7" t="inlineStr">
        <is>
          <t>guided_question_set</t>
        </is>
      </c>
      <c r="E64" s="7" t="n">
        <v>8</v>
      </c>
      <c r="F64" s="7" t="inlineStr">
        <is>
          <t>gemini-3.5-flash</t>
        </is>
      </c>
      <c r="G64" s="7" t="n">
        <v>1818</v>
      </c>
      <c r="H64" s="7" t="n">
        <v>306</v>
      </c>
      <c r="I64" s="7" t="n">
        <v>3748</v>
      </c>
      <c r="J64" s="7" t="inlineStr">
        <is>
          <t>sdk_usage_metadata</t>
        </is>
      </c>
      <c r="K64" s="7" t="inlineStr">
        <is>
          <t>success</t>
        </is>
      </c>
      <c r="L64" s="7" t="inlineStr"/>
      <c r="M64" s="7" t="n">
        <v>28</v>
      </c>
    </row>
    <row r="65" ht="34" customHeight="1">
      <c r="A65" s="7" t="n">
        <v>64</v>
      </c>
      <c r="B65" s="7" t="inlineStr">
        <is>
          <t>2026-07-27T14:45:31Z</t>
        </is>
      </c>
      <c r="C65" s="7" t="inlineStr">
        <is>
          <t>common</t>
        </is>
      </c>
      <c r="D65" s="7" t="inlineStr">
        <is>
          <t>guided_causal_engine</t>
        </is>
      </c>
      <c r="E65" s="7" t="n">
        <v>8</v>
      </c>
      <c r="F65" s="7" t="inlineStr">
        <is>
          <t>gemini-3.5-flash</t>
        </is>
      </c>
      <c r="G65" s="7" t="n">
        <v>929</v>
      </c>
      <c r="H65" s="7" t="n">
        <v>191</v>
      </c>
      <c r="I65" s="7" t="n">
        <v>2089</v>
      </c>
      <c r="J65" s="7" t="inlineStr">
        <is>
          <t>sdk_usage_metadata</t>
        </is>
      </c>
      <c r="K65" s="7" t="inlineStr">
        <is>
          <t>success</t>
        </is>
      </c>
      <c r="L65" s="7" t="inlineStr"/>
      <c r="M65" s="7" t="n">
        <v>29</v>
      </c>
    </row>
    <row r="66" ht="34" customHeight="1">
      <c r="A66" s="7" t="n">
        <v>65</v>
      </c>
      <c r="B66" s="7" t="inlineStr">
        <is>
          <t>2026-07-27T14:45:36Z</t>
        </is>
      </c>
      <c r="C66" s="7" t="inlineStr">
        <is>
          <t>vlm_guided</t>
        </is>
      </c>
      <c r="D66" s="7" t="inlineStr">
        <is>
          <t>vlm_guided_scoring</t>
        </is>
      </c>
      <c r="E66" s="7" t="n">
        <v>8</v>
      </c>
      <c r="F66" s="7" t="inlineStr">
        <is>
          <t>gemini-3.5-flash</t>
        </is>
      </c>
      <c r="G66" s="7" t="n">
        <v>1107</v>
      </c>
      <c r="H66" s="7" t="n">
        <v>95</v>
      </c>
      <c r="I66" s="7" t="n">
        <v>2000</v>
      </c>
      <c r="J66" s="7" t="inlineStr">
        <is>
          <t>sdk_usage_metadata</t>
        </is>
      </c>
      <c r="K66" s="7" t="inlineStr">
        <is>
          <t>success</t>
        </is>
      </c>
      <c r="L66" s="7" t="inlineStr"/>
      <c r="M66" s="7" t="n">
        <v>12</v>
      </c>
    </row>
    <row r="67" ht="34" customHeight="1">
      <c r="A67" s="7" t="n">
        <v>66</v>
      </c>
      <c r="B67" s="7" t="inlineStr">
        <is>
          <t>2026-07-27T14:45:57Z</t>
        </is>
      </c>
      <c r="C67" s="7" t="inlineStr">
        <is>
          <t>vlm_free</t>
        </is>
      </c>
      <c r="D67" s="7" t="inlineStr">
        <is>
          <t>vlm_free_descriptive_causal</t>
        </is>
      </c>
      <c r="E67" s="7" t="n">
        <v>9</v>
      </c>
      <c r="F67" s="7" t="inlineStr">
        <is>
          <t>gemini-3.5-flash</t>
        </is>
      </c>
      <c r="G67" s="7" t="n">
        <v>738</v>
      </c>
      <c r="H67" s="7" t="n">
        <v>678</v>
      </c>
      <c r="I67" s="7" t="n">
        <v>3009</v>
      </c>
      <c r="J67" s="7" t="inlineStr">
        <is>
          <t>sdk_usage_metadata</t>
        </is>
      </c>
      <c r="K67" s="7" t="inlineStr">
        <is>
          <t>success</t>
        </is>
      </c>
      <c r="L67" s="7" t="inlineStr"/>
      <c r="M67" s="7" t="n">
        <v>25</v>
      </c>
    </row>
    <row r="68" ht="34" customHeight="1">
      <c r="A68" s="7" t="n">
        <v>67</v>
      </c>
      <c r="B68" s="7" t="inlineStr">
        <is>
          <t>2026-07-27T14:46:02Z</t>
        </is>
      </c>
      <c r="C68" s="7" t="inlineStr">
        <is>
          <t>vlm_free</t>
        </is>
      </c>
      <c r="D68" s="7" t="inlineStr">
        <is>
          <t>vlm_free_scoring</t>
        </is>
      </c>
      <c r="E68" s="7" t="n">
        <v>9</v>
      </c>
      <c r="F68" s="7" t="inlineStr">
        <is>
          <t>gemini-3.5-flash</t>
        </is>
      </c>
      <c r="G68" s="7" t="n">
        <v>974</v>
      </c>
      <c r="H68" s="7" t="n">
        <v>142</v>
      </c>
      <c r="I68" s="7" t="n">
        <v>1977</v>
      </c>
      <c r="J68" s="7" t="inlineStr">
        <is>
          <t>sdk_usage_metadata</t>
        </is>
      </c>
      <c r="K68" s="7" t="inlineStr">
        <is>
          <t>success</t>
        </is>
      </c>
      <c r="L68" s="7" t="inlineStr"/>
      <c r="M68" s="7" t="n">
        <v>26</v>
      </c>
    </row>
    <row r="69" ht="34" customHeight="1">
      <c r="A69" s="7" t="n">
        <v>68</v>
      </c>
      <c r="B69" s="7" t="inlineStr">
        <is>
          <t>2026-07-27T14:46:08Z</t>
        </is>
      </c>
      <c r="C69" s="7" t="inlineStr">
        <is>
          <t>vlm_free</t>
        </is>
      </c>
      <c r="D69" s="7" t="inlineStr">
        <is>
          <t>vlm_free_scoring</t>
        </is>
      </c>
      <c r="E69" s="7" t="n">
        <v>9</v>
      </c>
      <c r="F69" s="7" t="inlineStr">
        <is>
          <t>gemini-3.5-flash</t>
        </is>
      </c>
      <c r="G69" s="7" t="n">
        <v>974</v>
      </c>
      <c r="H69" s="7" t="n">
        <v>142</v>
      </c>
      <c r="I69" s="7" t="n">
        <v>1919</v>
      </c>
      <c r="J69" s="7" t="inlineStr">
        <is>
          <t>sdk_usage_metadata</t>
        </is>
      </c>
      <c r="K69" s="7" t="inlineStr">
        <is>
          <t>success</t>
        </is>
      </c>
      <c r="L69" s="7" t="inlineStr"/>
      <c r="M69" s="7" t="n">
        <v>27</v>
      </c>
    </row>
    <row r="70" ht="34" customHeight="1">
      <c r="A70" s="7" t="n">
        <v>69</v>
      </c>
      <c r="B70" s="7" t="inlineStr">
        <is>
          <t>2026-07-27T14:46:15Z</t>
        </is>
      </c>
      <c r="C70" s="7" t="inlineStr">
        <is>
          <t>common</t>
        </is>
      </c>
      <c r="D70" s="7" t="inlineStr">
        <is>
          <t>guided_descriptive_prompt</t>
        </is>
      </c>
      <c r="E70" s="7" t="n">
        <v>9</v>
      </c>
      <c r="F70" s="7" t="inlineStr">
        <is>
          <t>gemini-3.5-flash</t>
        </is>
      </c>
      <c r="G70" s="7" t="n">
        <v>578</v>
      </c>
      <c r="H70" s="7" t="n">
        <v>332</v>
      </c>
      <c r="I70" s="7" t="n">
        <v>1902</v>
      </c>
      <c r="J70" s="7" t="inlineStr">
        <is>
          <t>sdk_usage_metadata</t>
        </is>
      </c>
      <c r="K70" s="7" t="inlineStr">
        <is>
          <t>success</t>
        </is>
      </c>
      <c r="L70" s="7" t="inlineStr"/>
      <c r="M70" s="7" t="n">
        <v>30</v>
      </c>
    </row>
    <row r="71" ht="34" customHeight="1">
      <c r="A71" s="7" t="n">
        <v>70</v>
      </c>
      <c r="B71" s="7" t="inlineStr">
        <is>
          <t>2026-07-27T14:46:22Z</t>
        </is>
      </c>
      <c r="C71" s="7" t="inlineStr">
        <is>
          <t>common</t>
        </is>
      </c>
      <c r="D71" s="7" t="inlineStr">
        <is>
          <t>guided_question_set</t>
        </is>
      </c>
      <c r="E71" s="7" t="n">
        <v>9</v>
      </c>
      <c r="F71" s="7" t="inlineStr">
        <is>
          <t>gemini-3.5-flash</t>
        </is>
      </c>
      <c r="G71" s="7" t="n">
        <v>1812</v>
      </c>
      <c r="H71" s="7" t="n">
        <v>379</v>
      </c>
      <c r="I71" s="7" t="n">
        <v>3323</v>
      </c>
      <c r="J71" s="7" t="inlineStr">
        <is>
          <t>sdk_usage_metadata</t>
        </is>
      </c>
      <c r="K71" s="7" t="inlineStr">
        <is>
          <t>success</t>
        </is>
      </c>
      <c r="L71" s="7" t="inlineStr"/>
      <c r="M71" s="7" t="n">
        <v>31</v>
      </c>
    </row>
    <row r="72" ht="34" customHeight="1">
      <c r="A72" s="7" t="n">
        <v>71</v>
      </c>
      <c r="B72" s="7" t="inlineStr">
        <is>
          <t>2026-07-27T14:46:27Z</t>
        </is>
      </c>
      <c r="C72" s="7" t="inlineStr">
        <is>
          <t>common</t>
        </is>
      </c>
      <c r="D72" s="7" t="inlineStr">
        <is>
          <t>guided_causal_engine</t>
        </is>
      </c>
      <c r="E72" s="7" t="n">
        <v>9</v>
      </c>
      <c r="F72" s="7" t="inlineStr">
        <is>
          <t>gemini-3.5-flash</t>
        </is>
      </c>
      <c r="G72" s="7" t="n">
        <v>996</v>
      </c>
      <c r="H72" s="7" t="n">
        <v>211</v>
      </c>
      <c r="I72" s="7" t="n">
        <v>2065</v>
      </c>
      <c r="J72" s="7" t="inlineStr">
        <is>
          <t>sdk_usage_metadata</t>
        </is>
      </c>
      <c r="K72" s="7" t="inlineStr">
        <is>
          <t>success</t>
        </is>
      </c>
      <c r="L72" s="7" t="inlineStr"/>
      <c r="M72" s="7" t="n">
        <v>32</v>
      </c>
    </row>
    <row r="73" ht="34" customHeight="1">
      <c r="A73" s="7" t="n">
        <v>72</v>
      </c>
      <c r="B73" s="7" t="inlineStr">
        <is>
          <t>2026-07-27T14:46:32Z</t>
        </is>
      </c>
      <c r="C73" s="7" t="inlineStr">
        <is>
          <t>vlm_guided</t>
        </is>
      </c>
      <c r="D73" s="7" t="inlineStr">
        <is>
          <t>vlm_guided_scoring</t>
        </is>
      </c>
      <c r="E73" s="7" t="n">
        <v>9</v>
      </c>
      <c r="F73" s="7" t="inlineStr">
        <is>
          <t>gemini-3.5-flash</t>
        </is>
      </c>
      <c r="G73" s="7" t="n">
        <v>1193</v>
      </c>
      <c r="H73" s="7" t="n">
        <v>97</v>
      </c>
      <c r="I73" s="7" t="n">
        <v>2180</v>
      </c>
      <c r="J73" s="7" t="inlineStr">
        <is>
          <t>sdk_usage_metadata</t>
        </is>
      </c>
      <c r="K73" s="7" t="inlineStr">
        <is>
          <t>success</t>
        </is>
      </c>
      <c r="L73" s="7" t="inlineStr"/>
      <c r="M73" s="7" t="n">
        <v>13</v>
      </c>
    </row>
    <row r="74" ht="34" customHeight="1">
      <c r="A74" s="7" t="n">
        <v>73</v>
      </c>
      <c r="B74" s="7" t="inlineStr">
        <is>
          <t>2026-07-27T14:46:52Z</t>
        </is>
      </c>
      <c r="C74" s="7" t="inlineStr">
        <is>
          <t>vlm_free</t>
        </is>
      </c>
      <c r="D74" s="7" t="inlineStr">
        <is>
          <t>vlm_free_descriptive_causal</t>
        </is>
      </c>
      <c r="E74" s="7" t="n">
        <v>10</v>
      </c>
      <c r="F74" s="7" t="inlineStr">
        <is>
          <t>gemini-3.5-flash</t>
        </is>
      </c>
      <c r="G74" s="7" t="n">
        <v>738</v>
      </c>
      <c r="H74" s="7" t="n">
        <v>535</v>
      </c>
      <c r="I74" s="7" t="n">
        <v>2781</v>
      </c>
      <c r="J74" s="7" t="inlineStr">
        <is>
          <t>sdk_usage_metadata</t>
        </is>
      </c>
      <c r="K74" s="7" t="inlineStr">
        <is>
          <t>success</t>
        </is>
      </c>
      <c r="L74" s="7" t="inlineStr"/>
      <c r="M74" s="7" t="n">
        <v>28</v>
      </c>
    </row>
    <row r="75" ht="34" customHeight="1">
      <c r="A75" s="7" t="n">
        <v>74</v>
      </c>
      <c r="B75" s="7" t="inlineStr">
        <is>
          <t>2026-07-27T14:46:57Z</t>
        </is>
      </c>
      <c r="C75" s="7" t="inlineStr">
        <is>
          <t>vlm_free</t>
        </is>
      </c>
      <c r="D75" s="7" t="inlineStr">
        <is>
          <t>vlm_free_scoring</t>
        </is>
      </c>
      <c r="E75" s="7" t="n">
        <v>10</v>
      </c>
      <c r="F75" s="7" t="inlineStr">
        <is>
          <t>gemini-3.5-flash</t>
        </is>
      </c>
      <c r="G75" s="7" t="n">
        <v>830</v>
      </c>
      <c r="H75" s="7" t="n">
        <v>135</v>
      </c>
      <c r="I75" s="7" t="n">
        <v>1726</v>
      </c>
      <c r="J75" s="7" t="inlineStr">
        <is>
          <t>sdk_usage_metadata</t>
        </is>
      </c>
      <c r="K75" s="7" t="inlineStr">
        <is>
          <t>success</t>
        </is>
      </c>
      <c r="L75" s="7" t="inlineStr"/>
      <c r="M75" s="7" t="n">
        <v>29</v>
      </c>
    </row>
    <row r="76" ht="34" customHeight="1">
      <c r="A76" s="7" t="n">
        <v>75</v>
      </c>
      <c r="B76" s="7" t="inlineStr">
        <is>
          <t>2026-07-27T14:47:03Z</t>
        </is>
      </c>
      <c r="C76" s="7" t="inlineStr">
        <is>
          <t>common</t>
        </is>
      </c>
      <c r="D76" s="7" t="inlineStr">
        <is>
          <t>guided_descriptive_prompt</t>
        </is>
      </c>
      <c r="E76" s="7" t="n">
        <v>10</v>
      </c>
      <c r="F76" s="7" t="inlineStr">
        <is>
          <t>gemini-3.5-flash</t>
        </is>
      </c>
      <c r="G76" s="7" t="n">
        <v>578</v>
      </c>
      <c r="H76" s="7" t="n">
        <v>290</v>
      </c>
      <c r="I76" s="7" t="n">
        <v>1743</v>
      </c>
      <c r="J76" s="7" t="inlineStr">
        <is>
          <t>sdk_usage_metadata</t>
        </is>
      </c>
      <c r="K76" s="7" t="inlineStr">
        <is>
          <t>success</t>
        </is>
      </c>
      <c r="L76" s="7" t="inlineStr"/>
      <c r="M76" s="7" t="n">
        <v>33</v>
      </c>
    </row>
    <row r="77" ht="34" customHeight="1">
      <c r="A77" s="7" t="n">
        <v>76</v>
      </c>
      <c r="B77" s="7" t="inlineStr">
        <is>
          <t>2026-07-27T14:47:09Z</t>
        </is>
      </c>
      <c r="C77" s="7" t="inlineStr">
        <is>
          <t>common</t>
        </is>
      </c>
      <c r="D77" s="7" t="inlineStr">
        <is>
          <t>guided_question_set</t>
        </is>
      </c>
      <c r="E77" s="7" t="n">
        <v>10</v>
      </c>
      <c r="F77" s="7" t="inlineStr">
        <is>
          <t>gemini-3.5-flash</t>
        </is>
      </c>
      <c r="G77" s="7" t="n">
        <v>1770</v>
      </c>
      <c r="H77" s="7" t="n">
        <v>299</v>
      </c>
      <c r="I77" s="7" t="n">
        <v>3176</v>
      </c>
      <c r="J77" s="7" t="inlineStr">
        <is>
          <t>sdk_usage_metadata</t>
        </is>
      </c>
      <c r="K77" s="7" t="inlineStr">
        <is>
          <t>success</t>
        </is>
      </c>
      <c r="L77" s="7" t="inlineStr"/>
      <c r="M77" s="7" t="n">
        <v>34</v>
      </c>
    </row>
    <row r="78" ht="34" customHeight="1">
      <c r="A78" s="7" t="n">
        <v>77</v>
      </c>
      <c r="B78" s="7" t="inlineStr">
        <is>
          <t>2026-07-27T14:47:14Z</t>
        </is>
      </c>
      <c r="C78" s="7" t="inlineStr">
        <is>
          <t>common</t>
        </is>
      </c>
      <c r="D78" s="7" t="inlineStr">
        <is>
          <t>guided_causal_engine</t>
        </is>
      </c>
      <c r="E78" s="7" t="n">
        <v>10</v>
      </c>
      <c r="F78" s="7" t="inlineStr">
        <is>
          <t>gemini-3.5-flash</t>
        </is>
      </c>
      <c r="G78" s="7" t="n">
        <v>874</v>
      </c>
      <c r="H78" s="7" t="n">
        <v>200</v>
      </c>
      <c r="I78" s="7" t="n">
        <v>1938</v>
      </c>
      <c r="J78" s="7" t="inlineStr">
        <is>
          <t>sdk_usage_metadata</t>
        </is>
      </c>
      <c r="K78" s="7" t="inlineStr">
        <is>
          <t>success</t>
        </is>
      </c>
      <c r="L78" s="7" t="inlineStr"/>
      <c r="M78" s="7" t="n">
        <v>35</v>
      </c>
    </row>
    <row r="79" ht="34" customHeight="1">
      <c r="A79" s="7" t="n">
        <v>78</v>
      </c>
      <c r="B79" s="7" t="inlineStr">
        <is>
          <t>2026-07-27T14:47:19Z</t>
        </is>
      </c>
      <c r="C79" s="7" t="inlineStr">
        <is>
          <t>vlm_guided</t>
        </is>
      </c>
      <c r="D79" s="7" t="inlineStr">
        <is>
          <t>vlm_guided_scoring</t>
        </is>
      </c>
      <c r="E79" s="7" t="n">
        <v>10</v>
      </c>
      <c r="F79" s="7" t="inlineStr">
        <is>
          <t>gemini-3.5-flash</t>
        </is>
      </c>
      <c r="G79" s="7" t="n">
        <v>1061</v>
      </c>
      <c r="H79" s="7" t="n">
        <v>90</v>
      </c>
      <c r="I79" s="7" t="n">
        <v>2068</v>
      </c>
      <c r="J79" s="7" t="inlineStr">
        <is>
          <t>sdk_usage_metadata</t>
        </is>
      </c>
      <c r="K79" s="7" t="inlineStr">
        <is>
          <t>success</t>
        </is>
      </c>
      <c r="L79" s="7" t="inlineStr"/>
      <c r="M79" s="7" t="n">
        <v>14</v>
      </c>
    </row>
    <row r="80" ht="34" customHeight="1">
      <c r="A80" s="7" t="n">
        <v>79</v>
      </c>
      <c r="B80" s="7" t="inlineStr">
        <is>
          <t>2026-07-27T14:47:25Z</t>
        </is>
      </c>
      <c r="C80" s="7" t="inlineStr">
        <is>
          <t>vlm_guided</t>
        </is>
      </c>
      <c r="D80" s="7" t="inlineStr">
        <is>
          <t>vlm_guided_scoring</t>
        </is>
      </c>
      <c r="E80" s="7" t="n">
        <v>10</v>
      </c>
      <c r="F80" s="7" t="inlineStr">
        <is>
          <t>gemini-3.5-flash</t>
        </is>
      </c>
      <c r="G80" s="7" t="n">
        <v>1061</v>
      </c>
      <c r="H80" s="7" t="n">
        <v>90</v>
      </c>
      <c r="I80" s="7" t="n">
        <v>2026</v>
      </c>
      <c r="J80" s="7" t="inlineStr">
        <is>
          <t>sdk_usage_metadata</t>
        </is>
      </c>
      <c r="K80" s="7" t="inlineStr">
        <is>
          <t>success</t>
        </is>
      </c>
      <c r="L80" s="7" t="inlineStr"/>
      <c r="M80" s="7" t="n">
        <v>15</v>
      </c>
    </row>
    <row r="81" ht="34" customHeight="1">
      <c r="A81" s="7" t="n">
        <v>80</v>
      </c>
      <c r="B81" s="7" t="inlineStr">
        <is>
          <t>2026-07-27T14:47:30Z</t>
        </is>
      </c>
      <c r="C81" s="7" t="inlineStr">
        <is>
          <t>vlm_guided</t>
        </is>
      </c>
      <c r="D81" s="7" t="inlineStr">
        <is>
          <t>vlm_guided_scoring</t>
        </is>
      </c>
      <c r="E81" s="7" t="n">
        <v>10</v>
      </c>
      <c r="F81" s="7" t="inlineStr">
        <is>
          <t>gemini-3.5-flash</t>
        </is>
      </c>
      <c r="G81" s="7" t="n">
        <v>1061</v>
      </c>
      <c r="H81" s="7" t="n">
        <v>98</v>
      </c>
      <c r="I81" s="7" t="n">
        <v>1923</v>
      </c>
      <c r="J81" s="7" t="inlineStr">
        <is>
          <t>sdk_usage_metadata</t>
        </is>
      </c>
      <c r="K81" s="7" t="inlineStr">
        <is>
          <t>success</t>
        </is>
      </c>
      <c r="L81" s="7" t="inlineStr"/>
      <c r="M81" s="7" t="n">
        <v>16</v>
      </c>
    </row>
    <row r="82" ht="34" customHeight="1">
      <c r="A82" s="7" t="n">
        <v>81</v>
      </c>
      <c r="B82" s="7" t="inlineStr">
        <is>
          <t>2026-07-27T14:47:47Z</t>
        </is>
      </c>
      <c r="C82" s="7" t="inlineStr">
        <is>
          <t>vlm_free</t>
        </is>
      </c>
      <c r="D82" s="7" t="inlineStr">
        <is>
          <t>vlm_free_descriptive_causal</t>
        </is>
      </c>
      <c r="E82" s="7" t="n">
        <v>11</v>
      </c>
      <c r="F82" s="7" t="inlineStr">
        <is>
          <t>gemini-3.5-flash</t>
        </is>
      </c>
      <c r="G82" s="7" t="n">
        <v>738</v>
      </c>
      <c r="H82" s="7" t="n">
        <v>463</v>
      </c>
      <c r="I82" s="7" t="n">
        <v>2391</v>
      </c>
      <c r="J82" s="7" t="inlineStr">
        <is>
          <t>sdk_usage_metadata</t>
        </is>
      </c>
      <c r="K82" s="7" t="inlineStr">
        <is>
          <t>success</t>
        </is>
      </c>
      <c r="L82" s="7" t="inlineStr"/>
      <c r="M82" s="7" t="n">
        <v>30</v>
      </c>
    </row>
    <row r="83" ht="34" customHeight="1">
      <c r="A83" s="7" t="n">
        <v>82</v>
      </c>
      <c r="B83" s="7" t="inlineStr">
        <is>
          <t>2026-07-27T14:47:51Z</t>
        </is>
      </c>
      <c r="C83" s="7" t="inlineStr">
        <is>
          <t>vlm_free</t>
        </is>
      </c>
      <c r="D83" s="7" t="inlineStr">
        <is>
          <t>vlm_free_scoring</t>
        </is>
      </c>
      <c r="E83" s="7" t="n">
        <v>11</v>
      </c>
      <c r="F83" s="7" t="inlineStr">
        <is>
          <t>gemini-3.5-flash</t>
        </is>
      </c>
      <c r="G83" s="7" t="n">
        <v>759</v>
      </c>
      <c r="H83" s="7" t="n">
        <v>113</v>
      </c>
      <c r="I83" s="7" t="n">
        <v>1575</v>
      </c>
      <c r="J83" s="7" t="inlineStr">
        <is>
          <t>sdk_usage_metadata</t>
        </is>
      </c>
      <c r="K83" s="7" t="inlineStr">
        <is>
          <t>success</t>
        </is>
      </c>
      <c r="L83" s="7" t="inlineStr"/>
      <c r="M83" s="7" t="n">
        <v>31</v>
      </c>
    </row>
    <row r="84" ht="34" customHeight="1">
      <c r="A84" s="7" t="n">
        <v>83</v>
      </c>
      <c r="B84" s="7" t="inlineStr">
        <is>
          <t>2026-07-27T14:47:58Z</t>
        </is>
      </c>
      <c r="C84" s="7" t="inlineStr">
        <is>
          <t>common</t>
        </is>
      </c>
      <c r="D84" s="7" t="inlineStr">
        <is>
          <t>guided_descriptive_prompt</t>
        </is>
      </c>
      <c r="E84" s="7" t="n">
        <v>11</v>
      </c>
      <c r="F84" s="7" t="inlineStr">
        <is>
          <t>gemini-3.5-flash</t>
        </is>
      </c>
      <c r="G84" s="7" t="n">
        <v>578</v>
      </c>
      <c r="H84" s="7" t="n">
        <v>309</v>
      </c>
      <c r="I84" s="7" t="n">
        <v>2066</v>
      </c>
      <c r="J84" s="7" t="inlineStr">
        <is>
          <t>sdk_usage_metadata</t>
        </is>
      </c>
      <c r="K84" s="7" t="inlineStr">
        <is>
          <t>success</t>
        </is>
      </c>
      <c r="L84" s="7" t="inlineStr"/>
      <c r="M84" s="7" t="n">
        <v>36</v>
      </c>
    </row>
    <row r="85" ht="34" customHeight="1">
      <c r="A85" s="7" t="n">
        <v>84</v>
      </c>
      <c r="B85" s="7" t="inlineStr">
        <is>
          <t>2026-07-27T14:48:06Z</t>
        </is>
      </c>
      <c r="C85" s="7" t="inlineStr">
        <is>
          <t>common</t>
        </is>
      </c>
      <c r="D85" s="7" t="inlineStr">
        <is>
          <t>guided_question_set</t>
        </is>
      </c>
      <c r="E85" s="7" t="n">
        <v>11</v>
      </c>
      <c r="F85" s="7" t="inlineStr">
        <is>
          <t>gemini-3.5-flash</t>
        </is>
      </c>
      <c r="G85" s="7" t="n">
        <v>1789</v>
      </c>
      <c r="H85" s="7" t="n">
        <v>303</v>
      </c>
      <c r="I85" s="7" t="n">
        <v>3658</v>
      </c>
      <c r="J85" s="7" t="inlineStr">
        <is>
          <t>sdk_usage_metadata</t>
        </is>
      </c>
      <c r="K85" s="7" t="inlineStr">
        <is>
          <t>success</t>
        </is>
      </c>
      <c r="L85" s="7" t="inlineStr"/>
      <c r="M85" s="7" t="n">
        <v>37</v>
      </c>
    </row>
    <row r="86" ht="34" customHeight="1">
      <c r="A86" s="7" t="n">
        <v>85</v>
      </c>
      <c r="B86" s="7" t="inlineStr">
        <is>
          <t>2026-07-27T14:48:12Z</t>
        </is>
      </c>
      <c r="C86" s="7" t="inlineStr">
        <is>
          <t>common</t>
        </is>
      </c>
      <c r="D86" s="7" t="inlineStr">
        <is>
          <t>guided_causal_engine</t>
        </is>
      </c>
      <c r="E86" s="7" t="n">
        <v>11</v>
      </c>
      <c r="F86" s="7" t="inlineStr">
        <is>
          <t>gemini-3.5-flash</t>
        </is>
      </c>
      <c r="G86" s="7" t="n">
        <v>897</v>
      </c>
      <c r="H86" s="7" t="n">
        <v>227</v>
      </c>
      <c r="I86" s="7" t="n">
        <v>2139</v>
      </c>
      <c r="J86" s="7" t="inlineStr">
        <is>
          <t>sdk_usage_metadata</t>
        </is>
      </c>
      <c r="K86" s="7" t="inlineStr">
        <is>
          <t>success</t>
        </is>
      </c>
      <c r="L86" s="7" t="inlineStr"/>
      <c r="M86" s="7" t="n">
        <v>38</v>
      </c>
    </row>
    <row r="87" ht="34" customHeight="1">
      <c r="A87" s="7" t="n">
        <v>86</v>
      </c>
      <c r="B87" s="7" t="inlineStr">
        <is>
          <t>2026-07-27T14:48:16Z</t>
        </is>
      </c>
      <c r="C87" s="7" t="inlineStr">
        <is>
          <t>vlm_guided</t>
        </is>
      </c>
      <c r="D87" s="7" t="inlineStr">
        <is>
          <t>vlm_guided_scoring</t>
        </is>
      </c>
      <c r="E87" s="7" t="n">
        <v>11</v>
      </c>
      <c r="F87" s="7" t="inlineStr">
        <is>
          <t>gemini-3.5-flash</t>
        </is>
      </c>
      <c r="G87" s="7" t="n">
        <v>1111</v>
      </c>
      <c r="H87" s="7" t="n">
        <v>98</v>
      </c>
      <c r="I87" s="7" t="n">
        <v>1946</v>
      </c>
      <c r="J87" s="7" t="inlineStr">
        <is>
          <t>sdk_usage_metadata</t>
        </is>
      </c>
      <c r="K87" s="7" t="inlineStr">
        <is>
          <t>success</t>
        </is>
      </c>
      <c r="L87" s="7" t="inlineStr"/>
      <c r="M87" s="7" t="n">
        <v>17</v>
      </c>
    </row>
    <row r="88" ht="34" customHeight="1">
      <c r="A88" s="7" t="n">
        <v>87</v>
      </c>
      <c r="B88" s="7" t="inlineStr">
        <is>
          <t>2026-07-27T14:48:39Z</t>
        </is>
      </c>
      <c r="C88" s="7" t="inlineStr">
        <is>
          <t>vlm_free</t>
        </is>
      </c>
      <c r="D88" s="7" t="inlineStr">
        <is>
          <t>vlm_free_descriptive_causal</t>
        </is>
      </c>
      <c r="E88" s="7" t="n">
        <v>12</v>
      </c>
      <c r="F88" s="7" t="inlineStr">
        <is>
          <t>gemini-3.5-flash</t>
        </is>
      </c>
      <c r="G88" s="7" t="n">
        <v>738</v>
      </c>
      <c r="H88" s="7" t="n">
        <v>661</v>
      </c>
      <c r="I88" s="7" t="n">
        <v>2985</v>
      </c>
      <c r="J88" s="7" t="inlineStr">
        <is>
          <t>sdk_usage_metadata</t>
        </is>
      </c>
      <c r="K88" s="7" t="inlineStr">
        <is>
          <t>success</t>
        </is>
      </c>
      <c r="L88" s="7" t="inlineStr"/>
      <c r="M88" s="7" t="n">
        <v>32</v>
      </c>
    </row>
    <row r="89" ht="34" customHeight="1">
      <c r="A89" s="7" t="n">
        <v>88</v>
      </c>
      <c r="B89" s="7" t="inlineStr">
        <is>
          <t>2026-07-27T14:48:49Z</t>
        </is>
      </c>
      <c r="C89" s="7" t="inlineStr">
        <is>
          <t>vlm_free</t>
        </is>
      </c>
      <c r="D89" s="7" t="inlineStr">
        <is>
          <t>vlm_free_descriptive_causal</t>
        </is>
      </c>
      <c r="E89" s="7" t="n">
        <v>12</v>
      </c>
      <c r="F89" s="7" t="inlineStr">
        <is>
          <t>gemini-3.5-flash</t>
        </is>
      </c>
      <c r="G89" s="7" t="n">
        <v>738</v>
      </c>
      <c r="H89" s="7" t="n">
        <v>475</v>
      </c>
      <c r="I89" s="7" t="n">
        <v>2519</v>
      </c>
      <c r="J89" s="7" t="inlineStr">
        <is>
          <t>sdk_usage_metadata</t>
        </is>
      </c>
      <c r="K89" s="7" t="inlineStr">
        <is>
          <t>success</t>
        </is>
      </c>
      <c r="L89" s="7" t="inlineStr"/>
      <c r="M89" s="7" t="n">
        <v>33</v>
      </c>
    </row>
    <row r="90" ht="34" customHeight="1">
      <c r="A90" s="7" t="n">
        <v>89</v>
      </c>
      <c r="B90" s="7" t="inlineStr">
        <is>
          <t>2026-07-27T14:48:53Z</t>
        </is>
      </c>
      <c r="C90" s="7" t="inlineStr">
        <is>
          <t>vlm_free</t>
        </is>
      </c>
      <c r="D90" s="7" t="inlineStr">
        <is>
          <t>vlm_free_scoring</t>
        </is>
      </c>
      <c r="E90" s="7" t="n">
        <v>12</v>
      </c>
      <c r="F90" s="7" t="inlineStr">
        <is>
          <t>gemini-3.5-flash</t>
        </is>
      </c>
      <c r="G90" s="7" t="n">
        <v>770</v>
      </c>
      <c r="H90" s="7" t="n">
        <v>115</v>
      </c>
      <c r="I90" s="7" t="n">
        <v>1481</v>
      </c>
      <c r="J90" s="7" t="inlineStr">
        <is>
          <t>sdk_usage_metadata</t>
        </is>
      </c>
      <c r="K90" s="7" t="inlineStr">
        <is>
          <t>success</t>
        </is>
      </c>
      <c r="L90" s="7" t="inlineStr"/>
      <c r="M90" s="7" t="n">
        <v>34</v>
      </c>
    </row>
    <row r="91" ht="34" customHeight="1">
      <c r="A91" s="7" t="n">
        <v>90</v>
      </c>
      <c r="B91" s="7" t="inlineStr">
        <is>
          <t>2026-07-27T14:48:57Z</t>
        </is>
      </c>
      <c r="C91" s="7" t="inlineStr">
        <is>
          <t>vlm_free</t>
        </is>
      </c>
      <c r="D91" s="7" t="inlineStr">
        <is>
          <t>vlm_free_scoring</t>
        </is>
      </c>
      <c r="E91" s="7" t="n">
        <v>12</v>
      </c>
      <c r="F91" s="7" t="inlineStr">
        <is>
          <t>gemini-3.5-flash</t>
        </is>
      </c>
      <c r="G91" s="7" t="n">
        <v>770</v>
      </c>
      <c r="H91" s="7" t="n">
        <v>123</v>
      </c>
      <c r="I91" s="7" t="n">
        <v>1371</v>
      </c>
      <c r="J91" s="7" t="inlineStr">
        <is>
          <t>sdk_usage_metadata</t>
        </is>
      </c>
      <c r="K91" s="7" t="inlineStr">
        <is>
          <t>success</t>
        </is>
      </c>
      <c r="L91" s="7" t="inlineStr"/>
      <c r="M91" s="7" t="n">
        <v>35</v>
      </c>
    </row>
    <row r="92" ht="34" customHeight="1">
      <c r="A92" s="7" t="n">
        <v>91</v>
      </c>
      <c r="B92" s="7" t="inlineStr">
        <is>
          <t>2026-07-27T14:49:03Z</t>
        </is>
      </c>
      <c r="C92" s="7" t="inlineStr">
        <is>
          <t>common</t>
        </is>
      </c>
      <c r="D92" s="7" t="inlineStr">
        <is>
          <t>guided_descriptive_prompt</t>
        </is>
      </c>
      <c r="E92" s="7" t="n">
        <v>12</v>
      </c>
      <c r="F92" s="7" t="inlineStr">
        <is>
          <t>gemini-3.5-flash</t>
        </is>
      </c>
      <c r="G92" s="7" t="n">
        <v>578</v>
      </c>
      <c r="H92" s="7" t="n">
        <v>318</v>
      </c>
      <c r="I92" s="7" t="n">
        <v>1836</v>
      </c>
      <c r="J92" s="7" t="inlineStr">
        <is>
          <t>sdk_usage_metadata</t>
        </is>
      </c>
      <c r="K92" s="7" t="inlineStr">
        <is>
          <t>success</t>
        </is>
      </c>
      <c r="L92" s="7" t="inlineStr"/>
      <c r="M92" s="7" t="n">
        <v>39</v>
      </c>
    </row>
    <row r="93" ht="34" customHeight="1">
      <c r="A93" s="7" t="n">
        <v>92</v>
      </c>
      <c r="B93" s="7" t="inlineStr">
        <is>
          <t>2026-07-27T14:49:11Z</t>
        </is>
      </c>
      <c r="C93" s="7" t="inlineStr">
        <is>
          <t>common</t>
        </is>
      </c>
      <c r="D93" s="7" t="inlineStr">
        <is>
          <t>guided_question_set</t>
        </is>
      </c>
      <c r="E93" s="7" t="n">
        <v>12</v>
      </c>
      <c r="F93" s="7" t="inlineStr">
        <is>
          <t>gemini-3.5-flash</t>
        </is>
      </c>
      <c r="G93" s="7" t="n">
        <v>1798</v>
      </c>
      <c r="H93" s="7" t="n">
        <v>411</v>
      </c>
      <c r="I93" s="7" t="n">
        <v>3427</v>
      </c>
      <c r="J93" s="7" t="inlineStr">
        <is>
          <t>sdk_usage_metadata</t>
        </is>
      </c>
      <c r="K93" s="7" t="inlineStr">
        <is>
          <t>success</t>
        </is>
      </c>
      <c r="L93" s="7" t="inlineStr"/>
      <c r="M93" s="7" t="n">
        <v>40</v>
      </c>
    </row>
    <row r="94" ht="34" customHeight="1">
      <c r="A94" s="7" t="n">
        <v>93</v>
      </c>
      <c r="B94" s="7" t="inlineStr">
        <is>
          <t>2026-07-27T14:49:16Z</t>
        </is>
      </c>
      <c r="C94" s="7" t="inlineStr">
        <is>
          <t>common</t>
        </is>
      </c>
      <c r="D94" s="7" t="inlineStr">
        <is>
          <t>guided_causal_engine</t>
        </is>
      </c>
      <c r="E94" s="7" t="n">
        <v>12</v>
      </c>
      <c r="F94" s="7" t="inlineStr">
        <is>
          <t>gemini-3.5-flash</t>
        </is>
      </c>
      <c r="G94" s="7" t="n">
        <v>1013</v>
      </c>
      <c r="H94" s="7" t="n">
        <v>248</v>
      </c>
      <c r="I94" s="7" t="n">
        <v>2189</v>
      </c>
      <c r="J94" s="7" t="inlineStr">
        <is>
          <t>sdk_usage_metadata</t>
        </is>
      </c>
      <c r="K94" s="7" t="inlineStr">
        <is>
          <t>success</t>
        </is>
      </c>
      <c r="L94" s="7" t="inlineStr"/>
      <c r="M94" s="7" t="n">
        <v>41</v>
      </c>
    </row>
    <row r="95" ht="34" customHeight="1">
      <c r="A95" s="7" t="n">
        <v>94</v>
      </c>
      <c r="B95" s="7" t="inlineStr">
        <is>
          <t>2026-07-27T14:49:21Z</t>
        </is>
      </c>
      <c r="C95" s="7" t="inlineStr">
        <is>
          <t>vlm_guided</t>
        </is>
      </c>
      <c r="D95" s="7" t="inlineStr">
        <is>
          <t>vlm_guided_scoring</t>
        </is>
      </c>
      <c r="E95" s="7" t="n">
        <v>12</v>
      </c>
      <c r="F95" s="7" t="inlineStr">
        <is>
          <t>gemini-3.5-flash</t>
        </is>
      </c>
      <c r="G95" s="7" t="n">
        <v>1248</v>
      </c>
      <c r="H95" s="7" t="n">
        <v>106</v>
      </c>
      <c r="I95" s="7" t="n">
        <v>2063</v>
      </c>
      <c r="J95" s="7" t="inlineStr">
        <is>
          <t>sdk_usage_metadata</t>
        </is>
      </c>
      <c r="K95" s="7" t="inlineStr">
        <is>
          <t>success</t>
        </is>
      </c>
      <c r="L95" s="7" t="inlineStr"/>
      <c r="M95" s="7" t="n">
        <v>18</v>
      </c>
    </row>
    <row r="96" ht="34" customHeight="1">
      <c r="A96" s="7" t="n">
        <v>95</v>
      </c>
      <c r="B96" s="7" t="inlineStr">
        <is>
          <t>2026-07-27T14:49:43Z</t>
        </is>
      </c>
      <c r="C96" s="7" t="inlineStr">
        <is>
          <t>vlm_free</t>
        </is>
      </c>
      <c r="D96" s="7" t="inlineStr">
        <is>
          <t>vlm_free_descriptive_causal</t>
        </is>
      </c>
      <c r="E96" s="7" t="n">
        <v>13</v>
      </c>
      <c r="F96" s="7" t="inlineStr">
        <is>
          <t>gemini-3.5-flash</t>
        </is>
      </c>
      <c r="G96" s="7" t="n">
        <v>738</v>
      </c>
      <c r="H96" s="7" t="n">
        <v>492</v>
      </c>
      <c r="I96" s="7" t="n">
        <v>2961</v>
      </c>
      <c r="J96" s="7" t="inlineStr">
        <is>
          <t>sdk_usage_metadata</t>
        </is>
      </c>
      <c r="K96" s="7" t="inlineStr">
        <is>
          <t>success</t>
        </is>
      </c>
      <c r="L96" s="7" t="inlineStr"/>
      <c r="M96" s="7" t="n">
        <v>36</v>
      </c>
    </row>
    <row r="97" ht="34" customHeight="1">
      <c r="A97" s="7" t="n">
        <v>96</v>
      </c>
      <c r="B97" s="7" t="inlineStr">
        <is>
          <t>2026-07-27T14:49:47Z</t>
        </is>
      </c>
      <c r="C97" s="7" t="inlineStr">
        <is>
          <t>vlm_free</t>
        </is>
      </c>
      <c r="D97" s="7" t="inlineStr">
        <is>
          <t>vlm_free_scoring</t>
        </is>
      </c>
      <c r="E97" s="7" t="n">
        <v>13</v>
      </c>
      <c r="F97" s="7" t="inlineStr">
        <is>
          <t>gemini-3.5-flash</t>
        </is>
      </c>
      <c r="G97" s="7" t="n">
        <v>788</v>
      </c>
      <c r="H97" s="7" t="n">
        <v>129</v>
      </c>
      <c r="I97" s="7" t="n">
        <v>1493</v>
      </c>
      <c r="J97" s="7" t="inlineStr">
        <is>
          <t>sdk_usage_metadata</t>
        </is>
      </c>
      <c r="K97" s="7" t="inlineStr">
        <is>
          <t>success</t>
        </is>
      </c>
      <c r="L97" s="7" t="inlineStr"/>
      <c r="M97" s="7" t="n">
        <v>37</v>
      </c>
    </row>
    <row r="98" ht="34" customHeight="1">
      <c r="A98" s="7" t="n">
        <v>97</v>
      </c>
      <c r="B98" s="7" t="inlineStr">
        <is>
          <t>2026-07-27T14:49:55Z</t>
        </is>
      </c>
      <c r="C98" s="7" t="inlineStr">
        <is>
          <t>common</t>
        </is>
      </c>
      <c r="D98" s="7" t="inlineStr">
        <is>
          <t>guided_descriptive_prompt</t>
        </is>
      </c>
      <c r="E98" s="7" t="n">
        <v>13</v>
      </c>
      <c r="F98" s="7" t="inlineStr">
        <is>
          <t>gemini-3.5-flash</t>
        </is>
      </c>
      <c r="G98" s="7" t="n">
        <v>578</v>
      </c>
      <c r="H98" s="7" t="n">
        <v>328</v>
      </c>
      <c r="I98" s="7" t="n">
        <v>2449</v>
      </c>
      <c r="J98" s="7" t="inlineStr">
        <is>
          <t>sdk_usage_metadata</t>
        </is>
      </c>
      <c r="K98" s="7" t="inlineStr">
        <is>
          <t>success</t>
        </is>
      </c>
      <c r="L98" s="7" t="inlineStr"/>
      <c r="M98" s="7" t="n">
        <v>42</v>
      </c>
    </row>
    <row r="99" ht="34" customHeight="1">
      <c r="A99" s="7" t="n">
        <v>98</v>
      </c>
      <c r="B99" s="7" t="inlineStr">
        <is>
          <t>2026-07-27T14:50:03Z</t>
        </is>
      </c>
      <c r="C99" s="7" t="inlineStr">
        <is>
          <t>common</t>
        </is>
      </c>
      <c r="D99" s="7" t="inlineStr">
        <is>
          <t>guided_question_set</t>
        </is>
      </c>
      <c r="E99" s="7" t="n">
        <v>13</v>
      </c>
      <c r="F99" s="7" t="inlineStr">
        <is>
          <t>gemini-3.5-flash</t>
        </is>
      </c>
      <c r="G99" s="7" t="n">
        <v>1808</v>
      </c>
      <c r="H99" s="7" t="n">
        <v>376</v>
      </c>
      <c r="I99" s="7" t="n">
        <v>3381</v>
      </c>
      <c r="J99" s="7" t="inlineStr">
        <is>
          <t>sdk_usage_metadata</t>
        </is>
      </c>
      <c r="K99" s="7" t="inlineStr">
        <is>
          <t>success</t>
        </is>
      </c>
      <c r="L99" s="7" t="inlineStr"/>
      <c r="M99" s="7" t="n">
        <v>43</v>
      </c>
    </row>
    <row r="100" ht="34" customHeight="1">
      <c r="A100" s="7" t="n">
        <v>99</v>
      </c>
      <c r="B100" s="7" t="inlineStr">
        <is>
          <t>2026-07-27T14:50:09Z</t>
        </is>
      </c>
      <c r="C100" s="7" t="inlineStr">
        <is>
          <t>common</t>
        </is>
      </c>
      <c r="D100" s="7" t="inlineStr">
        <is>
          <t>guided_causal_engine</t>
        </is>
      </c>
      <c r="E100" s="7" t="n">
        <v>13</v>
      </c>
      <c r="F100" s="7" t="inlineStr">
        <is>
          <t>gemini-3.5-flash</t>
        </is>
      </c>
      <c r="G100" s="7" t="n">
        <v>989</v>
      </c>
      <c r="H100" s="7" t="n">
        <v>244</v>
      </c>
      <c r="I100" s="7" t="n">
        <v>2322</v>
      </c>
      <c r="J100" s="7" t="inlineStr">
        <is>
          <t>sdk_usage_metadata</t>
        </is>
      </c>
      <c r="K100" s="7" t="inlineStr">
        <is>
          <t>success</t>
        </is>
      </c>
      <c r="L100" s="7" t="inlineStr"/>
      <c r="M100" s="7" t="n">
        <v>44</v>
      </c>
    </row>
    <row r="101" ht="34" customHeight="1">
      <c r="A101" s="7" t="n">
        <v>100</v>
      </c>
      <c r="B101" s="7" t="inlineStr">
        <is>
          <t>2026-07-27T14:50:13Z</t>
        </is>
      </c>
      <c r="C101" s="7" t="inlineStr">
        <is>
          <t>vlm_guided</t>
        </is>
      </c>
      <c r="D101" s="7" t="inlineStr">
        <is>
          <t>vlm_guided_scoring</t>
        </is>
      </c>
      <c r="E101" s="7" t="n">
        <v>13</v>
      </c>
      <c r="F101" s="7" t="inlineStr">
        <is>
          <t>gemini-3.5-flash</t>
        </is>
      </c>
      <c r="G101" s="7" t="n">
        <v>1220</v>
      </c>
      <c r="H101" s="7" t="n">
        <v>98</v>
      </c>
      <c r="I101" s="7" t="n">
        <v>2007</v>
      </c>
      <c r="J101" s="7" t="inlineStr">
        <is>
          <t>sdk_usage_metadata</t>
        </is>
      </c>
      <c r="K101" s="7" t="inlineStr">
        <is>
          <t>success</t>
        </is>
      </c>
      <c r="L101" s="7" t="inlineStr"/>
      <c r="M101" s="7" t="n">
        <v>19</v>
      </c>
    </row>
    <row r="102" ht="34" customHeight="1">
      <c r="A102" s="7" t="n">
        <v>101</v>
      </c>
      <c r="B102" s="7" t="inlineStr">
        <is>
          <t>2026-07-27T14:50:35Z</t>
        </is>
      </c>
      <c r="C102" s="7" t="inlineStr">
        <is>
          <t>vlm_free</t>
        </is>
      </c>
      <c r="D102" s="7" t="inlineStr">
        <is>
          <t>vlm_free_descriptive_causal</t>
        </is>
      </c>
      <c r="E102" s="7" t="n">
        <v>14</v>
      </c>
      <c r="F102" s="7" t="inlineStr">
        <is>
          <t>gemini-3.5-flash</t>
        </is>
      </c>
      <c r="G102" s="7" t="n">
        <v>738</v>
      </c>
      <c r="H102" s="7" t="n">
        <v>440</v>
      </c>
      <c r="I102" s="7" t="n">
        <v>2671</v>
      </c>
      <c r="J102" s="7" t="inlineStr">
        <is>
          <t>sdk_usage_metadata</t>
        </is>
      </c>
      <c r="K102" s="7" t="inlineStr">
        <is>
          <t>success</t>
        </is>
      </c>
      <c r="L102" s="7" t="inlineStr"/>
      <c r="M102" s="7" t="n">
        <v>38</v>
      </c>
    </row>
    <row r="103" ht="34" customHeight="1">
      <c r="A103" s="7" t="n">
        <v>102</v>
      </c>
      <c r="B103" s="7" t="inlineStr">
        <is>
          <t>2026-07-27T14:50:39Z</t>
        </is>
      </c>
      <c r="C103" s="7" t="inlineStr">
        <is>
          <t>vlm_free</t>
        </is>
      </c>
      <c r="D103" s="7" t="inlineStr">
        <is>
          <t>vlm_free_scoring</t>
        </is>
      </c>
      <c r="E103" s="7" t="n">
        <v>14</v>
      </c>
      <c r="F103" s="7" t="inlineStr">
        <is>
          <t>gemini-3.5-flash</t>
        </is>
      </c>
      <c r="G103" s="7" t="n">
        <v>736</v>
      </c>
      <c r="H103" s="7" t="n">
        <v>127</v>
      </c>
      <c r="I103" s="7" t="n">
        <v>1465</v>
      </c>
      <c r="J103" s="7" t="inlineStr">
        <is>
          <t>sdk_usage_metadata</t>
        </is>
      </c>
      <c r="K103" s="7" t="inlineStr">
        <is>
          <t>success</t>
        </is>
      </c>
      <c r="L103" s="7" t="inlineStr"/>
      <c r="M103" s="7" t="n">
        <v>39</v>
      </c>
    </row>
    <row r="104" ht="34" customHeight="1">
      <c r="A104" s="7" t="n">
        <v>103</v>
      </c>
      <c r="B104" s="7" t="inlineStr">
        <is>
          <t>2026-07-27T14:50:45Z</t>
        </is>
      </c>
      <c r="C104" s="7" t="inlineStr">
        <is>
          <t>vlm_free</t>
        </is>
      </c>
      <c r="D104" s="7" t="inlineStr">
        <is>
          <t>vlm_free_scoring</t>
        </is>
      </c>
      <c r="E104" s="7" t="n">
        <v>14</v>
      </c>
      <c r="F104" s="7" t="inlineStr">
        <is>
          <t>gemini-3.5-flash</t>
        </is>
      </c>
      <c r="G104" s="7" t="n">
        <v>736</v>
      </c>
      <c r="H104" s="7" t="n">
        <v>133</v>
      </c>
      <c r="I104" s="7" t="n">
        <v>1673</v>
      </c>
      <c r="J104" s="7" t="inlineStr">
        <is>
          <t>sdk_usage_metadata</t>
        </is>
      </c>
      <c r="K104" s="7" t="inlineStr">
        <is>
          <t>success</t>
        </is>
      </c>
      <c r="L104" s="7" t="inlineStr"/>
      <c r="M104" s="7" t="n">
        <v>40</v>
      </c>
    </row>
    <row r="105" ht="34" customHeight="1">
      <c r="A105" s="7" t="n">
        <v>104</v>
      </c>
      <c r="B105" s="7" t="inlineStr">
        <is>
          <t>2026-07-27T14:50:50Z</t>
        </is>
      </c>
      <c r="C105" s="7" t="inlineStr">
        <is>
          <t>common</t>
        </is>
      </c>
      <c r="D105" s="7" t="inlineStr">
        <is>
          <t>guided_descriptive_prompt</t>
        </is>
      </c>
      <c r="E105" s="7" t="n">
        <v>14</v>
      </c>
      <c r="F105" s="7" t="inlineStr">
        <is>
          <t>gemini-3.5-flash</t>
        </is>
      </c>
      <c r="G105" s="7" t="n">
        <v>578</v>
      </c>
      <c r="H105" s="7" t="n">
        <v>276</v>
      </c>
      <c r="I105" s="7" t="n">
        <v>1453</v>
      </c>
      <c r="J105" s="7" t="inlineStr">
        <is>
          <t>sdk_usage_metadata</t>
        </is>
      </c>
      <c r="K105" s="7" t="inlineStr">
        <is>
          <t>success</t>
        </is>
      </c>
      <c r="L105" s="7" t="inlineStr"/>
      <c r="M105" s="7" t="n">
        <v>45</v>
      </c>
    </row>
    <row r="106" ht="34" customHeight="1">
      <c r="A106" s="7" t="n">
        <v>105</v>
      </c>
      <c r="B106" s="7" t="inlineStr">
        <is>
          <t>2026-07-27T14:50:58Z</t>
        </is>
      </c>
      <c r="C106" s="7" t="inlineStr">
        <is>
          <t>common</t>
        </is>
      </c>
      <c r="D106" s="7" t="inlineStr">
        <is>
          <t>guided_descriptive_prompt</t>
        </is>
      </c>
      <c r="E106" s="7" t="n">
        <v>14</v>
      </c>
      <c r="F106" s="7" t="inlineStr">
        <is>
          <t>gemini-3.5-flash</t>
        </is>
      </c>
      <c r="G106" s="7" t="n">
        <v>578</v>
      </c>
      <c r="H106" s="7" t="n">
        <v>246</v>
      </c>
      <c r="I106" s="7" t="n">
        <v>2069</v>
      </c>
      <c r="J106" s="7" t="inlineStr">
        <is>
          <t>sdk_usage_metadata</t>
        </is>
      </c>
      <c r="K106" s="7" t="inlineStr">
        <is>
          <t>success</t>
        </is>
      </c>
      <c r="L106" s="7" t="inlineStr"/>
      <c r="M106" s="7" t="n">
        <v>46</v>
      </c>
    </row>
    <row r="107" ht="34" customHeight="1">
      <c r="A107" s="7" t="n">
        <v>106</v>
      </c>
      <c r="B107" s="7" t="inlineStr">
        <is>
          <t>2026-07-27T14:51:06Z</t>
        </is>
      </c>
      <c r="C107" s="7" t="inlineStr">
        <is>
          <t>common</t>
        </is>
      </c>
      <c r="D107" s="7" t="inlineStr">
        <is>
          <t>guided_question_set</t>
        </is>
      </c>
      <c r="E107" s="7" t="n">
        <v>14</v>
      </c>
      <c r="F107" s="7" t="inlineStr">
        <is>
          <t>gemini-3.5-flash</t>
        </is>
      </c>
      <c r="G107" s="7" t="n">
        <v>1726</v>
      </c>
      <c r="H107" s="7" t="n">
        <v>300</v>
      </c>
      <c r="I107" s="7" t="n">
        <v>3483</v>
      </c>
      <c r="J107" s="7" t="inlineStr">
        <is>
          <t>sdk_usage_metadata</t>
        </is>
      </c>
      <c r="K107" s="7" t="inlineStr">
        <is>
          <t>success</t>
        </is>
      </c>
      <c r="L107" s="7" t="inlineStr"/>
      <c r="M107" s="7" t="n">
        <v>47</v>
      </c>
    </row>
    <row r="108" ht="34" customHeight="1">
      <c r="A108" s="7" t="n">
        <v>107</v>
      </c>
      <c r="B108" s="7" t="inlineStr">
        <is>
          <t>2026-07-27T14:51:15Z</t>
        </is>
      </c>
      <c r="C108" s="7" t="inlineStr">
        <is>
          <t>common</t>
        </is>
      </c>
      <c r="D108" s="7" t="inlineStr">
        <is>
          <t>guided_question_set</t>
        </is>
      </c>
      <c r="E108" s="7" t="n">
        <v>14</v>
      </c>
      <c r="F108" s="7" t="inlineStr">
        <is>
          <t>gemini-3.5-flash</t>
        </is>
      </c>
      <c r="G108" s="7" t="n">
        <v>1726</v>
      </c>
      <c r="H108" s="7" t="n">
        <v>338</v>
      </c>
      <c r="I108" s="7" t="n">
        <v>3535</v>
      </c>
      <c r="J108" s="7" t="inlineStr">
        <is>
          <t>sdk_usage_metadata</t>
        </is>
      </c>
      <c r="K108" s="7" t="inlineStr">
        <is>
          <t>success</t>
        </is>
      </c>
      <c r="L108" s="7" t="inlineStr"/>
      <c r="M108" s="7" t="n">
        <v>48</v>
      </c>
    </row>
    <row r="109" ht="34" customHeight="1">
      <c r="A109" s="7" t="n">
        <v>108</v>
      </c>
      <c r="B109" s="7" t="inlineStr">
        <is>
          <t>2026-07-27T14:51:27Z</t>
        </is>
      </c>
      <c r="C109" s="7" t="inlineStr">
        <is>
          <t>common</t>
        </is>
      </c>
      <c r="D109" s="7" t="inlineStr">
        <is>
          <t>guided_question_set</t>
        </is>
      </c>
      <c r="E109" s="7" t="n">
        <v>14</v>
      </c>
      <c r="F109" s="7" t="inlineStr">
        <is>
          <t>gemini-3.5-flash</t>
        </is>
      </c>
      <c r="G109" s="7" t="n">
        <v>1726</v>
      </c>
      <c r="H109" s="7" t="n">
        <v>357</v>
      </c>
      <c r="I109" s="7" t="n">
        <v>3375</v>
      </c>
      <c r="J109" s="7" t="inlineStr">
        <is>
          <t>sdk_usage_metadata</t>
        </is>
      </c>
      <c r="K109" s="7" t="inlineStr">
        <is>
          <t>success</t>
        </is>
      </c>
      <c r="L109" s="7" t="inlineStr"/>
      <c r="M109" s="7" t="n">
        <v>49</v>
      </c>
    </row>
    <row r="110" ht="34" customHeight="1">
      <c r="A110" s="7" t="n">
        <v>109</v>
      </c>
      <c r="B110" s="7" t="inlineStr">
        <is>
          <t>2026-07-27T14:51:36Z</t>
        </is>
      </c>
      <c r="C110" s="7" t="inlineStr">
        <is>
          <t>common</t>
        </is>
      </c>
      <c r="D110" s="7" t="inlineStr">
        <is>
          <t>guided_question_set</t>
        </is>
      </c>
      <c r="E110" s="7" t="n">
        <v>14</v>
      </c>
      <c r="F110" s="7" t="inlineStr">
        <is>
          <t>gemini-3.5-flash</t>
        </is>
      </c>
      <c r="G110" s="7" t="n">
        <v>1726</v>
      </c>
      <c r="H110" s="7" t="n">
        <v>296</v>
      </c>
      <c r="I110" s="7" t="n">
        <v>3264</v>
      </c>
      <c r="J110" s="7" t="inlineStr">
        <is>
          <t>sdk_usage_metadata</t>
        </is>
      </c>
      <c r="K110" s="7" t="inlineStr">
        <is>
          <t>success</t>
        </is>
      </c>
      <c r="L110" s="7" t="inlineStr"/>
      <c r="M110" s="7" t="n">
        <v>50</v>
      </c>
    </row>
    <row r="111" ht="34" customHeight="1">
      <c r="A111" s="7" t="n">
        <v>110</v>
      </c>
      <c r="B111" s="7" t="inlineStr">
        <is>
          <t>2026-07-27T14:51:45Z</t>
        </is>
      </c>
      <c r="C111" s="7" t="inlineStr">
        <is>
          <t>common</t>
        </is>
      </c>
      <c r="D111" s="7" t="inlineStr">
        <is>
          <t>guided_question_set</t>
        </is>
      </c>
      <c r="E111" s="7" t="n">
        <v>14</v>
      </c>
      <c r="F111" s="7" t="inlineStr">
        <is>
          <t>gemini-3.5-flash</t>
        </is>
      </c>
      <c r="G111" s="7" t="n">
        <v>1726</v>
      </c>
      <c r="H111" s="7" t="n">
        <v>335</v>
      </c>
      <c r="I111" s="7" t="n">
        <v>3543</v>
      </c>
      <c r="J111" s="7" t="inlineStr">
        <is>
          <t>sdk_usage_metadata</t>
        </is>
      </c>
      <c r="K111" s="7" t="inlineStr">
        <is>
          <t>success</t>
        </is>
      </c>
      <c r="L111" s="7" t="inlineStr"/>
      <c r="M111" s="7" t="n">
        <v>51</v>
      </c>
    </row>
    <row r="112" ht="34" customHeight="1">
      <c r="A112" s="7" t="n">
        <v>111</v>
      </c>
      <c r="B112" s="7" t="inlineStr">
        <is>
          <t>2026-07-27T14:51:50Z</t>
        </is>
      </c>
      <c r="C112" s="7" t="inlineStr">
        <is>
          <t>common</t>
        </is>
      </c>
      <c r="D112" s="7" t="inlineStr">
        <is>
          <t>guided_causal_engine</t>
        </is>
      </c>
      <c r="E112" s="7" t="n">
        <v>14</v>
      </c>
      <c r="F112" s="7" t="inlineStr">
        <is>
          <t>gemini-3.5-flash</t>
        </is>
      </c>
      <c r="G112" s="7" t="n">
        <v>866</v>
      </c>
      <c r="H112" s="7" t="n">
        <v>253</v>
      </c>
      <c r="I112" s="7" t="n">
        <v>2066</v>
      </c>
      <c r="J112" s="7" t="inlineStr">
        <is>
          <t>sdk_usage_metadata</t>
        </is>
      </c>
      <c r="K112" s="7" t="inlineStr">
        <is>
          <t>success</t>
        </is>
      </c>
      <c r="L112" s="7" t="inlineStr"/>
      <c r="M112" s="7" t="n">
        <v>52</v>
      </c>
    </row>
    <row r="113" ht="34" customHeight="1">
      <c r="A113" s="7" t="n">
        <v>112</v>
      </c>
      <c r="B113" s="7" t="inlineStr">
        <is>
          <t>2026-07-27T14:51:55Z</t>
        </is>
      </c>
      <c r="C113" s="7" t="inlineStr">
        <is>
          <t>vlm_guided</t>
        </is>
      </c>
      <c r="D113" s="7" t="inlineStr">
        <is>
          <t>vlm_guided_scoring</t>
        </is>
      </c>
      <c r="E113" s="7" t="n">
        <v>14</v>
      </c>
      <c r="F113" s="7" t="inlineStr">
        <is>
          <t>gemini-3.5-flash</t>
        </is>
      </c>
      <c r="G113" s="7" t="n">
        <v>1105</v>
      </c>
      <c r="H113" s="7" t="n">
        <v>106</v>
      </c>
      <c r="I113" s="7" t="n">
        <v>1929</v>
      </c>
      <c r="J113" s="7" t="inlineStr">
        <is>
          <t>sdk_usage_metadata</t>
        </is>
      </c>
      <c r="K113" s="7" t="inlineStr">
        <is>
          <t>success</t>
        </is>
      </c>
      <c r="L113" s="7" t="inlineStr"/>
      <c r="M113" s="7" t="n">
        <v>20</v>
      </c>
    </row>
    <row r="114" ht="34" customHeight="1">
      <c r="A114" s="7" t="n">
        <v>113</v>
      </c>
      <c r="B114" s="7" t="inlineStr">
        <is>
          <t>2026-07-27T14:52:16Z</t>
        </is>
      </c>
      <c r="C114" s="7" t="inlineStr">
        <is>
          <t>vlm_free</t>
        </is>
      </c>
      <c r="D114" s="7" t="inlineStr">
        <is>
          <t>vlm_free_descriptive_causal</t>
        </is>
      </c>
      <c r="E114" s="7" t="n">
        <v>15</v>
      </c>
      <c r="F114" s="7" t="inlineStr">
        <is>
          <t>gemini-3.5-flash</t>
        </is>
      </c>
      <c r="G114" s="7" t="n">
        <v>738</v>
      </c>
      <c r="H114" s="7" t="n">
        <v>618</v>
      </c>
      <c r="I114" s="7" t="n">
        <v>3082</v>
      </c>
      <c r="J114" s="7" t="inlineStr">
        <is>
          <t>sdk_usage_metadata</t>
        </is>
      </c>
      <c r="K114" s="7" t="inlineStr">
        <is>
          <t>success</t>
        </is>
      </c>
      <c r="L114" s="7" t="inlineStr"/>
      <c r="M114" s="7" t="n">
        <v>41</v>
      </c>
    </row>
    <row r="115" ht="34" customHeight="1">
      <c r="A115" s="7" t="n">
        <v>114</v>
      </c>
      <c r="B115" s="7" t="inlineStr">
        <is>
          <t>2026-07-27T14:52:26Z</t>
        </is>
      </c>
      <c r="C115" s="7" t="inlineStr">
        <is>
          <t>vlm_free</t>
        </is>
      </c>
      <c r="D115" s="7" t="inlineStr">
        <is>
          <t>vlm_free_descriptive_causal</t>
        </is>
      </c>
      <c r="E115" s="7" t="n">
        <v>15</v>
      </c>
      <c r="F115" s="7" t="inlineStr">
        <is>
          <t>gemini-3.5-flash</t>
        </is>
      </c>
      <c r="G115" s="7" t="n">
        <v>738</v>
      </c>
      <c r="H115" s="7" t="n">
        <v>489</v>
      </c>
      <c r="I115" s="7" t="n">
        <v>2451</v>
      </c>
      <c r="J115" s="7" t="inlineStr">
        <is>
          <t>sdk_usage_metadata</t>
        </is>
      </c>
      <c r="K115" s="7" t="inlineStr">
        <is>
          <t>success</t>
        </is>
      </c>
      <c r="L115" s="7" t="inlineStr"/>
      <c r="M115" s="7" t="n">
        <v>42</v>
      </c>
    </row>
    <row r="116" ht="34" customHeight="1">
      <c r="A116" s="7" t="n">
        <v>115</v>
      </c>
      <c r="B116" s="7" t="inlineStr">
        <is>
          <t>2026-07-27T14:52:30Z</t>
        </is>
      </c>
      <c r="C116" s="7" t="inlineStr">
        <is>
          <t>vlm_free</t>
        </is>
      </c>
      <c r="D116" s="7" t="inlineStr">
        <is>
          <t>vlm_free_scoring</t>
        </is>
      </c>
      <c r="E116" s="7" t="n">
        <v>15</v>
      </c>
      <c r="F116" s="7" t="inlineStr">
        <is>
          <t>gemini-3.5-flash</t>
        </is>
      </c>
      <c r="G116" s="7" t="n">
        <v>785</v>
      </c>
      <c r="H116" s="7" t="n">
        <v>127</v>
      </c>
      <c r="I116" s="7" t="n">
        <v>1363</v>
      </c>
      <c r="J116" s="7" t="inlineStr">
        <is>
          <t>sdk_usage_metadata</t>
        </is>
      </c>
      <c r="K116" s="7" t="inlineStr">
        <is>
          <t>success</t>
        </is>
      </c>
      <c r="L116" s="7" t="inlineStr"/>
      <c r="M116" s="7" t="n">
        <v>43</v>
      </c>
    </row>
    <row r="117" ht="34" customHeight="1">
      <c r="A117" s="7" t="n">
        <v>116</v>
      </c>
      <c r="B117" s="7" t="inlineStr">
        <is>
          <t>2026-07-27T14:52:35Z</t>
        </is>
      </c>
      <c r="C117" s="7" t="inlineStr">
        <is>
          <t>vlm_free</t>
        </is>
      </c>
      <c r="D117" s="7" t="inlineStr">
        <is>
          <t>vlm_free_scoring</t>
        </is>
      </c>
      <c r="E117" s="7" t="n">
        <v>15</v>
      </c>
      <c r="F117" s="7" t="inlineStr">
        <is>
          <t>gemini-3.5-flash</t>
        </is>
      </c>
      <c r="G117" s="7" t="n">
        <v>785</v>
      </c>
      <c r="H117" s="7" t="n">
        <v>141</v>
      </c>
      <c r="I117" s="7" t="n">
        <v>1441</v>
      </c>
      <c r="J117" s="7" t="inlineStr">
        <is>
          <t>sdk_usage_metadata</t>
        </is>
      </c>
      <c r="K117" s="7" t="inlineStr">
        <is>
          <t>success</t>
        </is>
      </c>
      <c r="L117" s="7" t="inlineStr"/>
      <c r="M117" s="7" t="n">
        <v>44</v>
      </c>
    </row>
    <row r="118" ht="34" customHeight="1">
      <c r="A118" s="7" t="n">
        <v>117</v>
      </c>
      <c r="B118" s="7" t="inlineStr">
        <is>
          <t>2026-07-27T14:52:39Z</t>
        </is>
      </c>
      <c r="C118" s="7" t="inlineStr">
        <is>
          <t>vlm_free</t>
        </is>
      </c>
      <c r="D118" s="7" t="inlineStr">
        <is>
          <t>vlm_free_scoring</t>
        </is>
      </c>
      <c r="E118" s="7" t="n">
        <v>15</v>
      </c>
      <c r="F118" s="7" t="inlineStr">
        <is>
          <t>gemini-3.5-flash</t>
        </is>
      </c>
      <c r="G118" s="7" t="n">
        <v>785</v>
      </c>
      <c r="H118" s="7" t="n">
        <v>128</v>
      </c>
      <c r="I118" s="7" t="n">
        <v>1405</v>
      </c>
      <c r="J118" s="7" t="inlineStr">
        <is>
          <t>sdk_usage_metadata</t>
        </is>
      </c>
      <c r="K118" s="7" t="inlineStr">
        <is>
          <t>success</t>
        </is>
      </c>
      <c r="L118" s="7" t="inlineStr"/>
      <c r="M118" s="7" t="n">
        <v>45</v>
      </c>
    </row>
    <row r="119" ht="34" customHeight="1">
      <c r="A119" s="7" t="n">
        <v>118</v>
      </c>
      <c r="B119" s="7" t="inlineStr">
        <is>
          <t>2026-07-27T14:52:46Z</t>
        </is>
      </c>
      <c r="C119" s="7" t="inlineStr">
        <is>
          <t>common</t>
        </is>
      </c>
      <c r="D119" s="7" t="inlineStr">
        <is>
          <t>guided_descriptive_prompt</t>
        </is>
      </c>
      <c r="E119" s="7" t="n">
        <v>15</v>
      </c>
      <c r="F119" s="7" t="inlineStr">
        <is>
          <t>gemini-3.5-flash</t>
        </is>
      </c>
      <c r="G119" s="7" t="n">
        <v>578</v>
      </c>
      <c r="H119" s="7" t="n">
        <v>279</v>
      </c>
      <c r="I119" s="7" t="n">
        <v>1931</v>
      </c>
      <c r="J119" s="7" t="inlineStr">
        <is>
          <t>sdk_usage_metadata</t>
        </is>
      </c>
      <c r="K119" s="7" t="inlineStr">
        <is>
          <t>success</t>
        </is>
      </c>
      <c r="L119" s="7" t="inlineStr"/>
      <c r="M119" s="7" t="n">
        <v>53</v>
      </c>
    </row>
    <row r="120" ht="34" customHeight="1">
      <c r="A120" s="7" t="n">
        <v>119</v>
      </c>
      <c r="B120" s="7" t="inlineStr">
        <is>
          <t>2026-07-27T14:52:53Z</t>
        </is>
      </c>
      <c r="C120" s="7" t="inlineStr">
        <is>
          <t>common</t>
        </is>
      </c>
      <c r="D120" s="7" t="inlineStr">
        <is>
          <t>guided_question_set</t>
        </is>
      </c>
      <c r="E120" s="7" t="n">
        <v>15</v>
      </c>
      <c r="F120" s="7" t="inlineStr">
        <is>
          <t>gemini-3.5-flash</t>
        </is>
      </c>
      <c r="G120" s="7" t="n">
        <v>1759</v>
      </c>
      <c r="H120" s="7" t="n">
        <v>315</v>
      </c>
      <c r="I120" s="7" t="n">
        <v>3305</v>
      </c>
      <c r="J120" s="7" t="inlineStr">
        <is>
          <t>sdk_usage_metadata</t>
        </is>
      </c>
      <c r="K120" s="7" t="inlineStr">
        <is>
          <t>success</t>
        </is>
      </c>
      <c r="L120" s="7" t="inlineStr"/>
      <c r="M120" s="7" t="n">
        <v>54</v>
      </c>
    </row>
    <row r="121" ht="34" customHeight="1">
      <c r="A121" s="7" t="n">
        <v>120</v>
      </c>
      <c r="B121" s="7" t="inlineStr">
        <is>
          <t>2026-07-27T14:53:01Z</t>
        </is>
      </c>
      <c r="C121" s="7" t="inlineStr">
        <is>
          <t>common</t>
        </is>
      </c>
      <c r="D121" s="7" t="inlineStr">
        <is>
          <t>guided_question_set</t>
        </is>
      </c>
      <c r="E121" s="7" t="n">
        <v>15</v>
      </c>
      <c r="F121" s="7" t="inlineStr">
        <is>
          <t>gemini-3.5-flash</t>
        </is>
      </c>
      <c r="G121" s="7" t="n">
        <v>1759</v>
      </c>
      <c r="H121" s="7" t="n">
        <v>305</v>
      </c>
      <c r="I121" s="7" t="n">
        <v>3336</v>
      </c>
      <c r="J121" s="7" t="inlineStr">
        <is>
          <t>sdk_usage_metadata</t>
        </is>
      </c>
      <c r="K121" s="7" t="inlineStr">
        <is>
          <t>success</t>
        </is>
      </c>
      <c r="L121" s="7" t="inlineStr"/>
      <c r="M121" s="7" t="n">
        <v>55</v>
      </c>
    </row>
    <row r="122" ht="34" customHeight="1">
      <c r="A122" s="7" t="n">
        <v>121</v>
      </c>
      <c r="B122" s="7" t="inlineStr">
        <is>
          <t>2026-07-27T14:53:11Z</t>
        </is>
      </c>
      <c r="C122" s="7" t="inlineStr">
        <is>
          <t>common</t>
        </is>
      </c>
      <c r="D122" s="7" t="inlineStr">
        <is>
          <t>guided_question_set</t>
        </is>
      </c>
      <c r="E122" s="7" t="n">
        <v>15</v>
      </c>
      <c r="F122" s="7" t="inlineStr">
        <is>
          <t>gemini-3.5-flash</t>
        </is>
      </c>
      <c r="G122" s="7" t="n">
        <v>1759</v>
      </c>
      <c r="H122" s="7" t="n">
        <v>309</v>
      </c>
      <c r="I122" s="7" t="n">
        <v>3532</v>
      </c>
      <c r="J122" s="7" t="inlineStr">
        <is>
          <t>sdk_usage_metadata</t>
        </is>
      </c>
      <c r="K122" s="7" t="inlineStr">
        <is>
          <t>success</t>
        </is>
      </c>
      <c r="L122" s="7" t="inlineStr"/>
      <c r="M122" s="7" t="n">
        <v>56</v>
      </c>
    </row>
    <row r="123" ht="34" customHeight="1">
      <c r="A123" s="7" t="n">
        <v>122</v>
      </c>
      <c r="B123" s="7" t="inlineStr">
        <is>
          <t>2026-07-27T14:53:20Z</t>
        </is>
      </c>
      <c r="C123" s="7" t="inlineStr">
        <is>
          <t>common</t>
        </is>
      </c>
      <c r="D123" s="7" t="inlineStr">
        <is>
          <t>guided_question_set</t>
        </is>
      </c>
      <c r="E123" s="7" t="n">
        <v>15</v>
      </c>
      <c r="F123" s="7" t="inlineStr">
        <is>
          <t>gemini-3.5-flash</t>
        </is>
      </c>
      <c r="G123" s="7" t="n">
        <v>1759</v>
      </c>
      <c r="H123" s="7" t="n">
        <v>325</v>
      </c>
      <c r="I123" s="7" t="n">
        <v>3452</v>
      </c>
      <c r="J123" s="7" t="inlineStr">
        <is>
          <t>sdk_usage_metadata</t>
        </is>
      </c>
      <c r="K123" s="7" t="inlineStr">
        <is>
          <t>success</t>
        </is>
      </c>
      <c r="L123" s="7" t="inlineStr"/>
      <c r="M123" s="7" t="n">
        <v>57</v>
      </c>
    </row>
    <row r="124" ht="34" customHeight="1">
      <c r="A124" s="7" t="n">
        <v>123</v>
      </c>
      <c r="B124" s="7" t="inlineStr">
        <is>
          <t>2026-07-27T14:53:26Z</t>
        </is>
      </c>
      <c r="C124" s="7" t="inlineStr">
        <is>
          <t>common</t>
        </is>
      </c>
      <c r="D124" s="7" t="inlineStr">
        <is>
          <t>guided_causal_engine</t>
        </is>
      </c>
      <c r="E124" s="7" t="n">
        <v>15</v>
      </c>
      <c r="F124" s="7" t="inlineStr">
        <is>
          <t>gemini-3.5-flash</t>
        </is>
      </c>
      <c r="G124" s="7" t="n">
        <v>888</v>
      </c>
      <c r="H124" s="7" t="n">
        <v>239</v>
      </c>
      <c r="I124" s="7" t="n">
        <v>2036</v>
      </c>
      <c r="J124" s="7" t="inlineStr">
        <is>
          <t>sdk_usage_metadata</t>
        </is>
      </c>
      <c r="K124" s="7" t="inlineStr">
        <is>
          <t>success</t>
        </is>
      </c>
      <c r="L124" s="7" t="inlineStr"/>
      <c r="M124" s="7" t="n">
        <v>58</v>
      </c>
    </row>
    <row r="125" ht="34" customHeight="1">
      <c r="A125" s="7" t="n">
        <v>124</v>
      </c>
      <c r="B125" s="7" t="inlineStr">
        <is>
          <t>2026-07-27T14:53:30Z</t>
        </is>
      </c>
      <c r="C125" s="7" t="inlineStr">
        <is>
          <t>vlm_guided</t>
        </is>
      </c>
      <c r="D125" s="7" t="inlineStr">
        <is>
          <t>vlm_guided_scoring</t>
        </is>
      </c>
      <c r="E125" s="7" t="n">
        <v>15</v>
      </c>
      <c r="F125" s="7" t="inlineStr">
        <is>
          <t>gemini-3.5-flash</t>
        </is>
      </c>
      <c r="G125" s="7" t="n">
        <v>1114</v>
      </c>
      <c r="H125" s="7" t="n">
        <v>101</v>
      </c>
      <c r="I125" s="7" t="n">
        <v>1961</v>
      </c>
      <c r="J125" s="7" t="inlineStr">
        <is>
          <t>sdk_usage_metadata</t>
        </is>
      </c>
      <c r="K125" s="7" t="inlineStr">
        <is>
          <t>success</t>
        </is>
      </c>
      <c r="L125" s="7" t="inlineStr"/>
      <c r="M125" s="7" t="n">
        <v>21</v>
      </c>
    </row>
    <row r="126" ht="34" customHeight="1">
      <c r="A126" s="7" t="n">
        <v>125</v>
      </c>
      <c r="B126" s="7" t="inlineStr">
        <is>
          <t>2026-07-27T14:53:49Z</t>
        </is>
      </c>
      <c r="C126" s="7" t="inlineStr">
        <is>
          <t>vlm_free</t>
        </is>
      </c>
      <c r="D126" s="7" t="inlineStr">
        <is>
          <t>vlm_free_descriptive_causal</t>
        </is>
      </c>
      <c r="E126" s="7" t="n">
        <v>16</v>
      </c>
      <c r="F126" s="7" t="inlineStr">
        <is>
          <t>gemini-3.5-flash</t>
        </is>
      </c>
      <c r="G126" s="7" t="n">
        <v>742</v>
      </c>
      <c r="H126" s="7" t="n">
        <v>625</v>
      </c>
      <c r="I126" s="7" t="n">
        <v>2433</v>
      </c>
      <c r="J126" s="7" t="inlineStr">
        <is>
          <t>sdk_usage_metadata</t>
        </is>
      </c>
      <c r="K126" s="7" t="inlineStr">
        <is>
          <t>success</t>
        </is>
      </c>
      <c r="L126" s="7" t="inlineStr"/>
      <c r="M126" s="7" t="n">
        <v>46</v>
      </c>
    </row>
    <row r="127" ht="34" customHeight="1">
      <c r="A127" s="7" t="n">
        <v>126</v>
      </c>
      <c r="B127" s="7" t="inlineStr">
        <is>
          <t>2026-07-27T14:53:54Z</t>
        </is>
      </c>
      <c r="C127" s="7" t="inlineStr">
        <is>
          <t>vlm_free</t>
        </is>
      </c>
      <c r="D127" s="7" t="inlineStr">
        <is>
          <t>vlm_free_scoring</t>
        </is>
      </c>
      <c r="E127" s="7" t="n">
        <v>16</v>
      </c>
      <c r="F127" s="7" t="inlineStr">
        <is>
          <t>gemini-3.5-flash</t>
        </is>
      </c>
      <c r="G127" s="7" t="n">
        <v>923</v>
      </c>
      <c r="H127" s="7" t="n">
        <v>141</v>
      </c>
      <c r="I127" s="7" t="n">
        <v>1910</v>
      </c>
      <c r="J127" s="7" t="inlineStr">
        <is>
          <t>sdk_usage_metadata</t>
        </is>
      </c>
      <c r="K127" s="7" t="inlineStr">
        <is>
          <t>success</t>
        </is>
      </c>
      <c r="L127" s="7" t="inlineStr"/>
      <c r="M127" s="7" t="n">
        <v>47</v>
      </c>
    </row>
    <row r="128" ht="34" customHeight="1">
      <c r="A128" s="7" t="n">
        <v>127</v>
      </c>
      <c r="B128" s="7" t="inlineStr">
        <is>
          <t>2026-07-27T14:54:02Z</t>
        </is>
      </c>
      <c r="C128" s="7" t="inlineStr">
        <is>
          <t>common</t>
        </is>
      </c>
      <c r="D128" s="7" t="inlineStr">
        <is>
          <t>guided_descriptive_prompt</t>
        </is>
      </c>
      <c r="E128" s="7" t="n">
        <v>16</v>
      </c>
      <c r="F128" s="7" t="inlineStr">
        <is>
          <t>gemini-3.5-flash</t>
        </is>
      </c>
      <c r="G128" s="7" t="n">
        <v>582</v>
      </c>
      <c r="H128" s="7" t="n">
        <v>215</v>
      </c>
      <c r="I128" s="7" t="n">
        <v>1980</v>
      </c>
      <c r="J128" s="7" t="inlineStr">
        <is>
          <t>sdk_usage_metadata</t>
        </is>
      </c>
      <c r="K128" s="7" t="inlineStr">
        <is>
          <t>success</t>
        </is>
      </c>
      <c r="L128" s="7" t="inlineStr"/>
      <c r="M128" s="7" t="n">
        <v>59</v>
      </c>
    </row>
    <row r="129" ht="34" customHeight="1">
      <c r="A129" s="7" t="n">
        <v>128</v>
      </c>
      <c r="B129" s="7" t="inlineStr">
        <is>
          <t>2026-07-27T14:54:08Z</t>
        </is>
      </c>
      <c r="C129" s="7" t="inlineStr">
        <is>
          <t>common</t>
        </is>
      </c>
      <c r="D129" s="7" t="inlineStr">
        <is>
          <t>guided_question_set</t>
        </is>
      </c>
      <c r="E129" s="7" t="n">
        <v>16</v>
      </c>
      <c r="F129" s="7" t="inlineStr">
        <is>
          <t>gemini-3.5-flash</t>
        </is>
      </c>
      <c r="G129" s="7" t="n">
        <v>1697</v>
      </c>
      <c r="H129" s="7" t="n">
        <v>299</v>
      </c>
      <c r="I129" s="7" t="n">
        <v>3138</v>
      </c>
      <c r="J129" s="7" t="inlineStr">
        <is>
          <t>sdk_usage_metadata</t>
        </is>
      </c>
      <c r="K129" s="7" t="inlineStr">
        <is>
          <t>success</t>
        </is>
      </c>
      <c r="L129" s="7" t="inlineStr"/>
      <c r="M129" s="7" t="n">
        <v>60</v>
      </c>
    </row>
    <row r="130" ht="34" customHeight="1">
      <c r="A130" s="7" t="n">
        <v>129</v>
      </c>
      <c r="B130" s="7" t="inlineStr">
        <is>
          <t>2026-07-27T14:54:14Z</t>
        </is>
      </c>
      <c r="C130" s="7" t="inlineStr">
        <is>
          <t>common</t>
        </is>
      </c>
      <c r="D130" s="7" t="inlineStr">
        <is>
          <t>guided_causal_engine</t>
        </is>
      </c>
      <c r="E130" s="7" t="n">
        <v>16</v>
      </c>
      <c r="F130" s="7" t="inlineStr">
        <is>
          <t>gemini-3.5-flash</t>
        </is>
      </c>
      <c r="G130" s="7" t="n">
        <v>801</v>
      </c>
      <c r="H130" s="7" t="n">
        <v>240</v>
      </c>
      <c r="I130" s="7" t="n">
        <v>2058</v>
      </c>
      <c r="J130" s="7" t="inlineStr">
        <is>
          <t>sdk_usage_metadata</t>
        </is>
      </c>
      <c r="K130" s="7" t="inlineStr">
        <is>
          <t>success</t>
        </is>
      </c>
      <c r="L130" s="7" t="inlineStr"/>
      <c r="M130" s="7" t="n">
        <v>61</v>
      </c>
    </row>
    <row r="131" ht="34" customHeight="1">
      <c r="A131" s="7" t="n">
        <v>130</v>
      </c>
      <c r="B131" s="7" t="inlineStr">
        <is>
          <t>2026-07-27T14:54:19Z</t>
        </is>
      </c>
      <c r="C131" s="7" t="inlineStr">
        <is>
          <t>vlm_guided</t>
        </is>
      </c>
      <c r="D131" s="7" t="inlineStr">
        <is>
          <t>vlm_guided_scoring</t>
        </is>
      </c>
      <c r="E131" s="7" t="n">
        <v>16</v>
      </c>
      <c r="F131" s="7" t="inlineStr">
        <is>
          <t>gemini-3.5-flash</t>
        </is>
      </c>
      <c r="G131" s="7" t="n">
        <v>1028</v>
      </c>
      <c r="H131" s="7" t="n">
        <v>105</v>
      </c>
      <c r="I131" s="7" t="n">
        <v>1952</v>
      </c>
      <c r="J131" s="7" t="inlineStr">
        <is>
          <t>sdk_usage_metadata</t>
        </is>
      </c>
      <c r="K131" s="7" t="inlineStr">
        <is>
          <t>success</t>
        </is>
      </c>
      <c r="L131" s="7" t="inlineStr"/>
      <c r="M131" s="7" t="n">
        <v>22</v>
      </c>
    </row>
    <row r="132" ht="34" customHeight="1">
      <c r="A132" s="7" t="n">
        <v>131</v>
      </c>
      <c r="B132" s="7" t="inlineStr">
        <is>
          <t>2026-07-27T14:54:38Z</t>
        </is>
      </c>
      <c r="C132" s="7" t="inlineStr">
        <is>
          <t>vlm_free</t>
        </is>
      </c>
      <c r="D132" s="7" t="inlineStr">
        <is>
          <t>vlm_free_descriptive_causal</t>
        </is>
      </c>
      <c r="E132" s="7" t="n">
        <v>17</v>
      </c>
      <c r="F132" s="7" t="inlineStr">
        <is>
          <t>gemini-3.5-flash</t>
        </is>
      </c>
      <c r="G132" s="7" t="n">
        <v>610</v>
      </c>
      <c r="H132" s="7" t="n">
        <v>571</v>
      </c>
      <c r="I132" s="7" t="n">
        <v>2543</v>
      </c>
      <c r="J132" s="7" t="inlineStr">
        <is>
          <t>sdk_usage_metadata</t>
        </is>
      </c>
      <c r="K132" s="7" t="inlineStr">
        <is>
          <t>success</t>
        </is>
      </c>
      <c r="L132" s="7" t="inlineStr"/>
      <c r="M132" s="7" t="n">
        <v>48</v>
      </c>
    </row>
    <row r="133" ht="34" customHeight="1">
      <c r="A133" s="7" t="n">
        <v>132</v>
      </c>
      <c r="B133" s="7" t="inlineStr">
        <is>
          <t>2026-07-27T14:54:43Z</t>
        </is>
      </c>
      <c r="C133" s="7" t="inlineStr">
        <is>
          <t>vlm_free</t>
        </is>
      </c>
      <c r="D133" s="7" t="inlineStr">
        <is>
          <t>vlm_free_scoring</t>
        </is>
      </c>
      <c r="E133" s="7" t="n">
        <v>17</v>
      </c>
      <c r="F133" s="7" t="inlineStr">
        <is>
          <t>gemini-3.5-flash</t>
        </is>
      </c>
      <c r="G133" s="7" t="n">
        <v>868</v>
      </c>
      <c r="H133" s="7" t="n">
        <v>121</v>
      </c>
      <c r="I133" s="7" t="n">
        <v>1664</v>
      </c>
      <c r="J133" s="7" t="inlineStr">
        <is>
          <t>sdk_usage_metadata</t>
        </is>
      </c>
      <c r="K133" s="7" t="inlineStr">
        <is>
          <t>success</t>
        </is>
      </c>
      <c r="L133" s="7" t="inlineStr"/>
      <c r="M133" s="7" t="n">
        <v>49</v>
      </c>
    </row>
    <row r="134" ht="34" customHeight="1">
      <c r="A134" s="7" t="n">
        <v>133</v>
      </c>
      <c r="B134" s="7" t="inlineStr">
        <is>
          <t>2026-07-27T14:54:49Z</t>
        </is>
      </c>
      <c r="C134" s="7" t="inlineStr">
        <is>
          <t>common</t>
        </is>
      </c>
      <c r="D134" s="7" t="inlineStr">
        <is>
          <t>guided_descriptive_prompt</t>
        </is>
      </c>
      <c r="E134" s="7" t="n">
        <v>17</v>
      </c>
      <c r="F134" s="7" t="inlineStr">
        <is>
          <t>gemini-3.5-flash</t>
        </is>
      </c>
      <c r="G134" s="7" t="n">
        <v>450</v>
      </c>
      <c r="H134" s="7" t="n">
        <v>240</v>
      </c>
      <c r="I134" s="7" t="n">
        <v>1695</v>
      </c>
      <c r="J134" s="7" t="inlineStr">
        <is>
          <t>sdk_usage_metadata</t>
        </is>
      </c>
      <c r="K134" s="7" t="inlineStr">
        <is>
          <t>success</t>
        </is>
      </c>
      <c r="L134" s="7" t="inlineStr"/>
      <c r="M134" s="7" t="n">
        <v>62</v>
      </c>
    </row>
    <row r="135" ht="34" customHeight="1">
      <c r="A135" s="7" t="n">
        <v>134</v>
      </c>
      <c r="B135" s="7" t="inlineStr">
        <is>
          <t>2026-07-27T14:54:56Z</t>
        </is>
      </c>
      <c r="C135" s="7" t="inlineStr">
        <is>
          <t>common</t>
        </is>
      </c>
      <c r="D135" s="7" t="inlineStr">
        <is>
          <t>guided_descriptive_prompt</t>
        </is>
      </c>
      <c r="E135" s="7" t="n">
        <v>17</v>
      </c>
      <c r="F135" s="7" t="inlineStr">
        <is>
          <t>gemini-3.5-flash</t>
        </is>
      </c>
      <c r="G135" s="7" t="n">
        <v>450</v>
      </c>
      <c r="H135" s="7" t="n">
        <v>250</v>
      </c>
      <c r="I135" s="7" t="n">
        <v>1613</v>
      </c>
      <c r="J135" s="7" t="inlineStr">
        <is>
          <t>sdk_usage_metadata</t>
        </is>
      </c>
      <c r="K135" s="7" t="inlineStr">
        <is>
          <t>success</t>
        </is>
      </c>
      <c r="L135" s="7" t="inlineStr"/>
      <c r="M135" s="7" t="n">
        <v>63</v>
      </c>
    </row>
    <row r="136" ht="34" customHeight="1">
      <c r="A136" s="7" t="n">
        <v>135</v>
      </c>
      <c r="B136" s="7" t="inlineStr">
        <is>
          <t>2026-07-27T14:55:01Z</t>
        </is>
      </c>
      <c r="C136" s="7" t="inlineStr">
        <is>
          <t>common</t>
        </is>
      </c>
      <c r="D136" s="7" t="inlineStr">
        <is>
          <t>guided_question_set</t>
        </is>
      </c>
      <c r="E136" s="7" t="n">
        <v>17</v>
      </c>
      <c r="F136" s="7" t="inlineStr">
        <is>
          <t>gemini-3.5-flash</t>
        </is>
      </c>
      <c r="G136" s="7" t="n">
        <v>1732</v>
      </c>
      <c r="H136" s="7" t="n">
        <v>271</v>
      </c>
      <c r="I136" s="7" t="n">
        <v>2762</v>
      </c>
      <c r="J136" s="7" t="inlineStr">
        <is>
          <t>sdk_usage_metadata</t>
        </is>
      </c>
      <c r="K136" s="7" t="inlineStr">
        <is>
          <t>success</t>
        </is>
      </c>
      <c r="L136" s="7" t="inlineStr"/>
      <c r="M136" s="7" t="n">
        <v>64</v>
      </c>
    </row>
    <row r="137" ht="34" customHeight="1">
      <c r="A137" s="7" t="n">
        <v>136</v>
      </c>
      <c r="B137" s="7" t="inlineStr">
        <is>
          <t>2026-07-27T14:55:08Z</t>
        </is>
      </c>
      <c r="C137" s="7" t="inlineStr">
        <is>
          <t>common</t>
        </is>
      </c>
      <c r="D137" s="7" t="inlineStr">
        <is>
          <t>guided_causal_engine</t>
        </is>
      </c>
      <c r="E137" s="7" t="n">
        <v>17</v>
      </c>
      <c r="F137" s="7" t="inlineStr">
        <is>
          <t>gemini-3.5-flash</t>
        </is>
      </c>
      <c r="G137" s="7" t="n">
        <v>808</v>
      </c>
      <c r="H137" s="7" t="n">
        <v>163</v>
      </c>
      <c r="I137" s="7" t="n">
        <v>2268</v>
      </c>
      <c r="J137" s="7" t="inlineStr">
        <is>
          <t>sdk_usage_metadata</t>
        </is>
      </c>
      <c r="K137" s="7" t="inlineStr">
        <is>
          <t>success</t>
        </is>
      </c>
      <c r="L137" s="7" t="inlineStr"/>
      <c r="M137" s="7" t="n">
        <v>65</v>
      </c>
    </row>
    <row r="138" ht="34" customHeight="1">
      <c r="A138" s="7" t="n">
        <v>137</v>
      </c>
      <c r="B138" s="7" t="inlineStr">
        <is>
          <t>2026-07-27T14:55:12Z</t>
        </is>
      </c>
      <c r="C138" s="7" t="inlineStr">
        <is>
          <t>vlm_guided</t>
        </is>
      </c>
      <c r="D138" s="7" t="inlineStr">
        <is>
          <t>vlm_guided_scoring</t>
        </is>
      </c>
      <c r="E138" s="7" t="n">
        <v>17</v>
      </c>
      <c r="F138" s="7" t="inlineStr">
        <is>
          <t>gemini-3.5-flash</t>
        </is>
      </c>
      <c r="G138" s="7" t="n">
        <v>958</v>
      </c>
      <c r="H138" s="7" t="n">
        <v>89</v>
      </c>
      <c r="I138" s="7" t="n">
        <v>1586</v>
      </c>
      <c r="J138" s="7" t="inlineStr">
        <is>
          <t>sdk_usage_metadata</t>
        </is>
      </c>
      <c r="K138" s="7" t="inlineStr">
        <is>
          <t>success</t>
        </is>
      </c>
      <c r="L138" s="7" t="inlineStr"/>
      <c r="M138" s="7" t="n">
        <v>23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s>
  <sheetData>
    <row r="1" ht="16" customHeight="1">
      <c r="A1" s="6" t="inlineStr">
        <is>
          <t>window_id</t>
        </is>
      </c>
      <c r="B1" s="6" t="inlineStr">
        <is>
          <t>start_time_s</t>
        </is>
      </c>
      <c r="C1" s="6" t="inlineStr">
        <is>
          <t>end_time_s</t>
        </is>
      </c>
      <c r="D1" s="6" t="inlineStr">
        <is>
          <t>S1_contribution</t>
        </is>
      </c>
      <c r="E1" s="6" t="inlineStr">
        <is>
          <t>S2_contribution</t>
        </is>
      </c>
      <c r="F1" s="6" t="inlineStr">
        <is>
          <t>S3_contribution</t>
        </is>
      </c>
      <c r="G1" s="6" t="inlineStr">
        <is>
          <t>S4_contribution</t>
        </is>
      </c>
      <c r="H1" s="6" t="inlineStr">
        <is>
          <t>S5_contribution</t>
        </is>
      </c>
      <c r="I1" s="6" t="inlineStr">
        <is>
          <t>S6_contribution</t>
        </is>
      </c>
      <c r="J1" s="6" t="inlineStr">
        <is>
          <t>S7_contribution</t>
        </is>
      </c>
      <c r="K1" s="6" t="inlineStr">
        <is>
          <t>S1_contribution_pct</t>
        </is>
      </c>
      <c r="L1" s="6" t="inlineStr">
        <is>
          <t>S2_contribution_pct</t>
        </is>
      </c>
      <c r="M1" s="6" t="inlineStr">
        <is>
          <t>S3_contribution_pct</t>
        </is>
      </c>
      <c r="N1" s="6" t="inlineStr">
        <is>
          <t>S4_contribution_pct</t>
        </is>
      </c>
      <c r="O1" s="6" t="inlineStr">
        <is>
          <t>S5_contribution_pct</t>
        </is>
      </c>
      <c r="P1" s="6" t="inlineStr">
        <is>
          <t>S6_contribution_pct</t>
        </is>
      </c>
      <c r="Q1" s="6" t="inlineStr">
        <is>
          <t>S7_contribution_pct</t>
        </is>
      </c>
      <c r="R1" s="6" t="inlineStr">
        <is>
          <t>instantaneous_risk_score_ahp</t>
        </is>
      </c>
    </row>
    <row r="2" ht="34" customHeight="1">
      <c r="A2" s="7" t="n">
        <v>0</v>
      </c>
      <c r="B2" s="7" t="n">
        <v>0</v>
      </c>
      <c r="C2" s="7" t="n">
        <v>4</v>
      </c>
      <c r="D2" s="7" t="n">
        <v>5.545</v>
      </c>
      <c r="E2" s="7" t="n">
        <v>2.0546</v>
      </c>
      <c r="F2" s="7" t="n">
        <v>1.4763</v>
      </c>
      <c r="G2" s="7" t="n">
        <v>11.8195</v>
      </c>
      <c r="H2" s="7" t="n">
        <v>0.7999000000000001</v>
      </c>
      <c r="I2" s="7" t="n">
        <v>0.9169</v>
      </c>
      <c r="J2" s="7" t="n">
        <v>0.3598</v>
      </c>
      <c r="K2" s="7" t="n">
        <v>24.14</v>
      </c>
      <c r="L2" s="7" t="n">
        <v>8.94</v>
      </c>
      <c r="M2" s="7" t="n">
        <v>6.43</v>
      </c>
      <c r="N2" s="7" t="n">
        <v>51.46</v>
      </c>
      <c r="O2" s="7" t="n">
        <v>3.48</v>
      </c>
      <c r="P2" s="7" t="n">
        <v>3.99</v>
      </c>
      <c r="Q2" s="7" t="n">
        <v>1.57</v>
      </c>
      <c r="R2" s="7" t="n">
        <v>22.97</v>
      </c>
    </row>
    <row r="3" ht="34" customHeight="1">
      <c r="A3" s="7" t="n">
        <v>1</v>
      </c>
      <c r="B3" s="7" t="n">
        <v>2</v>
      </c>
      <c r="C3" s="7" t="n">
        <v>6</v>
      </c>
      <c r="D3" s="7" t="n">
        <v>0</v>
      </c>
      <c r="E3" s="7" t="n">
        <v>0</v>
      </c>
      <c r="F3" s="7" t="n">
        <v>0.1609</v>
      </c>
      <c r="G3" s="7" t="n">
        <v>0.1261</v>
      </c>
      <c r="H3" s="7" t="n">
        <v>0.7999000000000001</v>
      </c>
      <c r="I3" s="7" t="n">
        <v>0.9169</v>
      </c>
      <c r="J3" s="7" t="n">
        <v>0.3598</v>
      </c>
      <c r="K3" s="7" t="n">
        <v>0</v>
      </c>
      <c r="L3" s="7" t="n">
        <v>0</v>
      </c>
      <c r="M3" s="7" t="n">
        <v>6.82</v>
      </c>
      <c r="N3" s="7" t="n">
        <v>5.34</v>
      </c>
      <c r="O3" s="7" t="n">
        <v>33.89</v>
      </c>
      <c r="P3" s="7" t="n">
        <v>38.85</v>
      </c>
      <c r="Q3" s="7" t="n">
        <v>15.25</v>
      </c>
      <c r="R3" s="7" t="n">
        <v>2.36</v>
      </c>
    </row>
    <row r="4" ht="34" customHeight="1">
      <c r="A4" s="7" t="n">
        <v>2</v>
      </c>
      <c r="B4" s="7" t="n">
        <v>4</v>
      </c>
      <c r="C4" s="7" t="n">
        <v>8</v>
      </c>
      <c r="D4" s="7" t="n">
        <v>2.7725</v>
      </c>
      <c r="E4" s="7" t="n">
        <v>2.0546</v>
      </c>
      <c r="F4" s="7" t="n">
        <v>0.1609</v>
      </c>
      <c r="G4" s="7" t="n">
        <v>1.2796</v>
      </c>
      <c r="H4" s="7" t="n">
        <v>0.7999000000000001</v>
      </c>
      <c r="I4" s="7" t="n">
        <v>0.9169</v>
      </c>
      <c r="J4" s="7" t="n">
        <v>0.3598</v>
      </c>
      <c r="K4" s="7" t="n">
        <v>33.24</v>
      </c>
      <c r="L4" s="7" t="n">
        <v>24.64</v>
      </c>
      <c r="M4" s="7" t="n">
        <v>1.93</v>
      </c>
      <c r="N4" s="7" t="n">
        <v>15.34</v>
      </c>
      <c r="O4" s="7" t="n">
        <v>9.59</v>
      </c>
      <c r="P4" s="7" t="n">
        <v>10.99</v>
      </c>
      <c r="Q4" s="7" t="n">
        <v>4.31</v>
      </c>
      <c r="R4" s="7" t="n">
        <v>8.34</v>
      </c>
    </row>
    <row r="5" ht="34" customHeight="1">
      <c r="A5" s="7" t="n">
        <v>3</v>
      </c>
      <c r="B5" s="7" t="n">
        <v>6</v>
      </c>
      <c r="C5" s="7" t="n">
        <v>10</v>
      </c>
      <c r="D5" s="7" t="n">
        <v>2.7725</v>
      </c>
      <c r="E5" s="7" t="n">
        <v>2.0546</v>
      </c>
      <c r="F5" s="7" t="n">
        <v>0.1609</v>
      </c>
      <c r="G5" s="7" t="n">
        <v>0.1261</v>
      </c>
      <c r="H5" s="7" t="n">
        <v>0.7999000000000001</v>
      </c>
      <c r="I5" s="7" t="n">
        <v>0.9169</v>
      </c>
      <c r="J5" s="7" t="n">
        <v>0</v>
      </c>
      <c r="K5" s="7" t="n">
        <v>40.59</v>
      </c>
      <c r="L5" s="7" t="n">
        <v>30.08</v>
      </c>
      <c r="M5" s="7" t="n">
        <v>2.36</v>
      </c>
      <c r="N5" s="7" t="n">
        <v>1.85</v>
      </c>
      <c r="O5" s="7" t="n">
        <v>11.71</v>
      </c>
      <c r="P5" s="7" t="n">
        <v>13.42</v>
      </c>
      <c r="Q5" s="7" t="n">
        <v>0</v>
      </c>
      <c r="R5" s="7" t="n">
        <v>6.83</v>
      </c>
    </row>
    <row r="6" ht="34" customHeight="1">
      <c r="A6" s="7" t="n">
        <v>4</v>
      </c>
      <c r="B6" s="7" t="n">
        <v>8</v>
      </c>
      <c r="C6" s="7" t="n">
        <v>12</v>
      </c>
      <c r="D6" s="7" t="n">
        <v>2.7725</v>
      </c>
      <c r="E6" s="7" t="n">
        <v>2.0546</v>
      </c>
      <c r="F6" s="7" t="n">
        <v>0.1609</v>
      </c>
      <c r="G6" s="7" t="n">
        <v>0.1261</v>
      </c>
      <c r="H6" s="7" t="n">
        <v>0.7999000000000001</v>
      </c>
      <c r="I6" s="7" t="n">
        <v>0.9169</v>
      </c>
      <c r="J6" s="7" t="n">
        <v>0.3598</v>
      </c>
      <c r="K6" s="7" t="n">
        <v>38.56</v>
      </c>
      <c r="L6" s="7" t="n">
        <v>28.58</v>
      </c>
      <c r="M6" s="7" t="n">
        <v>2.24</v>
      </c>
      <c r="N6" s="7" t="n">
        <v>1.75</v>
      </c>
      <c r="O6" s="7" t="n">
        <v>11.13</v>
      </c>
      <c r="P6" s="7" t="n">
        <v>12.75</v>
      </c>
      <c r="Q6" s="7" t="n">
        <v>5</v>
      </c>
      <c r="R6" s="7" t="n">
        <v>7.19</v>
      </c>
    </row>
    <row r="7" ht="34" customHeight="1">
      <c r="A7" s="7" t="n">
        <v>5</v>
      </c>
      <c r="B7" s="7" t="n">
        <v>10</v>
      </c>
      <c r="C7" s="7" t="n">
        <v>14</v>
      </c>
      <c r="D7" s="7" t="n">
        <v>2.7725</v>
      </c>
      <c r="E7" s="7" t="n">
        <v>0</v>
      </c>
      <c r="F7" s="7" t="n">
        <v>0.1609</v>
      </c>
      <c r="G7" s="7" t="n">
        <v>0.1261</v>
      </c>
      <c r="H7" s="7" t="n">
        <v>0</v>
      </c>
      <c r="I7" s="7" t="n">
        <v>0.9169</v>
      </c>
      <c r="J7" s="7" t="n">
        <v>0</v>
      </c>
      <c r="K7" s="7" t="n">
        <v>69.66</v>
      </c>
      <c r="L7" s="7" t="n">
        <v>0</v>
      </c>
      <c r="M7" s="7" t="n">
        <v>4.04</v>
      </c>
      <c r="N7" s="7" t="n">
        <v>3.17</v>
      </c>
      <c r="O7" s="7" t="n">
        <v>0</v>
      </c>
      <c r="P7" s="7" t="n">
        <v>23.04</v>
      </c>
      <c r="Q7" s="7" t="n">
        <v>0</v>
      </c>
      <c r="R7" s="7" t="n">
        <v>3.98</v>
      </c>
    </row>
    <row r="8" ht="34" customHeight="1">
      <c r="A8" s="7" t="n">
        <v>6</v>
      </c>
      <c r="B8" s="7" t="n">
        <v>12</v>
      </c>
      <c r="C8" s="7" t="n">
        <v>16</v>
      </c>
      <c r="D8" s="7" t="n">
        <v>5.545</v>
      </c>
      <c r="E8" s="7" t="n">
        <v>2.0546</v>
      </c>
      <c r="F8" s="7" t="n">
        <v>0.1609</v>
      </c>
      <c r="G8" s="7" t="n">
        <v>2.1824</v>
      </c>
      <c r="H8" s="7" t="n">
        <v>0.7999000000000001</v>
      </c>
      <c r="I8" s="7" t="n">
        <v>0.9169</v>
      </c>
      <c r="J8" s="7" t="n">
        <v>0</v>
      </c>
      <c r="K8" s="7" t="n">
        <v>47.56</v>
      </c>
      <c r="L8" s="7" t="n">
        <v>17.62</v>
      </c>
      <c r="M8" s="7" t="n">
        <v>1.38</v>
      </c>
      <c r="N8" s="7" t="n">
        <v>18.72</v>
      </c>
      <c r="O8" s="7" t="n">
        <v>6.86</v>
      </c>
      <c r="P8" s="7" t="n">
        <v>7.86</v>
      </c>
      <c r="Q8" s="7" t="n">
        <v>0</v>
      </c>
      <c r="R8" s="7" t="n">
        <v>11.66</v>
      </c>
    </row>
    <row r="9" ht="34" customHeight="1">
      <c r="A9" s="7" t="n">
        <v>7</v>
      </c>
      <c r="B9" s="7" t="n">
        <v>14</v>
      </c>
      <c r="C9" s="7" t="n">
        <v>18</v>
      </c>
      <c r="D9" s="7" t="n">
        <v>2.7725</v>
      </c>
      <c r="E9" s="7" t="n">
        <v>2.0546</v>
      </c>
      <c r="F9" s="7" t="n">
        <v>0.1609</v>
      </c>
      <c r="G9" s="7" t="n">
        <v>2.1824</v>
      </c>
      <c r="H9" s="7" t="n">
        <v>0</v>
      </c>
      <c r="I9" s="7" t="n">
        <v>0.9169</v>
      </c>
      <c r="J9" s="7" t="n">
        <v>0</v>
      </c>
      <c r="K9" s="7" t="n">
        <v>34.27</v>
      </c>
      <c r="L9" s="7" t="n">
        <v>25.4</v>
      </c>
      <c r="M9" s="7" t="n">
        <v>1.99</v>
      </c>
      <c r="N9" s="7" t="n">
        <v>26.98</v>
      </c>
      <c r="O9" s="7" t="n">
        <v>0</v>
      </c>
      <c r="P9" s="7" t="n">
        <v>11.33</v>
      </c>
      <c r="Q9" s="7" t="n">
        <v>0</v>
      </c>
      <c r="R9" s="7" t="n">
        <v>8.09</v>
      </c>
    </row>
    <row r="10" ht="34" customHeight="1">
      <c r="A10" s="7" t="n">
        <v>8</v>
      </c>
      <c r="B10" s="7" t="n">
        <v>16</v>
      </c>
      <c r="C10" s="7" t="n">
        <v>20</v>
      </c>
      <c r="D10" s="7" t="n">
        <v>5.545</v>
      </c>
      <c r="E10" s="7" t="n">
        <v>2.0546</v>
      </c>
      <c r="F10" s="7" t="n">
        <v>1.4763</v>
      </c>
      <c r="G10" s="7" t="n">
        <v>2.1824</v>
      </c>
      <c r="H10" s="7" t="n">
        <v>0.7999000000000001</v>
      </c>
      <c r="I10" s="7" t="n">
        <v>0.9169</v>
      </c>
      <c r="J10" s="7" t="n">
        <v>0.3598</v>
      </c>
      <c r="K10" s="7" t="n">
        <v>41.6</v>
      </c>
      <c r="L10" s="7" t="n">
        <v>15.41</v>
      </c>
      <c r="M10" s="7" t="n">
        <v>11.08</v>
      </c>
      <c r="N10" s="7" t="n">
        <v>16.37</v>
      </c>
      <c r="O10" s="7" t="n">
        <v>6</v>
      </c>
      <c r="P10" s="7" t="n">
        <v>6.88</v>
      </c>
      <c r="Q10" s="7" t="n">
        <v>2.7</v>
      </c>
      <c r="R10" s="7" t="n">
        <v>13.33</v>
      </c>
    </row>
    <row r="11" ht="34" customHeight="1">
      <c r="A11" s="7" t="n">
        <v>9</v>
      </c>
      <c r="B11" s="7" t="n">
        <v>18</v>
      </c>
      <c r="C11" s="7" t="n">
        <v>22</v>
      </c>
      <c r="D11" s="7" t="n">
        <v>5.545</v>
      </c>
      <c r="E11" s="7" t="n">
        <v>2.0546</v>
      </c>
      <c r="F11" s="7" t="n">
        <v>1.4763</v>
      </c>
      <c r="G11" s="7" t="n">
        <v>11.8195</v>
      </c>
      <c r="H11" s="7" t="n">
        <v>0.7999000000000001</v>
      </c>
      <c r="I11" s="7" t="n">
        <v>0.9169</v>
      </c>
      <c r="J11" s="7" t="n">
        <v>0.3598</v>
      </c>
      <c r="K11" s="7" t="n">
        <v>24.14</v>
      </c>
      <c r="L11" s="7" t="n">
        <v>8.94</v>
      </c>
      <c r="M11" s="7" t="n">
        <v>6.43</v>
      </c>
      <c r="N11" s="7" t="n">
        <v>51.46</v>
      </c>
      <c r="O11" s="7" t="n">
        <v>3.48</v>
      </c>
      <c r="P11" s="7" t="n">
        <v>3.99</v>
      </c>
      <c r="Q11" s="7" t="n">
        <v>1.57</v>
      </c>
      <c r="R11" s="7" t="n">
        <v>22.97</v>
      </c>
    </row>
    <row r="12" ht="34" customHeight="1">
      <c r="A12" s="7" t="n">
        <v>10</v>
      </c>
      <c r="B12" s="7" t="n">
        <v>20</v>
      </c>
      <c r="C12" s="7" t="n">
        <v>24</v>
      </c>
      <c r="D12" s="7" t="n">
        <v>5.545</v>
      </c>
      <c r="E12" s="7" t="n">
        <v>2.0546</v>
      </c>
      <c r="F12" s="7" t="n">
        <v>0.1609</v>
      </c>
      <c r="G12" s="7" t="n">
        <v>2.1824</v>
      </c>
      <c r="H12" s="7" t="n">
        <v>0.7999000000000001</v>
      </c>
      <c r="I12" s="7" t="n">
        <v>0.9169</v>
      </c>
      <c r="J12" s="7" t="n">
        <v>0</v>
      </c>
      <c r="K12" s="7" t="n">
        <v>47.56</v>
      </c>
      <c r="L12" s="7" t="n">
        <v>17.62</v>
      </c>
      <c r="M12" s="7" t="n">
        <v>1.38</v>
      </c>
      <c r="N12" s="7" t="n">
        <v>18.72</v>
      </c>
      <c r="O12" s="7" t="n">
        <v>6.86</v>
      </c>
      <c r="P12" s="7" t="n">
        <v>7.86</v>
      </c>
      <c r="Q12" s="7" t="n">
        <v>0</v>
      </c>
      <c r="R12" s="7" t="n">
        <v>11.66</v>
      </c>
    </row>
    <row r="13" ht="34" customHeight="1">
      <c r="A13" s="7" t="n">
        <v>11</v>
      </c>
      <c r="B13" s="7" t="n">
        <v>22</v>
      </c>
      <c r="C13" s="7" t="n">
        <v>26</v>
      </c>
      <c r="D13" s="7" t="n">
        <v>8.317500000000001</v>
      </c>
      <c r="E13" s="7" t="n">
        <v>3.0251</v>
      </c>
      <c r="F13" s="7" t="n">
        <v>4.4886</v>
      </c>
      <c r="G13" s="7" t="n">
        <v>11.8195</v>
      </c>
      <c r="H13" s="7" t="n">
        <v>0.7999000000000001</v>
      </c>
      <c r="I13" s="7" t="n">
        <v>0.9169</v>
      </c>
      <c r="J13" s="7" t="n">
        <v>0</v>
      </c>
      <c r="K13" s="7" t="n">
        <v>28.32</v>
      </c>
      <c r="L13" s="7" t="n">
        <v>10.3</v>
      </c>
      <c r="M13" s="7" t="n">
        <v>15.28</v>
      </c>
      <c r="N13" s="7" t="n">
        <v>40.24</v>
      </c>
      <c r="O13" s="7" t="n">
        <v>2.72</v>
      </c>
      <c r="P13" s="7" t="n">
        <v>3.12</v>
      </c>
      <c r="Q13" s="7" t="n">
        <v>0</v>
      </c>
      <c r="R13" s="7" t="n">
        <v>29.37</v>
      </c>
    </row>
    <row r="14" ht="34" customHeight="1">
      <c r="A14" s="7" t="n">
        <v>12</v>
      </c>
      <c r="B14" s="7" t="n">
        <v>24</v>
      </c>
      <c r="C14" s="7" t="n">
        <v>28</v>
      </c>
      <c r="D14" s="7" t="n">
        <v>8.317500000000001</v>
      </c>
      <c r="E14" s="7" t="n">
        <v>3.0251</v>
      </c>
      <c r="F14" s="7" t="n">
        <v>4.4886</v>
      </c>
      <c r="G14" s="7" t="n">
        <v>15.1524</v>
      </c>
      <c r="H14" s="7" t="n">
        <v>22.28</v>
      </c>
      <c r="I14" s="7" t="n">
        <v>0.9169</v>
      </c>
      <c r="J14" s="7" t="n">
        <v>0</v>
      </c>
      <c r="K14" s="7" t="n">
        <v>15.35</v>
      </c>
      <c r="L14" s="7" t="n">
        <v>5.58</v>
      </c>
      <c r="M14" s="7" t="n">
        <v>8.279999999999999</v>
      </c>
      <c r="N14" s="7" t="n">
        <v>27.97</v>
      </c>
      <c r="O14" s="7" t="n">
        <v>41.12</v>
      </c>
      <c r="P14" s="7" t="n">
        <v>1.69</v>
      </c>
      <c r="Q14" s="7" t="n">
        <v>0</v>
      </c>
      <c r="R14" s="7" t="n">
        <v>54.18</v>
      </c>
    </row>
    <row r="15" ht="34" customHeight="1">
      <c r="A15" s="7" t="n">
        <v>13</v>
      </c>
      <c r="B15" s="7" t="n">
        <v>26</v>
      </c>
      <c r="C15" s="7" t="n">
        <v>30</v>
      </c>
      <c r="D15" s="7" t="n">
        <v>5.545</v>
      </c>
      <c r="E15" s="7" t="n">
        <v>3.4835</v>
      </c>
      <c r="F15" s="7" t="n">
        <v>1.4763</v>
      </c>
      <c r="G15" s="7" t="n">
        <v>2.1824</v>
      </c>
      <c r="H15" s="7" t="n">
        <v>22.28</v>
      </c>
      <c r="I15" s="7" t="n">
        <v>0.9169</v>
      </c>
      <c r="J15" s="7" t="n">
        <v>0</v>
      </c>
      <c r="K15" s="7" t="n">
        <v>15.45</v>
      </c>
      <c r="L15" s="7" t="n">
        <v>9.710000000000001</v>
      </c>
      <c r="M15" s="7" t="n">
        <v>4.11</v>
      </c>
      <c r="N15" s="7" t="n">
        <v>6.08</v>
      </c>
      <c r="O15" s="7" t="n">
        <v>62.1</v>
      </c>
      <c r="P15" s="7" t="n">
        <v>2.56</v>
      </c>
      <c r="Q15" s="7" t="n">
        <v>0</v>
      </c>
      <c r="R15" s="7" t="n">
        <v>35.88</v>
      </c>
    </row>
    <row r="16" ht="34" customHeight="1">
      <c r="A16" s="7" t="n">
        <v>14</v>
      </c>
      <c r="B16" s="7" t="n">
        <v>28</v>
      </c>
      <c r="C16" s="7" t="n">
        <v>32</v>
      </c>
      <c r="D16" s="7" t="n">
        <v>0</v>
      </c>
      <c r="E16" s="7" t="n">
        <v>3.0251</v>
      </c>
      <c r="F16" s="7" t="n">
        <v>0.1609</v>
      </c>
      <c r="G16" s="7" t="n">
        <v>15.1524</v>
      </c>
      <c r="H16" s="7" t="n">
        <v>22.28</v>
      </c>
      <c r="I16" s="7" t="n">
        <v>0.9169</v>
      </c>
      <c r="J16" s="7" t="n">
        <v>0</v>
      </c>
      <c r="K16" s="7" t="n">
        <v>0</v>
      </c>
      <c r="L16" s="7" t="n">
        <v>7.28</v>
      </c>
      <c r="M16" s="7" t="n">
        <v>0.39</v>
      </c>
      <c r="N16" s="7" t="n">
        <v>36.48</v>
      </c>
      <c r="O16" s="7" t="n">
        <v>53.64</v>
      </c>
      <c r="P16" s="7" t="n">
        <v>2.21</v>
      </c>
      <c r="Q16" s="7" t="n">
        <v>0</v>
      </c>
      <c r="R16" s="7" t="n">
        <v>41.54</v>
      </c>
    </row>
    <row r="17" ht="34" customHeight="1">
      <c r="A17" s="7" t="n">
        <v>15</v>
      </c>
      <c r="B17" s="7" t="n">
        <v>30</v>
      </c>
      <c r="C17" s="7" t="n">
        <v>34</v>
      </c>
      <c r="D17" s="7" t="n">
        <v>0</v>
      </c>
      <c r="E17" s="7" t="n">
        <v>3.0251</v>
      </c>
      <c r="F17" s="7" t="n">
        <v>0.1609</v>
      </c>
      <c r="G17" s="7" t="n">
        <v>0.1261</v>
      </c>
      <c r="H17" s="7" t="n">
        <v>22.28</v>
      </c>
      <c r="I17" s="7" t="n">
        <v>0.9169</v>
      </c>
      <c r="J17" s="7" t="n">
        <v>0</v>
      </c>
      <c r="K17" s="7" t="n">
        <v>0</v>
      </c>
      <c r="L17" s="7" t="n">
        <v>11.41</v>
      </c>
      <c r="M17" s="7" t="n">
        <v>0.61</v>
      </c>
      <c r="N17" s="7" t="n">
        <v>0.48</v>
      </c>
      <c r="O17" s="7" t="n">
        <v>84.04000000000001</v>
      </c>
      <c r="P17" s="7" t="n">
        <v>3.46</v>
      </c>
      <c r="Q17" s="7" t="n">
        <v>0</v>
      </c>
      <c r="R17" s="7" t="n">
        <v>26.51</v>
      </c>
    </row>
    <row r="18" ht="34" customHeight="1">
      <c r="A18" s="7" t="n">
        <v>16</v>
      </c>
      <c r="B18" s="7" t="n">
        <v>32</v>
      </c>
      <c r="C18" s="7" t="n">
        <v>35.867</v>
      </c>
      <c r="D18" s="7" t="n">
        <v>0</v>
      </c>
      <c r="E18" s="7" t="n">
        <v>2.0546</v>
      </c>
      <c r="F18" s="7" t="n">
        <v>0.1609</v>
      </c>
      <c r="G18" s="7" t="n">
        <v>0.1261</v>
      </c>
      <c r="H18" s="7" t="n">
        <v>11.1712</v>
      </c>
      <c r="I18" s="7" t="n">
        <v>0.9169</v>
      </c>
      <c r="J18" s="7" t="n">
        <v>0</v>
      </c>
      <c r="K18" s="7" t="n">
        <v>0</v>
      </c>
      <c r="L18" s="7" t="n">
        <v>14.24</v>
      </c>
      <c r="M18" s="7" t="n">
        <v>1.12</v>
      </c>
      <c r="N18" s="7" t="n">
        <v>0.87</v>
      </c>
      <c r="O18" s="7" t="n">
        <v>77.42</v>
      </c>
      <c r="P18" s="7" t="n">
        <v>6.35</v>
      </c>
      <c r="Q18" s="7" t="n">
        <v>0</v>
      </c>
      <c r="R18" s="7" t="n">
        <v>14.43</v>
      </c>
    </row>
    <row r="19" ht="34" customHeight="1">
      <c r="A19" s="7" t="n">
        <v>17</v>
      </c>
      <c r="B19" s="7" t="n">
        <v>34</v>
      </c>
      <c r="C19" s="7" t="n">
        <v>35.867</v>
      </c>
      <c r="D19" s="7" t="n">
        <v>0</v>
      </c>
      <c r="E19" s="7" t="n">
        <v>2.0546</v>
      </c>
      <c r="F19" s="7" t="n">
        <v>0.1609</v>
      </c>
      <c r="G19" s="7" t="n">
        <v>0.1261</v>
      </c>
      <c r="H19" s="7" t="n">
        <v>0</v>
      </c>
      <c r="I19" s="7" t="n">
        <v>0.9169</v>
      </c>
      <c r="J19" s="7" t="n">
        <v>0</v>
      </c>
      <c r="K19" s="7" t="n">
        <v>0</v>
      </c>
      <c r="L19" s="7" t="n">
        <v>63.02</v>
      </c>
      <c r="M19" s="7" t="n">
        <v>4.94</v>
      </c>
      <c r="N19" s="7" t="n">
        <v>3.87</v>
      </c>
      <c r="O19" s="7" t="n">
        <v>0</v>
      </c>
      <c r="P19" s="7" t="n">
        <v>28.13</v>
      </c>
      <c r="Q19" s="7" t="n">
        <v>0</v>
      </c>
      <c r="R19" s="7" t="n">
        <v>3.26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7"/>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10" customWidth="1" min="4" max="4"/>
    <col width="12" customWidth="1" min="5" max="5"/>
    <col width="6" customWidth="1" min="6" max="6"/>
    <col width="12" customWidth="1" min="7" max="7"/>
    <col width="7" customWidth="1" min="8" max="8"/>
    <col width="12" customWidth="1" min="9" max="9"/>
    <col width="12" customWidth="1" min="10" max="10"/>
  </cols>
  <sheetData>
    <row r="1" ht="16" customHeight="1">
      <c r="A1" s="6" t="inlineStr">
        <is>
          <t>window_id</t>
        </is>
      </c>
      <c r="B1" s="6" t="inlineStr">
        <is>
          <t>start_time_s</t>
        </is>
      </c>
      <c r="C1" s="6" t="inlineStr">
        <is>
          <t>end_time_s</t>
        </is>
      </c>
      <c r="D1" s="6" t="inlineStr">
        <is>
          <t>risk_code</t>
        </is>
      </c>
      <c r="E1" s="6" t="inlineStr">
        <is>
          <t>risk_label</t>
        </is>
      </c>
      <c r="F1" s="6" t="inlineStr">
        <is>
          <t>raw</t>
        </is>
      </c>
      <c r="G1" s="6" t="inlineStr">
        <is>
          <t>transformed</t>
        </is>
      </c>
      <c r="H1" s="6" t="inlineStr">
        <is>
          <t>weight</t>
        </is>
      </c>
      <c r="I1" s="6" t="inlineStr">
        <is>
          <t>contribution</t>
        </is>
      </c>
      <c r="J1" s="6" t="inlineStr">
        <is>
          <t>contribution_pct</t>
        </is>
      </c>
    </row>
    <row r="2" ht="34" customHeight="1">
      <c r="A2" s="7" t="n">
        <v>0</v>
      </c>
      <c r="B2" s="7" t="n">
        <v>0</v>
      </c>
      <c r="C2" s="7" t="n">
        <v>4</v>
      </c>
      <c r="D2" s="7" t="inlineStr">
        <is>
          <t>S1</t>
        </is>
      </c>
      <c r="E2" s="7" t="inlineStr">
        <is>
          <t>Interferenza tra persone e mezzi di movimentazione negli spazi comuni</t>
        </is>
      </c>
      <c r="F2" s="7" t="n">
        <v>0.5</v>
      </c>
      <c r="G2" s="7" t="n">
        <v>0.5</v>
      </c>
      <c r="H2" s="7" t="n">
        <v>0.1109</v>
      </c>
      <c r="I2" s="7" t="n">
        <v>5.545</v>
      </c>
      <c r="J2" s="7" t="n">
        <v>24.14</v>
      </c>
    </row>
    <row r="3" ht="34" customHeight="1">
      <c r="A3" s="7" t="n">
        <v>0</v>
      </c>
      <c r="B3" s="7" t="n">
        <v>0</v>
      </c>
      <c r="C3" s="7" t="n">
        <v>4</v>
      </c>
      <c r="D3" s="7" t="inlineStr">
        <is>
          <t>S2</t>
        </is>
      </c>
      <c r="E3" s="7" t="inlineStr">
        <is>
          <t>Riduzione della visibilità durante lo svolgimento di un'attività</t>
        </is>
      </c>
      <c r="F3" s="7" t="n">
        <v>0.25</v>
      </c>
      <c r="G3" s="7" t="n">
        <v>0.5553</v>
      </c>
      <c r="H3" s="7" t="n">
        <v>0.037</v>
      </c>
      <c r="I3" s="7" t="n">
        <v>2.0546</v>
      </c>
      <c r="J3" s="7" t="n">
        <v>8.94</v>
      </c>
    </row>
    <row r="4" ht="34" customHeight="1">
      <c r="A4" s="7" t="n">
        <v>0</v>
      </c>
      <c r="B4" s="7" t="n">
        <v>0</v>
      </c>
      <c r="C4" s="7" t="n">
        <v>4</v>
      </c>
      <c r="D4" s="7" t="inlineStr">
        <is>
          <t>S3</t>
        </is>
      </c>
      <c r="E4" s="7" t="inlineStr">
        <is>
          <t>Comportamenti non conformi durante lo svolgimento di un'attività</t>
        </is>
      </c>
      <c r="F4" s="7" t="n">
        <v>0.25</v>
      </c>
      <c r="G4" s="7" t="n">
        <v>0.2689</v>
      </c>
      <c r="H4" s="7" t="n">
        <v>0.0549</v>
      </c>
      <c r="I4" s="7" t="n">
        <v>1.4763</v>
      </c>
      <c r="J4" s="7" t="n">
        <v>6.43</v>
      </c>
    </row>
    <row r="5" ht="34" customHeight="1">
      <c r="A5" s="7" t="n">
        <v>0</v>
      </c>
      <c r="B5" s="7" t="n">
        <v>0</v>
      </c>
      <c r="C5" s="7" t="n">
        <v>4</v>
      </c>
      <c r="D5" s="7" t="inlineStr">
        <is>
          <t>S4</t>
        </is>
      </c>
      <c r="E5" s="7" t="inlineStr">
        <is>
          <t>Interferenza tra mezzo e infrastrutture interne all'impianto</t>
        </is>
      </c>
      <c r="F5" s="7" t="n">
        <v>0.5</v>
      </c>
      <c r="G5" s="7" t="n">
        <v>0.7685</v>
      </c>
      <c r="H5" s="7" t="n">
        <v>0.1538</v>
      </c>
      <c r="I5" s="7" t="n">
        <v>11.8195</v>
      </c>
      <c r="J5" s="7" t="n">
        <v>51.46</v>
      </c>
    </row>
    <row r="6" ht="34" customHeight="1">
      <c r="A6" s="7" t="n">
        <v>0</v>
      </c>
      <c r="B6" s="7" t="n">
        <v>0</v>
      </c>
      <c r="C6" s="7" t="n">
        <v>4</v>
      </c>
      <c r="D6" s="7" t="inlineStr">
        <is>
          <t>S5</t>
        </is>
      </c>
      <c r="E6" s="7" t="inlineStr">
        <is>
          <t>Instabilità di elementi strutturali o di stoccaggio soggetti a urto o sovraccarico</t>
        </is>
      </c>
      <c r="F6" s="7" t="n">
        <v>0.25</v>
      </c>
      <c r="G6" s="7" t="n">
        <v>0.0359</v>
      </c>
      <c r="H6" s="7" t="n">
        <v>0.2228</v>
      </c>
      <c r="I6" s="7" t="n">
        <v>0.7999000000000001</v>
      </c>
      <c r="J6" s="7" t="n">
        <v>3.48</v>
      </c>
    </row>
    <row r="7" ht="34" customHeight="1">
      <c r="A7" s="7" t="n">
        <v>0</v>
      </c>
      <c r="B7" s="7" t="n">
        <v>0</v>
      </c>
      <c r="C7" s="7" t="n">
        <v>4</v>
      </c>
      <c r="D7" s="7" t="inlineStr">
        <is>
          <t>S6</t>
        </is>
      </c>
      <c r="E7" s="7" t="inlineStr">
        <is>
          <t>Accesso a organi meccanici in movimento durante operazioni manuali</t>
        </is>
      </c>
      <c r="F7" s="7" t="n">
        <v>0</v>
      </c>
      <c r="G7" s="7" t="n">
        <v>0.0266</v>
      </c>
      <c r="H7" s="7" t="n">
        <v>0.3447</v>
      </c>
      <c r="I7" s="7" t="n">
        <v>0.9169</v>
      </c>
      <c r="J7" s="7" t="n">
        <v>3.99</v>
      </c>
    </row>
    <row r="8" ht="34" customHeight="1">
      <c r="A8" s="7" t="n">
        <v>0</v>
      </c>
      <c r="B8" s="7" t="n">
        <v>0</v>
      </c>
      <c r="C8" s="7" t="n">
        <v>4</v>
      </c>
      <c r="D8" s="7" t="inlineStr">
        <is>
          <t>S7</t>
        </is>
      </c>
      <c r="E8" s="7" t="inlineStr">
        <is>
          <t>Movimentazione manuale di carichi pesanti o instabili senza ausili meccanici adeguati</t>
        </is>
      </c>
      <c r="F8" s="7" t="n">
        <v>0.25</v>
      </c>
      <c r="G8" s="7" t="n">
        <v>0.0474</v>
      </c>
      <c r="H8" s="7" t="n">
        <v>0.0759</v>
      </c>
      <c r="I8" s="7" t="n">
        <v>0.3598</v>
      </c>
      <c r="J8" s="7" t="n">
        <v>1.57</v>
      </c>
    </row>
    <row r="9" ht="34" customHeight="1">
      <c r="A9" s="7" t="n">
        <v>1</v>
      </c>
      <c r="B9" s="7" t="n">
        <v>2</v>
      </c>
      <c r="C9" s="7" t="n">
        <v>6</v>
      </c>
      <c r="D9" s="7" t="inlineStr">
        <is>
          <t>S1</t>
        </is>
      </c>
      <c r="E9" s="7" t="inlineStr">
        <is>
          <t>Interferenza tra persone e mezzi di movimentazione negli spazi comuni</t>
        </is>
      </c>
      <c r="F9" s="7" t="n">
        <v>0</v>
      </c>
      <c r="G9" s="7" t="n">
        <v>0</v>
      </c>
      <c r="H9" s="7" t="n">
        <v>0.1109</v>
      </c>
      <c r="I9" s="7" t="n">
        <v>0</v>
      </c>
      <c r="J9" s="7" t="n">
        <v>0</v>
      </c>
    </row>
    <row r="10" ht="34" customHeight="1">
      <c r="A10" s="7" t="n">
        <v>1</v>
      </c>
      <c r="B10" s="7" t="n">
        <v>2</v>
      </c>
      <c r="C10" s="7" t="n">
        <v>6</v>
      </c>
      <c r="D10" s="7" t="inlineStr">
        <is>
          <t>S2</t>
        </is>
      </c>
      <c r="E10" s="7" t="inlineStr">
        <is>
          <t>Riduzione della visibilità durante lo svolgimento di un'attività</t>
        </is>
      </c>
      <c r="F10" s="7" t="n">
        <v>0</v>
      </c>
      <c r="G10" s="7" t="n">
        <v>0</v>
      </c>
      <c r="H10" s="7" t="n">
        <v>0.037</v>
      </c>
      <c r="I10" s="7" t="n">
        <v>0</v>
      </c>
      <c r="J10" s="7" t="n">
        <v>0</v>
      </c>
    </row>
    <row r="11" ht="34" customHeight="1">
      <c r="A11" s="7" t="n">
        <v>1</v>
      </c>
      <c r="B11" s="7" t="n">
        <v>2</v>
      </c>
      <c r="C11" s="7" t="n">
        <v>6</v>
      </c>
      <c r="D11" s="7" t="inlineStr">
        <is>
          <t>S3</t>
        </is>
      </c>
      <c r="E11" s="7" t="inlineStr">
        <is>
          <t>Comportamenti non conformi durante lo svolgimento di un'attività</t>
        </is>
      </c>
      <c r="F11" s="7" t="n">
        <v>0</v>
      </c>
      <c r="G11" s="7" t="n">
        <v>0.0293</v>
      </c>
      <c r="H11" s="7" t="n">
        <v>0.0549</v>
      </c>
      <c r="I11" s="7" t="n">
        <v>0.1609</v>
      </c>
      <c r="J11" s="7" t="n">
        <v>6.82</v>
      </c>
    </row>
    <row r="12" ht="34" customHeight="1">
      <c r="A12" s="7" t="n">
        <v>1</v>
      </c>
      <c r="B12" s="7" t="n">
        <v>2</v>
      </c>
      <c r="C12" s="7" t="n">
        <v>6</v>
      </c>
      <c r="D12" s="7" t="inlineStr">
        <is>
          <t>S4</t>
        </is>
      </c>
      <c r="E12" s="7" t="inlineStr">
        <is>
          <t>Interferenza tra mezzo e infrastrutture interne all'impianto</t>
        </is>
      </c>
      <c r="F12" s="7" t="n">
        <v>0</v>
      </c>
      <c r="G12" s="7" t="n">
        <v>0.008200000000000001</v>
      </c>
      <c r="H12" s="7" t="n">
        <v>0.1538</v>
      </c>
      <c r="I12" s="7" t="n">
        <v>0.1261</v>
      </c>
      <c r="J12" s="7" t="n">
        <v>5.34</v>
      </c>
    </row>
    <row r="13" ht="34" customHeight="1">
      <c r="A13" s="7" t="n">
        <v>1</v>
      </c>
      <c r="B13" s="7" t="n">
        <v>2</v>
      </c>
      <c r="C13" s="7" t="n">
        <v>6</v>
      </c>
      <c r="D13" s="7" t="inlineStr">
        <is>
          <t>S5</t>
        </is>
      </c>
      <c r="E13" s="7" t="inlineStr">
        <is>
          <t>Instabilità di elementi strutturali o di stoccaggio soggetti a urto o sovraccarico</t>
        </is>
      </c>
      <c r="F13" s="7" t="n">
        <v>0.25</v>
      </c>
      <c r="G13" s="7" t="n">
        <v>0.0359</v>
      </c>
      <c r="H13" s="7" t="n">
        <v>0.2228</v>
      </c>
      <c r="I13" s="7" t="n">
        <v>0.7999000000000001</v>
      </c>
      <c r="J13" s="7" t="n">
        <v>33.89</v>
      </c>
    </row>
    <row r="14" ht="34" customHeight="1">
      <c r="A14" s="7" t="n">
        <v>1</v>
      </c>
      <c r="B14" s="7" t="n">
        <v>2</v>
      </c>
      <c r="C14" s="7" t="n">
        <v>6</v>
      </c>
      <c r="D14" s="7" t="inlineStr">
        <is>
          <t>S6</t>
        </is>
      </c>
      <c r="E14" s="7" t="inlineStr">
        <is>
          <t>Accesso a organi meccanici in movimento durante operazioni manuali</t>
        </is>
      </c>
      <c r="F14" s="7" t="n">
        <v>0</v>
      </c>
      <c r="G14" s="7" t="n">
        <v>0.0266</v>
      </c>
      <c r="H14" s="7" t="n">
        <v>0.3447</v>
      </c>
      <c r="I14" s="7" t="n">
        <v>0.9169</v>
      </c>
      <c r="J14" s="7" t="n">
        <v>38.85</v>
      </c>
    </row>
    <row r="15" ht="34" customHeight="1">
      <c r="A15" s="7" t="n">
        <v>1</v>
      </c>
      <c r="B15" s="7" t="n">
        <v>2</v>
      </c>
      <c r="C15" s="7" t="n">
        <v>6</v>
      </c>
      <c r="D15" s="7" t="inlineStr">
        <is>
          <t>S7</t>
        </is>
      </c>
      <c r="E15" s="7" t="inlineStr">
        <is>
          <t>Movimentazione manuale di carichi pesanti o instabili senza ausili meccanici adeguati</t>
        </is>
      </c>
      <c r="F15" s="7" t="n">
        <v>0.25</v>
      </c>
      <c r="G15" s="7" t="n">
        <v>0.0474</v>
      </c>
      <c r="H15" s="7" t="n">
        <v>0.0759</v>
      </c>
      <c r="I15" s="7" t="n">
        <v>0.3598</v>
      </c>
      <c r="J15" s="7" t="n">
        <v>15.25</v>
      </c>
    </row>
    <row r="16" ht="34" customHeight="1">
      <c r="A16" s="7" t="n">
        <v>2</v>
      </c>
      <c r="B16" s="7" t="n">
        <v>4</v>
      </c>
      <c r="C16" s="7" t="n">
        <v>8</v>
      </c>
      <c r="D16" s="7" t="inlineStr">
        <is>
          <t>S1</t>
        </is>
      </c>
      <c r="E16" s="7" t="inlineStr">
        <is>
          <t>Interferenza tra persone e mezzi di movimentazione negli spazi comuni</t>
        </is>
      </c>
      <c r="F16" s="7" t="n">
        <v>0.25</v>
      </c>
      <c r="G16" s="7" t="n">
        <v>0.25</v>
      </c>
      <c r="H16" s="7" t="n">
        <v>0.1109</v>
      </c>
      <c r="I16" s="7" t="n">
        <v>2.7725</v>
      </c>
      <c r="J16" s="7" t="n">
        <v>33.24</v>
      </c>
    </row>
    <row r="17" ht="34" customHeight="1">
      <c r="A17" s="7" t="n">
        <v>2</v>
      </c>
      <c r="B17" s="7" t="n">
        <v>4</v>
      </c>
      <c r="C17" s="7" t="n">
        <v>8</v>
      </c>
      <c r="D17" s="7" t="inlineStr">
        <is>
          <t>S2</t>
        </is>
      </c>
      <c r="E17" s="7" t="inlineStr">
        <is>
          <t>Riduzione della visibilità durante lo svolgimento di un'attività</t>
        </is>
      </c>
      <c r="F17" s="7" t="n">
        <v>0.25</v>
      </c>
      <c r="G17" s="7" t="n">
        <v>0.5553</v>
      </c>
      <c r="H17" s="7" t="n">
        <v>0.037</v>
      </c>
      <c r="I17" s="7" t="n">
        <v>2.0546</v>
      </c>
      <c r="J17" s="7" t="n">
        <v>24.64</v>
      </c>
    </row>
    <row r="18" ht="34" customHeight="1">
      <c r="A18" s="7" t="n">
        <v>2</v>
      </c>
      <c r="B18" s="7" t="n">
        <v>4</v>
      </c>
      <c r="C18" s="7" t="n">
        <v>8</v>
      </c>
      <c r="D18" s="7" t="inlineStr">
        <is>
          <t>S3</t>
        </is>
      </c>
      <c r="E18" s="7" t="inlineStr">
        <is>
          <t>Comportamenti non conformi durante lo svolgimento di un'attività</t>
        </is>
      </c>
      <c r="F18" s="7" t="n">
        <v>0</v>
      </c>
      <c r="G18" s="7" t="n">
        <v>0.0293</v>
      </c>
      <c r="H18" s="7" t="n">
        <v>0.0549</v>
      </c>
      <c r="I18" s="7" t="n">
        <v>0.1609</v>
      </c>
      <c r="J18" s="7" t="n">
        <v>1.93</v>
      </c>
    </row>
    <row r="19" ht="34" customHeight="1">
      <c r="A19" s="7" t="n">
        <v>2</v>
      </c>
      <c r="B19" s="7" t="n">
        <v>4</v>
      </c>
      <c r="C19" s="7" t="n">
        <v>8</v>
      </c>
      <c r="D19" s="7" t="inlineStr">
        <is>
          <t>S4</t>
        </is>
      </c>
      <c r="E19" s="7" t="inlineStr">
        <is>
          <t>Interferenza tra mezzo e infrastrutture interne all'impianto</t>
        </is>
      </c>
      <c r="F19" s="7" t="n">
        <v>0.2</v>
      </c>
      <c r="G19" s="7" t="n">
        <v>0.0832</v>
      </c>
      <c r="H19" s="7" t="n">
        <v>0.1538</v>
      </c>
      <c r="I19" s="7" t="n">
        <v>1.2796</v>
      </c>
      <c r="J19" s="7" t="n">
        <v>15.34</v>
      </c>
    </row>
    <row r="20" ht="34" customHeight="1">
      <c r="A20" s="7" t="n">
        <v>2</v>
      </c>
      <c r="B20" s="7" t="n">
        <v>4</v>
      </c>
      <c r="C20" s="7" t="n">
        <v>8</v>
      </c>
      <c r="D20" s="7" t="inlineStr">
        <is>
          <t>S5</t>
        </is>
      </c>
      <c r="E20" s="7" t="inlineStr">
        <is>
          <t>Instabilità di elementi strutturali o di stoccaggio soggetti a urto o sovraccarico</t>
        </is>
      </c>
      <c r="F20" s="7" t="n">
        <v>0.25</v>
      </c>
      <c r="G20" s="7" t="n">
        <v>0.0359</v>
      </c>
      <c r="H20" s="7" t="n">
        <v>0.2228</v>
      </c>
      <c r="I20" s="7" t="n">
        <v>0.7999000000000001</v>
      </c>
      <c r="J20" s="7" t="n">
        <v>9.59</v>
      </c>
    </row>
    <row r="21" ht="34" customHeight="1">
      <c r="A21" s="7" t="n">
        <v>2</v>
      </c>
      <c r="B21" s="7" t="n">
        <v>4</v>
      </c>
      <c r="C21" s="7" t="n">
        <v>8</v>
      </c>
      <c r="D21" s="7" t="inlineStr">
        <is>
          <t>S6</t>
        </is>
      </c>
      <c r="E21" s="7" t="inlineStr">
        <is>
          <t>Accesso a organi meccanici in movimento durante operazioni manuali</t>
        </is>
      </c>
      <c r="F21" s="7" t="n">
        <v>0</v>
      </c>
      <c r="G21" s="7" t="n">
        <v>0.0266</v>
      </c>
      <c r="H21" s="7" t="n">
        <v>0.3447</v>
      </c>
      <c r="I21" s="7" t="n">
        <v>0.9169</v>
      </c>
      <c r="J21" s="7" t="n">
        <v>10.99</v>
      </c>
    </row>
    <row r="22" ht="34" customHeight="1">
      <c r="A22" s="7" t="n">
        <v>2</v>
      </c>
      <c r="B22" s="7" t="n">
        <v>4</v>
      </c>
      <c r="C22" s="7" t="n">
        <v>8</v>
      </c>
      <c r="D22" s="7" t="inlineStr">
        <is>
          <t>S7</t>
        </is>
      </c>
      <c r="E22" s="7" t="inlineStr">
        <is>
          <t>Movimentazione manuale di carichi pesanti o instabili senza ausili meccanici adeguati</t>
        </is>
      </c>
      <c r="F22" s="7" t="n">
        <v>0.25</v>
      </c>
      <c r="G22" s="7" t="n">
        <v>0.0474</v>
      </c>
      <c r="H22" s="7" t="n">
        <v>0.0759</v>
      </c>
      <c r="I22" s="7" t="n">
        <v>0.3598</v>
      </c>
      <c r="J22" s="7" t="n">
        <v>4.31</v>
      </c>
    </row>
    <row r="23" ht="34" customHeight="1">
      <c r="A23" s="7" t="n">
        <v>3</v>
      </c>
      <c r="B23" s="7" t="n">
        <v>6</v>
      </c>
      <c r="C23" s="7" t="n">
        <v>10</v>
      </c>
      <c r="D23" s="7" t="inlineStr">
        <is>
          <t>S1</t>
        </is>
      </c>
      <c r="E23" s="7" t="inlineStr">
        <is>
          <t>Interferenza tra persone e mezzi di movimentazione negli spazi comuni</t>
        </is>
      </c>
      <c r="F23" s="7" t="n">
        <v>0.25</v>
      </c>
      <c r="G23" s="7" t="n">
        <v>0.25</v>
      </c>
      <c r="H23" s="7" t="n">
        <v>0.1109</v>
      </c>
      <c r="I23" s="7" t="n">
        <v>2.7725</v>
      </c>
      <c r="J23" s="7" t="n">
        <v>40.59</v>
      </c>
    </row>
    <row r="24" ht="34" customHeight="1">
      <c r="A24" s="7" t="n">
        <v>3</v>
      </c>
      <c r="B24" s="7" t="n">
        <v>6</v>
      </c>
      <c r="C24" s="7" t="n">
        <v>10</v>
      </c>
      <c r="D24" s="7" t="inlineStr">
        <is>
          <t>S2</t>
        </is>
      </c>
      <c r="E24" s="7" t="inlineStr">
        <is>
          <t>Riduzione della visibilità durante lo svolgimento di un'attività</t>
        </is>
      </c>
      <c r="F24" s="7" t="n">
        <v>0.25</v>
      </c>
      <c r="G24" s="7" t="n">
        <v>0.5553</v>
      </c>
      <c r="H24" s="7" t="n">
        <v>0.037</v>
      </c>
      <c r="I24" s="7" t="n">
        <v>2.0546</v>
      </c>
      <c r="J24" s="7" t="n">
        <v>30.08</v>
      </c>
    </row>
    <row r="25" ht="34" customHeight="1">
      <c r="A25" s="7" t="n">
        <v>3</v>
      </c>
      <c r="B25" s="7" t="n">
        <v>6</v>
      </c>
      <c r="C25" s="7" t="n">
        <v>10</v>
      </c>
      <c r="D25" s="7" t="inlineStr">
        <is>
          <t>S3</t>
        </is>
      </c>
      <c r="E25" s="7" t="inlineStr">
        <is>
          <t>Comportamenti non conformi durante lo svolgimento di un'attività</t>
        </is>
      </c>
      <c r="F25" s="7" t="n">
        <v>0</v>
      </c>
      <c r="G25" s="7" t="n">
        <v>0.0293</v>
      </c>
      <c r="H25" s="7" t="n">
        <v>0.0549</v>
      </c>
      <c r="I25" s="7" t="n">
        <v>0.1609</v>
      </c>
      <c r="J25" s="7" t="n">
        <v>2.36</v>
      </c>
    </row>
    <row r="26" ht="34" customHeight="1">
      <c r="A26" s="7" t="n">
        <v>3</v>
      </c>
      <c r="B26" s="7" t="n">
        <v>6</v>
      </c>
      <c r="C26" s="7" t="n">
        <v>10</v>
      </c>
      <c r="D26" s="7" t="inlineStr">
        <is>
          <t>S4</t>
        </is>
      </c>
      <c r="E26" s="7" t="inlineStr">
        <is>
          <t>Interferenza tra mezzo e infrastrutture interne all'impianto</t>
        </is>
      </c>
      <c r="F26" s="7" t="n">
        <v>0</v>
      </c>
      <c r="G26" s="7" t="n">
        <v>0.008200000000000001</v>
      </c>
      <c r="H26" s="7" t="n">
        <v>0.1538</v>
      </c>
      <c r="I26" s="7" t="n">
        <v>0.1261</v>
      </c>
      <c r="J26" s="7" t="n">
        <v>1.85</v>
      </c>
    </row>
    <row r="27" ht="34" customHeight="1">
      <c r="A27" s="7" t="n">
        <v>3</v>
      </c>
      <c r="B27" s="7" t="n">
        <v>6</v>
      </c>
      <c r="C27" s="7" t="n">
        <v>10</v>
      </c>
      <c r="D27" s="7" t="inlineStr">
        <is>
          <t>S5</t>
        </is>
      </c>
      <c r="E27" s="7" t="inlineStr">
        <is>
          <t>Instabilità di elementi strutturali o di stoccaggio soggetti a urto o sovraccarico</t>
        </is>
      </c>
      <c r="F27" s="7" t="n">
        <v>0.25</v>
      </c>
      <c r="G27" s="7" t="n">
        <v>0.0359</v>
      </c>
      <c r="H27" s="7" t="n">
        <v>0.2228</v>
      </c>
      <c r="I27" s="7" t="n">
        <v>0.7999000000000001</v>
      </c>
      <c r="J27" s="7" t="n">
        <v>11.71</v>
      </c>
    </row>
    <row r="28" ht="34" customHeight="1">
      <c r="A28" s="7" t="n">
        <v>3</v>
      </c>
      <c r="B28" s="7" t="n">
        <v>6</v>
      </c>
      <c r="C28" s="7" t="n">
        <v>10</v>
      </c>
      <c r="D28" s="7" t="inlineStr">
        <is>
          <t>S6</t>
        </is>
      </c>
      <c r="E28" s="7" t="inlineStr">
        <is>
          <t>Accesso a organi meccanici in movimento durante operazioni manuali</t>
        </is>
      </c>
      <c r="F28" s="7" t="n">
        <v>0</v>
      </c>
      <c r="G28" s="7" t="n">
        <v>0.0266</v>
      </c>
      <c r="H28" s="7" t="n">
        <v>0.3447</v>
      </c>
      <c r="I28" s="7" t="n">
        <v>0.9169</v>
      </c>
      <c r="J28" s="7" t="n">
        <v>13.42</v>
      </c>
    </row>
    <row r="29" ht="34" customHeight="1">
      <c r="A29" s="7" t="n">
        <v>3</v>
      </c>
      <c r="B29" s="7" t="n">
        <v>6</v>
      </c>
      <c r="C29" s="7" t="n">
        <v>10</v>
      </c>
      <c r="D29" s="7" t="inlineStr">
        <is>
          <t>S7</t>
        </is>
      </c>
      <c r="E29" s="7" t="inlineStr">
        <is>
          <t>Movimentazione manuale di carichi pesanti o instabili senza ausili meccanici adeguati</t>
        </is>
      </c>
      <c r="F29" s="7" t="n">
        <v>0</v>
      </c>
      <c r="G29" s="7" t="n">
        <v>0</v>
      </c>
      <c r="H29" s="7" t="n">
        <v>0.0759</v>
      </c>
      <c r="I29" s="7" t="n">
        <v>0</v>
      </c>
      <c r="J29" s="7" t="n">
        <v>0</v>
      </c>
    </row>
    <row r="30" ht="34" customHeight="1">
      <c r="A30" s="7" t="n">
        <v>4</v>
      </c>
      <c r="B30" s="7" t="n">
        <v>8</v>
      </c>
      <c r="C30" s="7" t="n">
        <v>12</v>
      </c>
      <c r="D30" s="7" t="inlineStr">
        <is>
          <t>S1</t>
        </is>
      </c>
      <c r="E30" s="7" t="inlineStr">
        <is>
          <t>Interferenza tra persone e mezzi di movimentazione negli spazi comuni</t>
        </is>
      </c>
      <c r="F30" s="7" t="n">
        <v>0.25</v>
      </c>
      <c r="G30" s="7" t="n">
        <v>0.25</v>
      </c>
      <c r="H30" s="7" t="n">
        <v>0.1109</v>
      </c>
      <c r="I30" s="7" t="n">
        <v>2.7725</v>
      </c>
      <c r="J30" s="7" t="n">
        <v>38.56</v>
      </c>
    </row>
    <row r="31" ht="34" customHeight="1">
      <c r="A31" s="7" t="n">
        <v>4</v>
      </c>
      <c r="B31" s="7" t="n">
        <v>8</v>
      </c>
      <c r="C31" s="7" t="n">
        <v>12</v>
      </c>
      <c r="D31" s="7" t="inlineStr">
        <is>
          <t>S2</t>
        </is>
      </c>
      <c r="E31" s="7" t="inlineStr">
        <is>
          <t>Riduzione della visibilità durante lo svolgimento di un'attività</t>
        </is>
      </c>
      <c r="F31" s="7" t="n">
        <v>0.25</v>
      </c>
      <c r="G31" s="7" t="n">
        <v>0.5553</v>
      </c>
      <c r="H31" s="7" t="n">
        <v>0.037</v>
      </c>
      <c r="I31" s="7" t="n">
        <v>2.0546</v>
      </c>
      <c r="J31" s="7" t="n">
        <v>28.58</v>
      </c>
    </row>
    <row r="32" ht="34" customHeight="1">
      <c r="A32" s="7" t="n">
        <v>4</v>
      </c>
      <c r="B32" s="7" t="n">
        <v>8</v>
      </c>
      <c r="C32" s="7" t="n">
        <v>12</v>
      </c>
      <c r="D32" s="7" t="inlineStr">
        <is>
          <t>S3</t>
        </is>
      </c>
      <c r="E32" s="7" t="inlineStr">
        <is>
          <t>Comportamenti non conformi durante lo svolgimento di un'attività</t>
        </is>
      </c>
      <c r="F32" s="7" t="n">
        <v>0</v>
      </c>
      <c r="G32" s="7" t="n">
        <v>0.0293</v>
      </c>
      <c r="H32" s="7" t="n">
        <v>0.0549</v>
      </c>
      <c r="I32" s="7" t="n">
        <v>0.1609</v>
      </c>
      <c r="J32" s="7" t="n">
        <v>2.24</v>
      </c>
    </row>
    <row r="33" ht="34" customHeight="1">
      <c r="A33" s="7" t="n">
        <v>4</v>
      </c>
      <c r="B33" s="7" t="n">
        <v>8</v>
      </c>
      <c r="C33" s="7" t="n">
        <v>12</v>
      </c>
      <c r="D33" s="7" t="inlineStr">
        <is>
          <t>S4</t>
        </is>
      </c>
      <c r="E33" s="7" t="inlineStr">
        <is>
          <t>Interferenza tra mezzo e infrastrutture interne all'impianto</t>
        </is>
      </c>
      <c r="F33" s="7" t="n">
        <v>0</v>
      </c>
      <c r="G33" s="7" t="n">
        <v>0.008200000000000001</v>
      </c>
      <c r="H33" s="7" t="n">
        <v>0.1538</v>
      </c>
      <c r="I33" s="7" t="n">
        <v>0.1261</v>
      </c>
      <c r="J33" s="7" t="n">
        <v>1.75</v>
      </c>
    </row>
    <row r="34" ht="34" customHeight="1">
      <c r="A34" s="7" t="n">
        <v>4</v>
      </c>
      <c r="B34" s="7" t="n">
        <v>8</v>
      </c>
      <c r="C34" s="7" t="n">
        <v>12</v>
      </c>
      <c r="D34" s="7" t="inlineStr">
        <is>
          <t>S5</t>
        </is>
      </c>
      <c r="E34" s="7" t="inlineStr">
        <is>
          <t>Instabilità di elementi strutturali o di stoccaggio soggetti a urto o sovraccarico</t>
        </is>
      </c>
      <c r="F34" s="7" t="n">
        <v>0.25</v>
      </c>
      <c r="G34" s="7" t="n">
        <v>0.0359</v>
      </c>
      <c r="H34" s="7" t="n">
        <v>0.2228</v>
      </c>
      <c r="I34" s="7" t="n">
        <v>0.7999000000000001</v>
      </c>
      <c r="J34" s="7" t="n">
        <v>11.13</v>
      </c>
    </row>
    <row r="35" ht="34" customHeight="1">
      <c r="A35" s="7" t="n">
        <v>4</v>
      </c>
      <c r="B35" s="7" t="n">
        <v>8</v>
      </c>
      <c r="C35" s="7" t="n">
        <v>12</v>
      </c>
      <c r="D35" s="7" t="inlineStr">
        <is>
          <t>S6</t>
        </is>
      </c>
      <c r="E35" s="7" t="inlineStr">
        <is>
          <t>Accesso a organi meccanici in movimento durante operazioni manuali</t>
        </is>
      </c>
      <c r="F35" s="7" t="n">
        <v>0</v>
      </c>
      <c r="G35" s="7" t="n">
        <v>0.0266</v>
      </c>
      <c r="H35" s="7" t="n">
        <v>0.3447</v>
      </c>
      <c r="I35" s="7" t="n">
        <v>0.9169</v>
      </c>
      <c r="J35" s="7" t="n">
        <v>12.75</v>
      </c>
    </row>
    <row r="36" ht="34" customHeight="1">
      <c r="A36" s="7" t="n">
        <v>4</v>
      </c>
      <c r="B36" s="7" t="n">
        <v>8</v>
      </c>
      <c r="C36" s="7" t="n">
        <v>12</v>
      </c>
      <c r="D36" s="7" t="inlineStr">
        <is>
          <t>S7</t>
        </is>
      </c>
      <c r="E36" s="7" t="inlineStr">
        <is>
          <t>Movimentazione manuale di carichi pesanti o instabili senza ausili meccanici adeguati</t>
        </is>
      </c>
      <c r="F36" s="7" t="n">
        <v>0.25</v>
      </c>
      <c r="G36" s="7" t="n">
        <v>0.0474</v>
      </c>
      <c r="H36" s="7" t="n">
        <v>0.0759</v>
      </c>
      <c r="I36" s="7" t="n">
        <v>0.3598</v>
      </c>
      <c r="J36" s="7" t="n">
        <v>5</v>
      </c>
    </row>
    <row r="37" ht="34" customHeight="1">
      <c r="A37" s="7" t="n">
        <v>5</v>
      </c>
      <c r="B37" s="7" t="n">
        <v>10</v>
      </c>
      <c r="C37" s="7" t="n">
        <v>14</v>
      </c>
      <c r="D37" s="7" t="inlineStr">
        <is>
          <t>S1</t>
        </is>
      </c>
      <c r="E37" s="7" t="inlineStr">
        <is>
          <t>Interferenza tra persone e mezzi di movimentazione negli spazi comuni</t>
        </is>
      </c>
      <c r="F37" s="7" t="n">
        <v>0.25</v>
      </c>
      <c r="G37" s="7" t="n">
        <v>0.25</v>
      </c>
      <c r="H37" s="7" t="n">
        <v>0.1109</v>
      </c>
      <c r="I37" s="7" t="n">
        <v>2.7725</v>
      </c>
      <c r="J37" s="7" t="n">
        <v>69.66</v>
      </c>
    </row>
    <row r="38" ht="34" customHeight="1">
      <c r="A38" s="7" t="n">
        <v>5</v>
      </c>
      <c r="B38" s="7" t="n">
        <v>10</v>
      </c>
      <c r="C38" s="7" t="n">
        <v>14</v>
      </c>
      <c r="D38" s="7" t="inlineStr">
        <is>
          <t>S2</t>
        </is>
      </c>
      <c r="E38" s="7" t="inlineStr">
        <is>
          <t>Riduzione della visibilità durante lo svolgimento di un'attività</t>
        </is>
      </c>
      <c r="F38" s="7" t="n">
        <v>0</v>
      </c>
      <c r="G38" s="7" t="n">
        <v>0</v>
      </c>
      <c r="H38" s="7" t="n">
        <v>0.037</v>
      </c>
      <c r="I38" s="7" t="n">
        <v>0</v>
      </c>
      <c r="J38" s="7" t="n">
        <v>0</v>
      </c>
    </row>
    <row r="39" ht="34" customHeight="1">
      <c r="A39" s="7" t="n">
        <v>5</v>
      </c>
      <c r="B39" s="7" t="n">
        <v>10</v>
      </c>
      <c r="C39" s="7" t="n">
        <v>14</v>
      </c>
      <c r="D39" s="7" t="inlineStr">
        <is>
          <t>S3</t>
        </is>
      </c>
      <c r="E39" s="7" t="inlineStr">
        <is>
          <t>Comportamenti non conformi durante lo svolgimento di un'attività</t>
        </is>
      </c>
      <c r="F39" s="7" t="n">
        <v>0</v>
      </c>
      <c r="G39" s="7" t="n">
        <v>0.0293</v>
      </c>
      <c r="H39" s="7" t="n">
        <v>0.0549</v>
      </c>
      <c r="I39" s="7" t="n">
        <v>0.1609</v>
      </c>
      <c r="J39" s="7" t="n">
        <v>4.04</v>
      </c>
    </row>
    <row r="40" ht="34" customHeight="1">
      <c r="A40" s="7" t="n">
        <v>5</v>
      </c>
      <c r="B40" s="7" t="n">
        <v>10</v>
      </c>
      <c r="C40" s="7" t="n">
        <v>14</v>
      </c>
      <c r="D40" s="7" t="inlineStr">
        <is>
          <t>S4</t>
        </is>
      </c>
      <c r="E40" s="7" t="inlineStr">
        <is>
          <t>Interferenza tra mezzo e infrastrutture interne all'impianto</t>
        </is>
      </c>
      <c r="F40" s="7" t="n">
        <v>0</v>
      </c>
      <c r="G40" s="7" t="n">
        <v>0.008200000000000001</v>
      </c>
      <c r="H40" s="7" t="n">
        <v>0.1538</v>
      </c>
      <c r="I40" s="7" t="n">
        <v>0.1261</v>
      </c>
      <c r="J40" s="7" t="n">
        <v>3.17</v>
      </c>
    </row>
    <row r="41" ht="34" customHeight="1">
      <c r="A41" s="7" t="n">
        <v>5</v>
      </c>
      <c r="B41" s="7" t="n">
        <v>10</v>
      </c>
      <c r="C41" s="7" t="n">
        <v>14</v>
      </c>
      <c r="D41" s="7" t="inlineStr">
        <is>
          <t>S5</t>
        </is>
      </c>
      <c r="E41" s="7" t="inlineStr">
        <is>
          <t>Instabilità di elementi strutturali o di stoccaggio soggetti a urto o sovraccarico</t>
        </is>
      </c>
      <c r="F41" s="7" t="n">
        <v>0</v>
      </c>
      <c r="G41" s="7" t="n">
        <v>0</v>
      </c>
      <c r="H41" s="7" t="n">
        <v>0.2228</v>
      </c>
      <c r="I41" s="7" t="n">
        <v>0</v>
      </c>
      <c r="J41" s="7" t="n">
        <v>0</v>
      </c>
    </row>
    <row r="42" ht="34" customHeight="1">
      <c r="A42" s="7" t="n">
        <v>5</v>
      </c>
      <c r="B42" s="7" t="n">
        <v>10</v>
      </c>
      <c r="C42" s="7" t="n">
        <v>14</v>
      </c>
      <c r="D42" s="7" t="inlineStr">
        <is>
          <t>S6</t>
        </is>
      </c>
      <c r="E42" s="7" t="inlineStr">
        <is>
          <t>Accesso a organi meccanici in movimento durante operazioni manuali</t>
        </is>
      </c>
      <c r="F42" s="7" t="n">
        <v>0</v>
      </c>
      <c r="G42" s="7" t="n">
        <v>0.0266</v>
      </c>
      <c r="H42" s="7" t="n">
        <v>0.3447</v>
      </c>
      <c r="I42" s="7" t="n">
        <v>0.9169</v>
      </c>
      <c r="J42" s="7" t="n">
        <v>23.04</v>
      </c>
    </row>
    <row r="43" ht="34" customHeight="1">
      <c r="A43" s="7" t="n">
        <v>5</v>
      </c>
      <c r="B43" s="7" t="n">
        <v>10</v>
      </c>
      <c r="C43" s="7" t="n">
        <v>14</v>
      </c>
      <c r="D43" s="7" t="inlineStr">
        <is>
          <t>S7</t>
        </is>
      </c>
      <c r="E43" s="7" t="inlineStr">
        <is>
          <t>Movimentazione manuale di carichi pesanti o instabili senza ausili meccanici adeguati</t>
        </is>
      </c>
      <c r="F43" s="7" t="n">
        <v>0</v>
      </c>
      <c r="G43" s="7" t="n">
        <v>0</v>
      </c>
      <c r="H43" s="7" t="n">
        <v>0.0759</v>
      </c>
      <c r="I43" s="7" t="n">
        <v>0</v>
      </c>
      <c r="J43" s="7" t="n">
        <v>0</v>
      </c>
    </row>
    <row r="44" ht="34" customHeight="1">
      <c r="A44" s="7" t="n">
        <v>6</v>
      </c>
      <c r="B44" s="7" t="n">
        <v>12</v>
      </c>
      <c r="C44" s="7" t="n">
        <v>16</v>
      </c>
      <c r="D44" s="7" t="inlineStr">
        <is>
          <t>S1</t>
        </is>
      </c>
      <c r="E44" s="7" t="inlineStr">
        <is>
          <t>Interferenza tra persone e mezzi di movimentazione negli spazi comuni</t>
        </is>
      </c>
      <c r="F44" s="7" t="n">
        <v>0.5</v>
      </c>
      <c r="G44" s="7" t="n">
        <v>0.5</v>
      </c>
      <c r="H44" s="7" t="n">
        <v>0.1109</v>
      </c>
      <c r="I44" s="7" t="n">
        <v>5.545</v>
      </c>
      <c r="J44" s="7" t="n">
        <v>47.56</v>
      </c>
    </row>
    <row r="45" ht="34" customHeight="1">
      <c r="A45" s="7" t="n">
        <v>6</v>
      </c>
      <c r="B45" s="7" t="n">
        <v>12</v>
      </c>
      <c r="C45" s="7" t="n">
        <v>16</v>
      </c>
      <c r="D45" s="7" t="inlineStr">
        <is>
          <t>S2</t>
        </is>
      </c>
      <c r="E45" s="7" t="inlineStr">
        <is>
          <t>Riduzione della visibilità durante lo svolgimento di un'attività</t>
        </is>
      </c>
      <c r="F45" s="7" t="n">
        <v>0.25</v>
      </c>
      <c r="G45" s="7" t="n">
        <v>0.5553</v>
      </c>
      <c r="H45" s="7" t="n">
        <v>0.037</v>
      </c>
      <c r="I45" s="7" t="n">
        <v>2.0546</v>
      </c>
      <c r="J45" s="7" t="n">
        <v>17.62</v>
      </c>
    </row>
    <row r="46" ht="34" customHeight="1">
      <c r="A46" s="7" t="n">
        <v>6</v>
      </c>
      <c r="B46" s="7" t="n">
        <v>12</v>
      </c>
      <c r="C46" s="7" t="n">
        <v>16</v>
      </c>
      <c r="D46" s="7" t="inlineStr">
        <is>
          <t>S3</t>
        </is>
      </c>
      <c r="E46" s="7" t="inlineStr">
        <is>
          <t>Comportamenti non conformi durante lo svolgimento di un'attività</t>
        </is>
      </c>
      <c r="F46" s="7" t="n">
        <v>0</v>
      </c>
      <c r="G46" s="7" t="n">
        <v>0.0293</v>
      </c>
      <c r="H46" s="7" t="n">
        <v>0.0549</v>
      </c>
      <c r="I46" s="7" t="n">
        <v>0.1609</v>
      </c>
      <c r="J46" s="7" t="n">
        <v>1.38</v>
      </c>
    </row>
    <row r="47" ht="34" customHeight="1">
      <c r="A47" s="7" t="n">
        <v>6</v>
      </c>
      <c r="B47" s="7" t="n">
        <v>12</v>
      </c>
      <c r="C47" s="7" t="n">
        <v>16</v>
      </c>
      <c r="D47" s="7" t="inlineStr">
        <is>
          <t>S4</t>
        </is>
      </c>
      <c r="E47" s="7" t="inlineStr">
        <is>
          <t>Interferenza tra mezzo e infrastrutture interne all'impianto</t>
        </is>
      </c>
      <c r="F47" s="7" t="n">
        <v>0.25</v>
      </c>
      <c r="G47" s="7" t="n">
        <v>0.1419</v>
      </c>
      <c r="H47" s="7" t="n">
        <v>0.1538</v>
      </c>
      <c r="I47" s="7" t="n">
        <v>2.1824</v>
      </c>
      <c r="J47" s="7" t="n">
        <v>18.72</v>
      </c>
    </row>
    <row r="48" ht="34" customHeight="1">
      <c r="A48" s="7" t="n">
        <v>6</v>
      </c>
      <c r="B48" s="7" t="n">
        <v>12</v>
      </c>
      <c r="C48" s="7" t="n">
        <v>16</v>
      </c>
      <c r="D48" s="7" t="inlineStr">
        <is>
          <t>S5</t>
        </is>
      </c>
      <c r="E48" s="7" t="inlineStr">
        <is>
          <t>Instabilità di elementi strutturali o di stoccaggio soggetti a urto o sovraccarico</t>
        </is>
      </c>
      <c r="F48" s="7" t="n">
        <v>0.25</v>
      </c>
      <c r="G48" s="7" t="n">
        <v>0.0359</v>
      </c>
      <c r="H48" s="7" t="n">
        <v>0.2228</v>
      </c>
      <c r="I48" s="7" t="n">
        <v>0.7999000000000001</v>
      </c>
      <c r="J48" s="7" t="n">
        <v>6.86</v>
      </c>
    </row>
    <row r="49" ht="34" customHeight="1">
      <c r="A49" s="7" t="n">
        <v>6</v>
      </c>
      <c r="B49" s="7" t="n">
        <v>12</v>
      </c>
      <c r="C49" s="7" t="n">
        <v>16</v>
      </c>
      <c r="D49" s="7" t="inlineStr">
        <is>
          <t>S6</t>
        </is>
      </c>
      <c r="E49" s="7" t="inlineStr">
        <is>
          <t>Accesso a organi meccanici in movimento durante operazioni manuali</t>
        </is>
      </c>
      <c r="F49" s="7" t="n">
        <v>0</v>
      </c>
      <c r="G49" s="7" t="n">
        <v>0.0266</v>
      </c>
      <c r="H49" s="7" t="n">
        <v>0.3447</v>
      </c>
      <c r="I49" s="7" t="n">
        <v>0.9169</v>
      </c>
      <c r="J49" s="7" t="n">
        <v>7.86</v>
      </c>
    </row>
    <row r="50" ht="34" customHeight="1">
      <c r="A50" s="7" t="n">
        <v>6</v>
      </c>
      <c r="B50" s="7" t="n">
        <v>12</v>
      </c>
      <c r="C50" s="7" t="n">
        <v>16</v>
      </c>
      <c r="D50" s="7" t="inlineStr">
        <is>
          <t>S7</t>
        </is>
      </c>
      <c r="E50" s="7" t="inlineStr">
        <is>
          <t>Movimentazione manuale di carichi pesanti o instabili senza ausili meccanici adeguati</t>
        </is>
      </c>
      <c r="F50" s="7" t="n">
        <v>0</v>
      </c>
      <c r="G50" s="7" t="n">
        <v>0</v>
      </c>
      <c r="H50" s="7" t="n">
        <v>0.0759</v>
      </c>
      <c r="I50" s="7" t="n">
        <v>0</v>
      </c>
      <c r="J50" s="7" t="n">
        <v>0</v>
      </c>
    </row>
    <row r="51" ht="34" customHeight="1">
      <c r="A51" s="7" t="n">
        <v>7</v>
      </c>
      <c r="B51" s="7" t="n">
        <v>14</v>
      </c>
      <c r="C51" s="7" t="n">
        <v>18</v>
      </c>
      <c r="D51" s="7" t="inlineStr">
        <is>
          <t>S1</t>
        </is>
      </c>
      <c r="E51" s="7" t="inlineStr">
        <is>
          <t>Interferenza tra persone e mezzi di movimentazione negli spazi comuni</t>
        </is>
      </c>
      <c r="F51" s="7" t="n">
        <v>0.25</v>
      </c>
      <c r="G51" s="7" t="n">
        <v>0.25</v>
      </c>
      <c r="H51" s="7" t="n">
        <v>0.1109</v>
      </c>
      <c r="I51" s="7" t="n">
        <v>2.7725</v>
      </c>
      <c r="J51" s="7" t="n">
        <v>34.27</v>
      </c>
    </row>
    <row r="52" ht="34" customHeight="1">
      <c r="A52" s="7" t="n">
        <v>7</v>
      </c>
      <c r="B52" s="7" t="n">
        <v>14</v>
      </c>
      <c r="C52" s="7" t="n">
        <v>18</v>
      </c>
      <c r="D52" s="7" t="inlineStr">
        <is>
          <t>S2</t>
        </is>
      </c>
      <c r="E52" s="7" t="inlineStr">
        <is>
          <t>Riduzione della visibilità durante lo svolgimento di un'attività</t>
        </is>
      </c>
      <c r="F52" s="7" t="n">
        <v>0.25</v>
      </c>
      <c r="G52" s="7" t="n">
        <v>0.5553</v>
      </c>
      <c r="H52" s="7" t="n">
        <v>0.037</v>
      </c>
      <c r="I52" s="7" t="n">
        <v>2.0546</v>
      </c>
      <c r="J52" s="7" t="n">
        <v>25.4</v>
      </c>
    </row>
    <row r="53" ht="34" customHeight="1">
      <c r="A53" s="7" t="n">
        <v>7</v>
      </c>
      <c r="B53" s="7" t="n">
        <v>14</v>
      </c>
      <c r="C53" s="7" t="n">
        <v>18</v>
      </c>
      <c r="D53" s="7" t="inlineStr">
        <is>
          <t>S3</t>
        </is>
      </c>
      <c r="E53" s="7" t="inlineStr">
        <is>
          <t>Comportamenti non conformi durante lo svolgimento di un'attività</t>
        </is>
      </c>
      <c r="F53" s="7" t="n">
        <v>0</v>
      </c>
      <c r="G53" s="7" t="n">
        <v>0.0293</v>
      </c>
      <c r="H53" s="7" t="n">
        <v>0.0549</v>
      </c>
      <c r="I53" s="7" t="n">
        <v>0.1609</v>
      </c>
      <c r="J53" s="7" t="n">
        <v>1.99</v>
      </c>
    </row>
    <row r="54" ht="34" customHeight="1">
      <c r="A54" s="7" t="n">
        <v>7</v>
      </c>
      <c r="B54" s="7" t="n">
        <v>14</v>
      </c>
      <c r="C54" s="7" t="n">
        <v>18</v>
      </c>
      <c r="D54" s="7" t="inlineStr">
        <is>
          <t>S4</t>
        </is>
      </c>
      <c r="E54" s="7" t="inlineStr">
        <is>
          <t>Interferenza tra mezzo e infrastrutture interne all'impianto</t>
        </is>
      </c>
      <c r="F54" s="7" t="n">
        <v>0.25</v>
      </c>
      <c r="G54" s="7" t="n">
        <v>0.1419</v>
      </c>
      <c r="H54" s="7" t="n">
        <v>0.1538</v>
      </c>
      <c r="I54" s="7" t="n">
        <v>2.1824</v>
      </c>
      <c r="J54" s="7" t="n">
        <v>26.98</v>
      </c>
    </row>
    <row r="55" ht="34" customHeight="1">
      <c r="A55" s="7" t="n">
        <v>7</v>
      </c>
      <c r="B55" s="7" t="n">
        <v>14</v>
      </c>
      <c r="C55" s="7" t="n">
        <v>18</v>
      </c>
      <c r="D55" s="7" t="inlineStr">
        <is>
          <t>S5</t>
        </is>
      </c>
      <c r="E55" s="7" t="inlineStr">
        <is>
          <t>Instabilità di elementi strutturali o di stoccaggio soggetti a urto o sovraccarico</t>
        </is>
      </c>
      <c r="F55" s="7" t="n">
        <v>0</v>
      </c>
      <c r="G55" s="7" t="n">
        <v>0</v>
      </c>
      <c r="H55" s="7" t="n">
        <v>0.2228</v>
      </c>
      <c r="I55" s="7" t="n">
        <v>0</v>
      </c>
      <c r="J55" s="7" t="n">
        <v>0</v>
      </c>
    </row>
    <row r="56" ht="34" customHeight="1">
      <c r="A56" s="7" t="n">
        <v>7</v>
      </c>
      <c r="B56" s="7" t="n">
        <v>14</v>
      </c>
      <c r="C56" s="7" t="n">
        <v>18</v>
      </c>
      <c r="D56" s="7" t="inlineStr">
        <is>
          <t>S6</t>
        </is>
      </c>
      <c r="E56" s="7" t="inlineStr">
        <is>
          <t>Accesso a organi meccanici in movimento durante operazioni manuali</t>
        </is>
      </c>
      <c r="F56" s="7" t="n">
        <v>0</v>
      </c>
      <c r="G56" s="7" t="n">
        <v>0.0266</v>
      </c>
      <c r="H56" s="7" t="n">
        <v>0.3447</v>
      </c>
      <c r="I56" s="7" t="n">
        <v>0.9169</v>
      </c>
      <c r="J56" s="7" t="n">
        <v>11.33</v>
      </c>
    </row>
    <row r="57" ht="34" customHeight="1">
      <c r="A57" s="7" t="n">
        <v>7</v>
      </c>
      <c r="B57" s="7" t="n">
        <v>14</v>
      </c>
      <c r="C57" s="7" t="n">
        <v>18</v>
      </c>
      <c r="D57" s="7" t="inlineStr">
        <is>
          <t>S7</t>
        </is>
      </c>
      <c r="E57" s="7" t="inlineStr">
        <is>
          <t>Movimentazione manuale di carichi pesanti o instabili senza ausili meccanici adeguati</t>
        </is>
      </c>
      <c r="F57" s="7" t="n">
        <v>0</v>
      </c>
      <c r="G57" s="7" t="n">
        <v>0</v>
      </c>
      <c r="H57" s="7" t="n">
        <v>0.0759</v>
      </c>
      <c r="I57" s="7" t="n">
        <v>0</v>
      </c>
      <c r="J57" s="7" t="n">
        <v>0</v>
      </c>
    </row>
    <row r="58" ht="34" customHeight="1">
      <c r="A58" s="7" t="n">
        <v>8</v>
      </c>
      <c r="B58" s="7" t="n">
        <v>16</v>
      </c>
      <c r="C58" s="7" t="n">
        <v>20</v>
      </c>
      <c r="D58" s="7" t="inlineStr">
        <is>
          <t>S1</t>
        </is>
      </c>
      <c r="E58" s="7" t="inlineStr">
        <is>
          <t>Interferenza tra persone e mezzi di movimentazione negli spazi comuni</t>
        </is>
      </c>
      <c r="F58" s="7" t="n">
        <v>0.5</v>
      </c>
      <c r="G58" s="7" t="n">
        <v>0.5</v>
      </c>
      <c r="H58" s="7" t="n">
        <v>0.1109</v>
      </c>
      <c r="I58" s="7" t="n">
        <v>5.545</v>
      </c>
      <c r="J58" s="7" t="n">
        <v>41.6</v>
      </c>
    </row>
    <row r="59" ht="34" customHeight="1">
      <c r="A59" s="7" t="n">
        <v>8</v>
      </c>
      <c r="B59" s="7" t="n">
        <v>16</v>
      </c>
      <c r="C59" s="7" t="n">
        <v>20</v>
      </c>
      <c r="D59" s="7" t="inlineStr">
        <is>
          <t>S2</t>
        </is>
      </c>
      <c r="E59" s="7" t="inlineStr">
        <is>
          <t>Riduzione della visibilità durante lo svolgimento di un'attività</t>
        </is>
      </c>
      <c r="F59" s="7" t="n">
        <v>0.25</v>
      </c>
      <c r="G59" s="7" t="n">
        <v>0.5553</v>
      </c>
      <c r="H59" s="7" t="n">
        <v>0.037</v>
      </c>
      <c r="I59" s="7" t="n">
        <v>2.0546</v>
      </c>
      <c r="J59" s="7" t="n">
        <v>15.41</v>
      </c>
    </row>
    <row r="60" ht="34" customHeight="1">
      <c r="A60" s="7" t="n">
        <v>8</v>
      </c>
      <c r="B60" s="7" t="n">
        <v>16</v>
      </c>
      <c r="C60" s="7" t="n">
        <v>20</v>
      </c>
      <c r="D60" s="7" t="inlineStr">
        <is>
          <t>S3</t>
        </is>
      </c>
      <c r="E60" s="7" t="inlineStr">
        <is>
          <t>Comportamenti non conformi durante lo svolgimento di un'attività</t>
        </is>
      </c>
      <c r="F60" s="7" t="n">
        <v>0.25</v>
      </c>
      <c r="G60" s="7" t="n">
        <v>0.2689</v>
      </c>
      <c r="H60" s="7" t="n">
        <v>0.0549</v>
      </c>
      <c r="I60" s="7" t="n">
        <v>1.4763</v>
      </c>
      <c r="J60" s="7" t="n">
        <v>11.08</v>
      </c>
    </row>
    <row r="61" ht="34" customHeight="1">
      <c r="A61" s="7" t="n">
        <v>8</v>
      </c>
      <c r="B61" s="7" t="n">
        <v>16</v>
      </c>
      <c r="C61" s="7" t="n">
        <v>20</v>
      </c>
      <c r="D61" s="7" t="inlineStr">
        <is>
          <t>S4</t>
        </is>
      </c>
      <c r="E61" s="7" t="inlineStr">
        <is>
          <t>Interferenza tra mezzo e infrastrutture interne all'impianto</t>
        </is>
      </c>
      <c r="F61" s="7" t="n">
        <v>0.25</v>
      </c>
      <c r="G61" s="7" t="n">
        <v>0.1419</v>
      </c>
      <c r="H61" s="7" t="n">
        <v>0.1538</v>
      </c>
      <c r="I61" s="7" t="n">
        <v>2.1824</v>
      </c>
      <c r="J61" s="7" t="n">
        <v>16.37</v>
      </c>
    </row>
    <row r="62" ht="34" customHeight="1">
      <c r="A62" s="7" t="n">
        <v>8</v>
      </c>
      <c r="B62" s="7" t="n">
        <v>16</v>
      </c>
      <c r="C62" s="7" t="n">
        <v>20</v>
      </c>
      <c r="D62" s="7" t="inlineStr">
        <is>
          <t>S5</t>
        </is>
      </c>
      <c r="E62" s="7" t="inlineStr">
        <is>
          <t>Instabilità di elementi strutturali o di stoccaggio soggetti a urto o sovraccarico</t>
        </is>
      </c>
      <c r="F62" s="7" t="n">
        <v>0.25</v>
      </c>
      <c r="G62" s="7" t="n">
        <v>0.0359</v>
      </c>
      <c r="H62" s="7" t="n">
        <v>0.2228</v>
      </c>
      <c r="I62" s="7" t="n">
        <v>0.7999000000000001</v>
      </c>
      <c r="J62" s="7" t="n">
        <v>6</v>
      </c>
    </row>
    <row r="63" ht="34" customHeight="1">
      <c r="A63" s="7" t="n">
        <v>8</v>
      </c>
      <c r="B63" s="7" t="n">
        <v>16</v>
      </c>
      <c r="C63" s="7" t="n">
        <v>20</v>
      </c>
      <c r="D63" s="7" t="inlineStr">
        <is>
          <t>S6</t>
        </is>
      </c>
      <c r="E63" s="7" t="inlineStr">
        <is>
          <t>Accesso a organi meccanici in movimento durante operazioni manuali</t>
        </is>
      </c>
      <c r="F63" s="7" t="n">
        <v>0</v>
      </c>
      <c r="G63" s="7" t="n">
        <v>0.0266</v>
      </c>
      <c r="H63" s="7" t="n">
        <v>0.3447</v>
      </c>
      <c r="I63" s="7" t="n">
        <v>0.9169</v>
      </c>
      <c r="J63" s="7" t="n">
        <v>6.88</v>
      </c>
    </row>
    <row r="64" ht="34" customHeight="1">
      <c r="A64" s="7" t="n">
        <v>8</v>
      </c>
      <c r="B64" s="7" t="n">
        <v>16</v>
      </c>
      <c r="C64" s="7" t="n">
        <v>20</v>
      </c>
      <c r="D64" s="7" t="inlineStr">
        <is>
          <t>S7</t>
        </is>
      </c>
      <c r="E64" s="7" t="inlineStr">
        <is>
          <t>Movimentazione manuale di carichi pesanti o instabili senza ausili meccanici adeguati</t>
        </is>
      </c>
      <c r="F64" s="7" t="n">
        <v>0.25</v>
      </c>
      <c r="G64" s="7" t="n">
        <v>0.0474</v>
      </c>
      <c r="H64" s="7" t="n">
        <v>0.0759</v>
      </c>
      <c r="I64" s="7" t="n">
        <v>0.3598</v>
      </c>
      <c r="J64" s="7" t="n">
        <v>2.7</v>
      </c>
    </row>
    <row r="65" ht="34" customHeight="1">
      <c r="A65" s="7" t="n">
        <v>9</v>
      </c>
      <c r="B65" s="7" t="n">
        <v>18</v>
      </c>
      <c r="C65" s="7" t="n">
        <v>22</v>
      </c>
      <c r="D65" s="7" t="inlineStr">
        <is>
          <t>S1</t>
        </is>
      </c>
      <c r="E65" s="7" t="inlineStr">
        <is>
          <t>Interferenza tra persone e mezzi di movimentazione negli spazi comuni</t>
        </is>
      </c>
      <c r="F65" s="7" t="n">
        <v>0.5</v>
      </c>
      <c r="G65" s="7" t="n">
        <v>0.5</v>
      </c>
      <c r="H65" s="7" t="n">
        <v>0.1109</v>
      </c>
      <c r="I65" s="7" t="n">
        <v>5.545</v>
      </c>
      <c r="J65" s="7" t="n">
        <v>24.14</v>
      </c>
    </row>
    <row r="66" ht="34" customHeight="1">
      <c r="A66" s="7" t="n">
        <v>9</v>
      </c>
      <c r="B66" s="7" t="n">
        <v>18</v>
      </c>
      <c r="C66" s="7" t="n">
        <v>22</v>
      </c>
      <c r="D66" s="7" t="inlineStr">
        <is>
          <t>S2</t>
        </is>
      </c>
      <c r="E66" s="7" t="inlineStr">
        <is>
          <t>Riduzione della visibilità durante lo svolgimento di un'attività</t>
        </is>
      </c>
      <c r="F66" s="7" t="n">
        <v>0.25</v>
      </c>
      <c r="G66" s="7" t="n">
        <v>0.5553</v>
      </c>
      <c r="H66" s="7" t="n">
        <v>0.037</v>
      </c>
      <c r="I66" s="7" t="n">
        <v>2.0546</v>
      </c>
      <c r="J66" s="7" t="n">
        <v>8.94</v>
      </c>
    </row>
    <row r="67" ht="34" customHeight="1">
      <c r="A67" s="7" t="n">
        <v>9</v>
      </c>
      <c r="B67" s="7" t="n">
        <v>18</v>
      </c>
      <c r="C67" s="7" t="n">
        <v>22</v>
      </c>
      <c r="D67" s="7" t="inlineStr">
        <is>
          <t>S3</t>
        </is>
      </c>
      <c r="E67" s="7" t="inlineStr">
        <is>
          <t>Comportamenti non conformi durante lo svolgimento di un'attività</t>
        </is>
      </c>
      <c r="F67" s="7" t="n">
        <v>0.25</v>
      </c>
      <c r="G67" s="7" t="n">
        <v>0.2689</v>
      </c>
      <c r="H67" s="7" t="n">
        <v>0.0549</v>
      </c>
      <c r="I67" s="7" t="n">
        <v>1.4763</v>
      </c>
      <c r="J67" s="7" t="n">
        <v>6.43</v>
      </c>
    </row>
    <row r="68" ht="34" customHeight="1">
      <c r="A68" s="7" t="n">
        <v>9</v>
      </c>
      <c r="B68" s="7" t="n">
        <v>18</v>
      </c>
      <c r="C68" s="7" t="n">
        <v>22</v>
      </c>
      <c r="D68" s="7" t="inlineStr">
        <is>
          <t>S4</t>
        </is>
      </c>
      <c r="E68" s="7" t="inlineStr">
        <is>
          <t>Interferenza tra mezzo e infrastrutture interne all'impianto</t>
        </is>
      </c>
      <c r="F68" s="7" t="n">
        <v>0.5</v>
      </c>
      <c r="G68" s="7" t="n">
        <v>0.7685</v>
      </c>
      <c r="H68" s="7" t="n">
        <v>0.1538</v>
      </c>
      <c r="I68" s="7" t="n">
        <v>11.8195</v>
      </c>
      <c r="J68" s="7" t="n">
        <v>51.46</v>
      </c>
    </row>
    <row r="69" ht="34" customHeight="1">
      <c r="A69" s="7" t="n">
        <v>9</v>
      </c>
      <c r="B69" s="7" t="n">
        <v>18</v>
      </c>
      <c r="C69" s="7" t="n">
        <v>22</v>
      </c>
      <c r="D69" s="7" t="inlineStr">
        <is>
          <t>S5</t>
        </is>
      </c>
      <c r="E69" s="7" t="inlineStr">
        <is>
          <t>Instabilità di elementi strutturali o di stoccaggio soggetti a urto o sovraccarico</t>
        </is>
      </c>
      <c r="F69" s="7" t="n">
        <v>0.25</v>
      </c>
      <c r="G69" s="7" t="n">
        <v>0.0359</v>
      </c>
      <c r="H69" s="7" t="n">
        <v>0.2228</v>
      </c>
      <c r="I69" s="7" t="n">
        <v>0.7999000000000001</v>
      </c>
      <c r="J69" s="7" t="n">
        <v>3.48</v>
      </c>
    </row>
    <row r="70" ht="34" customHeight="1">
      <c r="A70" s="7" t="n">
        <v>9</v>
      </c>
      <c r="B70" s="7" t="n">
        <v>18</v>
      </c>
      <c r="C70" s="7" t="n">
        <v>22</v>
      </c>
      <c r="D70" s="7" t="inlineStr">
        <is>
          <t>S6</t>
        </is>
      </c>
      <c r="E70" s="7" t="inlineStr">
        <is>
          <t>Accesso a organi meccanici in movimento durante operazioni manuali</t>
        </is>
      </c>
      <c r="F70" s="7" t="n">
        <v>0</v>
      </c>
      <c r="G70" s="7" t="n">
        <v>0.0266</v>
      </c>
      <c r="H70" s="7" t="n">
        <v>0.3447</v>
      </c>
      <c r="I70" s="7" t="n">
        <v>0.9169</v>
      </c>
      <c r="J70" s="7" t="n">
        <v>3.99</v>
      </c>
    </row>
    <row r="71" ht="34" customHeight="1">
      <c r="A71" s="7" t="n">
        <v>9</v>
      </c>
      <c r="B71" s="7" t="n">
        <v>18</v>
      </c>
      <c r="C71" s="7" t="n">
        <v>22</v>
      </c>
      <c r="D71" s="7" t="inlineStr">
        <is>
          <t>S7</t>
        </is>
      </c>
      <c r="E71" s="7" t="inlineStr">
        <is>
          <t>Movimentazione manuale di carichi pesanti o instabili senza ausili meccanici adeguati</t>
        </is>
      </c>
      <c r="F71" s="7" t="n">
        <v>0.25</v>
      </c>
      <c r="G71" s="7" t="n">
        <v>0.0474</v>
      </c>
      <c r="H71" s="7" t="n">
        <v>0.0759</v>
      </c>
      <c r="I71" s="7" t="n">
        <v>0.3598</v>
      </c>
      <c r="J71" s="7" t="n">
        <v>1.57</v>
      </c>
    </row>
    <row r="72" ht="34" customHeight="1">
      <c r="A72" s="7" t="n">
        <v>10</v>
      </c>
      <c r="B72" s="7" t="n">
        <v>20</v>
      </c>
      <c r="C72" s="7" t="n">
        <v>24</v>
      </c>
      <c r="D72" s="7" t="inlineStr">
        <is>
          <t>S1</t>
        </is>
      </c>
      <c r="E72" s="7" t="inlineStr">
        <is>
          <t>Interferenza tra persone e mezzi di movimentazione negli spazi comuni</t>
        </is>
      </c>
      <c r="F72" s="7" t="n">
        <v>0.5</v>
      </c>
      <c r="G72" s="7" t="n">
        <v>0.5</v>
      </c>
      <c r="H72" s="7" t="n">
        <v>0.1109</v>
      </c>
      <c r="I72" s="7" t="n">
        <v>5.545</v>
      </c>
      <c r="J72" s="7" t="n">
        <v>47.56</v>
      </c>
    </row>
    <row r="73" ht="34" customHeight="1">
      <c r="A73" s="7" t="n">
        <v>10</v>
      </c>
      <c r="B73" s="7" t="n">
        <v>20</v>
      </c>
      <c r="C73" s="7" t="n">
        <v>24</v>
      </c>
      <c r="D73" s="7" t="inlineStr">
        <is>
          <t>S2</t>
        </is>
      </c>
      <c r="E73" s="7" t="inlineStr">
        <is>
          <t>Riduzione della visibilità durante lo svolgimento di un'attività</t>
        </is>
      </c>
      <c r="F73" s="7" t="n">
        <v>0.25</v>
      </c>
      <c r="G73" s="7" t="n">
        <v>0.5553</v>
      </c>
      <c r="H73" s="7" t="n">
        <v>0.037</v>
      </c>
      <c r="I73" s="7" t="n">
        <v>2.0546</v>
      </c>
      <c r="J73" s="7" t="n">
        <v>17.62</v>
      </c>
    </row>
    <row r="74" ht="34" customHeight="1">
      <c r="A74" s="7" t="n">
        <v>10</v>
      </c>
      <c r="B74" s="7" t="n">
        <v>20</v>
      </c>
      <c r="C74" s="7" t="n">
        <v>24</v>
      </c>
      <c r="D74" s="7" t="inlineStr">
        <is>
          <t>S3</t>
        </is>
      </c>
      <c r="E74" s="7" t="inlineStr">
        <is>
          <t>Comportamenti non conformi durante lo svolgimento di un'attività</t>
        </is>
      </c>
      <c r="F74" s="7" t="n">
        <v>0</v>
      </c>
      <c r="G74" s="7" t="n">
        <v>0.0293</v>
      </c>
      <c r="H74" s="7" t="n">
        <v>0.0549</v>
      </c>
      <c r="I74" s="7" t="n">
        <v>0.1609</v>
      </c>
      <c r="J74" s="7" t="n">
        <v>1.38</v>
      </c>
    </row>
    <row r="75" ht="34" customHeight="1">
      <c r="A75" s="7" t="n">
        <v>10</v>
      </c>
      <c r="B75" s="7" t="n">
        <v>20</v>
      </c>
      <c r="C75" s="7" t="n">
        <v>24</v>
      </c>
      <c r="D75" s="7" t="inlineStr">
        <is>
          <t>S4</t>
        </is>
      </c>
      <c r="E75" s="7" t="inlineStr">
        <is>
          <t>Interferenza tra mezzo e infrastrutture interne all'impianto</t>
        </is>
      </c>
      <c r="F75" s="7" t="n">
        <v>0.25</v>
      </c>
      <c r="G75" s="7" t="n">
        <v>0.1419</v>
      </c>
      <c r="H75" s="7" t="n">
        <v>0.1538</v>
      </c>
      <c r="I75" s="7" t="n">
        <v>2.1824</v>
      </c>
      <c r="J75" s="7" t="n">
        <v>18.72</v>
      </c>
    </row>
    <row r="76" ht="34" customHeight="1">
      <c r="A76" s="7" t="n">
        <v>10</v>
      </c>
      <c r="B76" s="7" t="n">
        <v>20</v>
      </c>
      <c r="C76" s="7" t="n">
        <v>24</v>
      </c>
      <c r="D76" s="7" t="inlineStr">
        <is>
          <t>S5</t>
        </is>
      </c>
      <c r="E76" s="7" t="inlineStr">
        <is>
          <t>Instabilità di elementi strutturali o di stoccaggio soggetti a urto o sovraccarico</t>
        </is>
      </c>
      <c r="F76" s="7" t="n">
        <v>0.25</v>
      </c>
      <c r="G76" s="7" t="n">
        <v>0.0359</v>
      </c>
      <c r="H76" s="7" t="n">
        <v>0.2228</v>
      </c>
      <c r="I76" s="7" t="n">
        <v>0.7999000000000001</v>
      </c>
      <c r="J76" s="7" t="n">
        <v>6.86</v>
      </c>
    </row>
    <row r="77" ht="34" customHeight="1">
      <c r="A77" s="7" t="n">
        <v>10</v>
      </c>
      <c r="B77" s="7" t="n">
        <v>20</v>
      </c>
      <c r="C77" s="7" t="n">
        <v>24</v>
      </c>
      <c r="D77" s="7" t="inlineStr">
        <is>
          <t>S6</t>
        </is>
      </c>
      <c r="E77" s="7" t="inlineStr">
        <is>
          <t>Accesso a organi meccanici in movimento durante operazioni manuali</t>
        </is>
      </c>
      <c r="F77" s="7" t="n">
        <v>0</v>
      </c>
      <c r="G77" s="7" t="n">
        <v>0.0266</v>
      </c>
      <c r="H77" s="7" t="n">
        <v>0.3447</v>
      </c>
      <c r="I77" s="7" t="n">
        <v>0.9169</v>
      </c>
      <c r="J77" s="7" t="n">
        <v>7.86</v>
      </c>
    </row>
    <row r="78" ht="34" customHeight="1">
      <c r="A78" s="7" t="n">
        <v>10</v>
      </c>
      <c r="B78" s="7" t="n">
        <v>20</v>
      </c>
      <c r="C78" s="7" t="n">
        <v>24</v>
      </c>
      <c r="D78" s="7" t="inlineStr">
        <is>
          <t>S7</t>
        </is>
      </c>
      <c r="E78" s="7" t="inlineStr">
        <is>
          <t>Movimentazione manuale di carichi pesanti o instabili senza ausili meccanici adeguati</t>
        </is>
      </c>
      <c r="F78" s="7" t="n">
        <v>0</v>
      </c>
      <c r="G78" s="7" t="n">
        <v>0</v>
      </c>
      <c r="H78" s="7" t="n">
        <v>0.0759</v>
      </c>
      <c r="I78" s="7" t="n">
        <v>0</v>
      </c>
      <c r="J78" s="7" t="n">
        <v>0</v>
      </c>
    </row>
    <row r="79" ht="34" customHeight="1">
      <c r="A79" s="7" t="n">
        <v>11</v>
      </c>
      <c r="B79" s="7" t="n">
        <v>22</v>
      </c>
      <c r="C79" s="7" t="n">
        <v>26</v>
      </c>
      <c r="D79" s="7" t="inlineStr">
        <is>
          <t>S1</t>
        </is>
      </c>
      <c r="E79" s="7" t="inlineStr">
        <is>
          <t>Interferenza tra persone e mezzi di movimentazione negli spazi comuni</t>
        </is>
      </c>
      <c r="F79" s="7" t="n">
        <v>0.75</v>
      </c>
      <c r="G79" s="7" t="n">
        <v>0.75</v>
      </c>
      <c r="H79" s="7" t="n">
        <v>0.1109</v>
      </c>
      <c r="I79" s="7" t="n">
        <v>8.317500000000001</v>
      </c>
      <c r="J79" s="7" t="n">
        <v>28.32</v>
      </c>
    </row>
    <row r="80" ht="34" customHeight="1">
      <c r="A80" s="7" t="n">
        <v>11</v>
      </c>
      <c r="B80" s="7" t="n">
        <v>22</v>
      </c>
      <c r="C80" s="7" t="n">
        <v>26</v>
      </c>
      <c r="D80" s="7" t="inlineStr">
        <is>
          <t>S2</t>
        </is>
      </c>
      <c r="E80" s="7" t="inlineStr">
        <is>
          <t>Riduzione della visibilità durante lo svolgimento di un'attività</t>
        </is>
      </c>
      <c r="F80" s="7" t="n">
        <v>0.5</v>
      </c>
      <c r="G80" s="7" t="n">
        <v>0.8176</v>
      </c>
      <c r="H80" s="7" t="n">
        <v>0.037</v>
      </c>
      <c r="I80" s="7" t="n">
        <v>3.0251</v>
      </c>
      <c r="J80" s="7" t="n">
        <v>10.3</v>
      </c>
    </row>
    <row r="81" ht="34" customHeight="1">
      <c r="A81" s="7" t="n">
        <v>11</v>
      </c>
      <c r="B81" s="7" t="n">
        <v>22</v>
      </c>
      <c r="C81" s="7" t="n">
        <v>26</v>
      </c>
      <c r="D81" s="7" t="inlineStr">
        <is>
          <t>S3</t>
        </is>
      </c>
      <c r="E81" s="7" t="inlineStr">
        <is>
          <t>Comportamenti non conformi durante lo svolgimento di un'attività</t>
        </is>
      </c>
      <c r="F81" s="7" t="n">
        <v>0.5</v>
      </c>
      <c r="G81" s="7" t="n">
        <v>0.8176</v>
      </c>
      <c r="H81" s="7" t="n">
        <v>0.0549</v>
      </c>
      <c r="I81" s="7" t="n">
        <v>4.4886</v>
      </c>
      <c r="J81" s="7" t="n">
        <v>15.28</v>
      </c>
    </row>
    <row r="82" ht="34" customHeight="1">
      <c r="A82" s="7" t="n">
        <v>11</v>
      </c>
      <c r="B82" s="7" t="n">
        <v>22</v>
      </c>
      <c r="C82" s="7" t="n">
        <v>26</v>
      </c>
      <c r="D82" s="7" t="inlineStr">
        <is>
          <t>S4</t>
        </is>
      </c>
      <c r="E82" s="7" t="inlineStr">
        <is>
          <t>Interferenza tra mezzo e infrastrutture interne all'impianto</t>
        </is>
      </c>
      <c r="F82" s="7" t="n">
        <v>0.5</v>
      </c>
      <c r="G82" s="7" t="n">
        <v>0.7685</v>
      </c>
      <c r="H82" s="7" t="n">
        <v>0.1538</v>
      </c>
      <c r="I82" s="7" t="n">
        <v>11.8195</v>
      </c>
      <c r="J82" s="7" t="n">
        <v>40.24</v>
      </c>
    </row>
    <row r="83" ht="34" customHeight="1">
      <c r="A83" s="7" t="n">
        <v>11</v>
      </c>
      <c r="B83" s="7" t="n">
        <v>22</v>
      </c>
      <c r="C83" s="7" t="n">
        <v>26</v>
      </c>
      <c r="D83" s="7" t="inlineStr">
        <is>
          <t>S5</t>
        </is>
      </c>
      <c r="E83" s="7" t="inlineStr">
        <is>
          <t>Instabilità di elementi strutturali o di stoccaggio soggetti a urto o sovraccarico</t>
        </is>
      </c>
      <c r="F83" s="7" t="n">
        <v>0.25</v>
      </c>
      <c r="G83" s="7" t="n">
        <v>0.0359</v>
      </c>
      <c r="H83" s="7" t="n">
        <v>0.2228</v>
      </c>
      <c r="I83" s="7" t="n">
        <v>0.7999000000000001</v>
      </c>
      <c r="J83" s="7" t="n">
        <v>2.72</v>
      </c>
    </row>
    <row r="84" ht="34" customHeight="1">
      <c r="A84" s="7" t="n">
        <v>11</v>
      </c>
      <c r="B84" s="7" t="n">
        <v>22</v>
      </c>
      <c r="C84" s="7" t="n">
        <v>26</v>
      </c>
      <c r="D84" s="7" t="inlineStr">
        <is>
          <t>S6</t>
        </is>
      </c>
      <c r="E84" s="7" t="inlineStr">
        <is>
          <t>Accesso a organi meccanici in movimento durante operazioni manuali</t>
        </is>
      </c>
      <c r="F84" s="7" t="n">
        <v>0</v>
      </c>
      <c r="G84" s="7" t="n">
        <v>0.0266</v>
      </c>
      <c r="H84" s="7" t="n">
        <v>0.3447</v>
      </c>
      <c r="I84" s="7" t="n">
        <v>0.9169</v>
      </c>
      <c r="J84" s="7" t="n">
        <v>3.12</v>
      </c>
    </row>
    <row r="85" ht="34" customHeight="1">
      <c r="A85" s="7" t="n">
        <v>11</v>
      </c>
      <c r="B85" s="7" t="n">
        <v>22</v>
      </c>
      <c r="C85" s="7" t="n">
        <v>26</v>
      </c>
      <c r="D85" s="7" t="inlineStr">
        <is>
          <t>S7</t>
        </is>
      </c>
      <c r="E85" s="7" t="inlineStr">
        <is>
          <t>Movimentazione manuale di carichi pesanti o instabili senza ausili meccanici adeguati</t>
        </is>
      </c>
      <c r="F85" s="7" t="n">
        <v>0</v>
      </c>
      <c r="G85" s="7" t="n">
        <v>0</v>
      </c>
      <c r="H85" s="7" t="n">
        <v>0.0759</v>
      </c>
      <c r="I85" s="7" t="n">
        <v>0</v>
      </c>
      <c r="J85" s="7" t="n">
        <v>0</v>
      </c>
    </row>
    <row r="86" ht="34" customHeight="1">
      <c r="A86" s="7" t="n">
        <v>12</v>
      </c>
      <c r="B86" s="7" t="n">
        <v>24</v>
      </c>
      <c r="C86" s="7" t="n">
        <v>28</v>
      </c>
      <c r="D86" s="7" t="inlineStr">
        <is>
          <t>S1</t>
        </is>
      </c>
      <c r="E86" s="7" t="inlineStr">
        <is>
          <t>Interferenza tra persone e mezzi di movimentazione negli spazi comuni</t>
        </is>
      </c>
      <c r="F86" s="7" t="n">
        <v>0.75</v>
      </c>
      <c r="G86" s="7" t="n">
        <v>0.75</v>
      </c>
      <c r="H86" s="7" t="n">
        <v>0.1109</v>
      </c>
      <c r="I86" s="7" t="n">
        <v>8.317500000000001</v>
      </c>
      <c r="J86" s="7" t="n">
        <v>15.35</v>
      </c>
    </row>
    <row r="87" ht="34" customHeight="1">
      <c r="A87" s="7" t="n">
        <v>12</v>
      </c>
      <c r="B87" s="7" t="n">
        <v>24</v>
      </c>
      <c r="C87" s="7" t="n">
        <v>28</v>
      </c>
      <c r="D87" s="7" t="inlineStr">
        <is>
          <t>S2</t>
        </is>
      </c>
      <c r="E87" s="7" t="inlineStr">
        <is>
          <t>Riduzione della visibilità durante lo svolgimento di un'attività</t>
        </is>
      </c>
      <c r="F87" s="7" t="n">
        <v>0.5</v>
      </c>
      <c r="G87" s="7" t="n">
        <v>0.8176</v>
      </c>
      <c r="H87" s="7" t="n">
        <v>0.037</v>
      </c>
      <c r="I87" s="7" t="n">
        <v>3.0251</v>
      </c>
      <c r="J87" s="7" t="n">
        <v>5.58</v>
      </c>
    </row>
    <row r="88" ht="34" customHeight="1">
      <c r="A88" s="7" t="n">
        <v>12</v>
      </c>
      <c r="B88" s="7" t="n">
        <v>24</v>
      </c>
      <c r="C88" s="7" t="n">
        <v>28</v>
      </c>
      <c r="D88" s="7" t="inlineStr">
        <is>
          <t>S3</t>
        </is>
      </c>
      <c r="E88" s="7" t="inlineStr">
        <is>
          <t>Comportamenti non conformi durante lo svolgimento di un'attività</t>
        </is>
      </c>
      <c r="F88" s="7" t="n">
        <v>0.5</v>
      </c>
      <c r="G88" s="7" t="n">
        <v>0.8176</v>
      </c>
      <c r="H88" s="7" t="n">
        <v>0.0549</v>
      </c>
      <c r="I88" s="7" t="n">
        <v>4.4886</v>
      </c>
      <c r="J88" s="7" t="n">
        <v>8.279999999999999</v>
      </c>
    </row>
    <row r="89" ht="34" customHeight="1">
      <c r="A89" s="7" t="n">
        <v>12</v>
      </c>
      <c r="B89" s="7" t="n">
        <v>24</v>
      </c>
      <c r="C89" s="7" t="n">
        <v>28</v>
      </c>
      <c r="D89" s="7" t="inlineStr">
        <is>
          <t>S4</t>
        </is>
      </c>
      <c r="E89" s="7" t="inlineStr">
        <is>
          <t>Interferenza tra mezzo e infrastrutture interne all'impianto</t>
        </is>
      </c>
      <c r="F89" s="7" t="n">
        <v>0.75</v>
      </c>
      <c r="G89" s="7" t="n">
        <v>0.9852</v>
      </c>
      <c r="H89" s="7" t="n">
        <v>0.1538</v>
      </c>
      <c r="I89" s="7" t="n">
        <v>15.1524</v>
      </c>
      <c r="J89" s="7" t="n">
        <v>27.97</v>
      </c>
    </row>
    <row r="90" ht="34" customHeight="1">
      <c r="A90" s="7" t="n">
        <v>12</v>
      </c>
      <c r="B90" s="7" t="n">
        <v>24</v>
      </c>
      <c r="C90" s="7" t="n">
        <v>28</v>
      </c>
      <c r="D90" s="7" t="inlineStr">
        <is>
          <t>S5</t>
        </is>
      </c>
      <c r="E90" s="7" t="inlineStr">
        <is>
          <t>Instabilità di elementi strutturali o di stoccaggio soggetti a urto o sovraccarico</t>
        </is>
      </c>
      <c r="F90" s="7" t="n">
        <v>1</v>
      </c>
      <c r="G90" s="7" t="n">
        <v>1</v>
      </c>
      <c r="H90" s="7" t="n">
        <v>0.2228</v>
      </c>
      <c r="I90" s="7" t="n">
        <v>22.28</v>
      </c>
      <c r="J90" s="7" t="n">
        <v>41.12</v>
      </c>
    </row>
    <row r="91" ht="34" customHeight="1">
      <c r="A91" s="7" t="n">
        <v>12</v>
      </c>
      <c r="B91" s="7" t="n">
        <v>24</v>
      </c>
      <c r="C91" s="7" t="n">
        <v>28</v>
      </c>
      <c r="D91" s="7" t="inlineStr">
        <is>
          <t>S6</t>
        </is>
      </c>
      <c r="E91" s="7" t="inlineStr">
        <is>
          <t>Accesso a organi meccanici in movimento durante operazioni manuali</t>
        </is>
      </c>
      <c r="F91" s="7" t="n">
        <v>0</v>
      </c>
      <c r="G91" s="7" t="n">
        <v>0.0266</v>
      </c>
      <c r="H91" s="7" t="n">
        <v>0.3447</v>
      </c>
      <c r="I91" s="7" t="n">
        <v>0.9169</v>
      </c>
      <c r="J91" s="7" t="n">
        <v>1.69</v>
      </c>
    </row>
    <row r="92" ht="34" customHeight="1">
      <c r="A92" s="7" t="n">
        <v>12</v>
      </c>
      <c r="B92" s="7" t="n">
        <v>24</v>
      </c>
      <c r="C92" s="7" t="n">
        <v>28</v>
      </c>
      <c r="D92" s="7" t="inlineStr">
        <is>
          <t>S7</t>
        </is>
      </c>
      <c r="E92" s="7" t="inlineStr">
        <is>
          <t>Movimentazione manuale di carichi pesanti o instabili senza ausili meccanici adeguati</t>
        </is>
      </c>
      <c r="F92" s="7" t="n">
        <v>0</v>
      </c>
      <c r="G92" s="7" t="n">
        <v>0</v>
      </c>
      <c r="H92" s="7" t="n">
        <v>0.0759</v>
      </c>
      <c r="I92" s="7" t="n">
        <v>0</v>
      </c>
      <c r="J92" s="7" t="n">
        <v>0</v>
      </c>
    </row>
    <row r="93" ht="34" customHeight="1">
      <c r="A93" s="7" t="n">
        <v>13</v>
      </c>
      <c r="B93" s="7" t="n">
        <v>26</v>
      </c>
      <c r="C93" s="7" t="n">
        <v>30</v>
      </c>
      <c r="D93" s="7" t="inlineStr">
        <is>
          <t>S1</t>
        </is>
      </c>
      <c r="E93" s="7" t="inlineStr">
        <is>
          <t>Interferenza tra persone e mezzi di movimentazione negli spazi comuni</t>
        </is>
      </c>
      <c r="F93" s="7" t="n">
        <v>0.5</v>
      </c>
      <c r="G93" s="7" t="n">
        <v>0.5</v>
      </c>
      <c r="H93" s="7" t="n">
        <v>0.1109</v>
      </c>
      <c r="I93" s="7" t="n">
        <v>5.545</v>
      </c>
      <c r="J93" s="7" t="n">
        <v>15.45</v>
      </c>
    </row>
    <row r="94" ht="34" customHeight="1">
      <c r="A94" s="7" t="n">
        <v>13</v>
      </c>
      <c r="B94" s="7" t="n">
        <v>26</v>
      </c>
      <c r="C94" s="7" t="n">
        <v>30</v>
      </c>
      <c r="D94" s="7" t="inlineStr">
        <is>
          <t>S2</t>
        </is>
      </c>
      <c r="E94" s="7" t="inlineStr">
        <is>
          <t>Riduzione della visibilità durante lo svolgimento di un'attività</t>
        </is>
      </c>
      <c r="F94" s="7" t="n">
        <v>0.75</v>
      </c>
      <c r="G94" s="7" t="n">
        <v>0.9415</v>
      </c>
      <c r="H94" s="7" t="n">
        <v>0.037</v>
      </c>
      <c r="I94" s="7" t="n">
        <v>3.4835</v>
      </c>
      <c r="J94" s="7" t="n">
        <v>9.710000000000001</v>
      </c>
    </row>
    <row r="95" ht="34" customHeight="1">
      <c r="A95" s="7" t="n">
        <v>13</v>
      </c>
      <c r="B95" s="7" t="n">
        <v>26</v>
      </c>
      <c r="C95" s="7" t="n">
        <v>30</v>
      </c>
      <c r="D95" s="7" t="inlineStr">
        <is>
          <t>S3</t>
        </is>
      </c>
      <c r="E95" s="7" t="inlineStr">
        <is>
          <t>Comportamenti non conformi durante lo svolgimento di un'attività</t>
        </is>
      </c>
      <c r="F95" s="7" t="n">
        <v>0.25</v>
      </c>
      <c r="G95" s="7" t="n">
        <v>0.2689</v>
      </c>
      <c r="H95" s="7" t="n">
        <v>0.0549</v>
      </c>
      <c r="I95" s="7" t="n">
        <v>1.4763</v>
      </c>
      <c r="J95" s="7" t="n">
        <v>4.11</v>
      </c>
    </row>
    <row r="96" ht="34" customHeight="1">
      <c r="A96" s="7" t="n">
        <v>13</v>
      </c>
      <c r="B96" s="7" t="n">
        <v>26</v>
      </c>
      <c r="C96" s="7" t="n">
        <v>30</v>
      </c>
      <c r="D96" s="7" t="inlineStr">
        <is>
          <t>S4</t>
        </is>
      </c>
      <c r="E96" s="7" t="inlineStr">
        <is>
          <t>Interferenza tra mezzo e infrastrutture interne all'impianto</t>
        </is>
      </c>
      <c r="F96" s="7" t="n">
        <v>0.25</v>
      </c>
      <c r="G96" s="7" t="n">
        <v>0.1419</v>
      </c>
      <c r="H96" s="7" t="n">
        <v>0.1538</v>
      </c>
      <c r="I96" s="7" t="n">
        <v>2.1824</v>
      </c>
      <c r="J96" s="7" t="n">
        <v>6.08</v>
      </c>
    </row>
    <row r="97" ht="34" customHeight="1">
      <c r="A97" s="7" t="n">
        <v>13</v>
      </c>
      <c r="B97" s="7" t="n">
        <v>26</v>
      </c>
      <c r="C97" s="7" t="n">
        <v>30</v>
      </c>
      <c r="D97" s="7" t="inlineStr">
        <is>
          <t>S5</t>
        </is>
      </c>
      <c r="E97" s="7" t="inlineStr">
        <is>
          <t>Instabilità di elementi strutturali o di stoccaggio soggetti a urto o sovraccarico</t>
        </is>
      </c>
      <c r="F97" s="7" t="n">
        <v>1</v>
      </c>
      <c r="G97" s="7" t="n">
        <v>1</v>
      </c>
      <c r="H97" s="7" t="n">
        <v>0.2228</v>
      </c>
      <c r="I97" s="7" t="n">
        <v>22.28</v>
      </c>
      <c r="J97" s="7" t="n">
        <v>62.1</v>
      </c>
    </row>
    <row r="98" ht="34" customHeight="1">
      <c r="A98" s="7" t="n">
        <v>13</v>
      </c>
      <c r="B98" s="7" t="n">
        <v>26</v>
      </c>
      <c r="C98" s="7" t="n">
        <v>30</v>
      </c>
      <c r="D98" s="7" t="inlineStr">
        <is>
          <t>S6</t>
        </is>
      </c>
      <c r="E98" s="7" t="inlineStr">
        <is>
          <t>Accesso a organi meccanici in movimento durante operazioni manuali</t>
        </is>
      </c>
      <c r="F98" s="7" t="n">
        <v>0</v>
      </c>
      <c r="G98" s="7" t="n">
        <v>0.0266</v>
      </c>
      <c r="H98" s="7" t="n">
        <v>0.3447</v>
      </c>
      <c r="I98" s="7" t="n">
        <v>0.9169</v>
      </c>
      <c r="J98" s="7" t="n">
        <v>2.56</v>
      </c>
    </row>
    <row r="99" ht="34" customHeight="1">
      <c r="A99" s="7" t="n">
        <v>13</v>
      </c>
      <c r="B99" s="7" t="n">
        <v>26</v>
      </c>
      <c r="C99" s="7" t="n">
        <v>30</v>
      </c>
      <c r="D99" s="7" t="inlineStr">
        <is>
          <t>S7</t>
        </is>
      </c>
      <c r="E99" s="7" t="inlineStr">
        <is>
          <t>Movimentazione manuale di carichi pesanti o instabili senza ausili meccanici adeguati</t>
        </is>
      </c>
      <c r="F99" s="7" t="n">
        <v>0</v>
      </c>
      <c r="G99" s="7" t="n">
        <v>0</v>
      </c>
      <c r="H99" s="7" t="n">
        <v>0.0759</v>
      </c>
      <c r="I99" s="7" t="n">
        <v>0</v>
      </c>
      <c r="J99" s="7" t="n">
        <v>0</v>
      </c>
    </row>
    <row r="100" ht="34" customHeight="1">
      <c r="A100" s="7" t="n">
        <v>14</v>
      </c>
      <c r="B100" s="7" t="n">
        <v>28</v>
      </c>
      <c r="C100" s="7" t="n">
        <v>32</v>
      </c>
      <c r="D100" s="7" t="inlineStr">
        <is>
          <t>S1</t>
        </is>
      </c>
      <c r="E100" s="7" t="inlineStr">
        <is>
          <t>Interferenza tra persone e mezzi di movimentazione negli spazi comuni</t>
        </is>
      </c>
      <c r="F100" s="7" t="n">
        <v>0</v>
      </c>
      <c r="G100" s="7" t="n">
        <v>0</v>
      </c>
      <c r="H100" s="7" t="n">
        <v>0.1109</v>
      </c>
      <c r="I100" s="7" t="n">
        <v>0</v>
      </c>
      <c r="J100" s="7" t="n">
        <v>0</v>
      </c>
    </row>
    <row r="101" ht="34" customHeight="1">
      <c r="A101" s="7" t="n">
        <v>14</v>
      </c>
      <c r="B101" s="7" t="n">
        <v>28</v>
      </c>
      <c r="C101" s="7" t="n">
        <v>32</v>
      </c>
      <c r="D101" s="7" t="inlineStr">
        <is>
          <t>S2</t>
        </is>
      </c>
      <c r="E101" s="7" t="inlineStr">
        <is>
          <t>Riduzione della visibilità durante lo svolgimento di un'attività</t>
        </is>
      </c>
      <c r="F101" s="7" t="n">
        <v>0.5</v>
      </c>
      <c r="G101" s="7" t="n">
        <v>0.8176</v>
      </c>
      <c r="H101" s="7" t="n">
        <v>0.037</v>
      </c>
      <c r="I101" s="7" t="n">
        <v>3.0251</v>
      </c>
      <c r="J101" s="7" t="n">
        <v>7.28</v>
      </c>
    </row>
    <row r="102" ht="34" customHeight="1">
      <c r="A102" s="7" t="n">
        <v>14</v>
      </c>
      <c r="B102" s="7" t="n">
        <v>28</v>
      </c>
      <c r="C102" s="7" t="n">
        <v>32</v>
      </c>
      <c r="D102" s="7" t="inlineStr">
        <is>
          <t>S3</t>
        </is>
      </c>
      <c r="E102" s="7" t="inlineStr">
        <is>
          <t>Comportamenti non conformi durante lo svolgimento di un'attività</t>
        </is>
      </c>
      <c r="F102" s="7" t="n">
        <v>0</v>
      </c>
      <c r="G102" s="7" t="n">
        <v>0.0293</v>
      </c>
      <c r="H102" s="7" t="n">
        <v>0.0549</v>
      </c>
      <c r="I102" s="7" t="n">
        <v>0.1609</v>
      </c>
      <c r="J102" s="7" t="n">
        <v>0.39</v>
      </c>
    </row>
    <row r="103" ht="34" customHeight="1">
      <c r="A103" s="7" t="n">
        <v>14</v>
      </c>
      <c r="B103" s="7" t="n">
        <v>28</v>
      </c>
      <c r="C103" s="7" t="n">
        <v>32</v>
      </c>
      <c r="D103" s="7" t="inlineStr">
        <is>
          <t>S4</t>
        </is>
      </c>
      <c r="E103" s="7" t="inlineStr">
        <is>
          <t>Interferenza tra mezzo e infrastrutture interne all'impianto</t>
        </is>
      </c>
      <c r="F103" s="7" t="n">
        <v>0.75</v>
      </c>
      <c r="G103" s="7" t="n">
        <v>0.9852</v>
      </c>
      <c r="H103" s="7" t="n">
        <v>0.1538</v>
      </c>
      <c r="I103" s="7" t="n">
        <v>15.1524</v>
      </c>
      <c r="J103" s="7" t="n">
        <v>36.48</v>
      </c>
    </row>
    <row r="104" ht="34" customHeight="1">
      <c r="A104" s="7" t="n">
        <v>14</v>
      </c>
      <c r="B104" s="7" t="n">
        <v>28</v>
      </c>
      <c r="C104" s="7" t="n">
        <v>32</v>
      </c>
      <c r="D104" s="7" t="inlineStr">
        <is>
          <t>S5</t>
        </is>
      </c>
      <c r="E104" s="7" t="inlineStr">
        <is>
          <t>Instabilità di elementi strutturali o di stoccaggio soggetti a urto o sovraccarico</t>
        </is>
      </c>
      <c r="F104" s="7" t="n">
        <v>1</v>
      </c>
      <c r="G104" s="7" t="n">
        <v>1</v>
      </c>
      <c r="H104" s="7" t="n">
        <v>0.2228</v>
      </c>
      <c r="I104" s="7" t="n">
        <v>22.28</v>
      </c>
      <c r="J104" s="7" t="n">
        <v>53.64</v>
      </c>
    </row>
    <row r="105" ht="34" customHeight="1">
      <c r="A105" s="7" t="n">
        <v>14</v>
      </c>
      <c r="B105" s="7" t="n">
        <v>28</v>
      </c>
      <c r="C105" s="7" t="n">
        <v>32</v>
      </c>
      <c r="D105" s="7" t="inlineStr">
        <is>
          <t>S6</t>
        </is>
      </c>
      <c r="E105" s="7" t="inlineStr">
        <is>
          <t>Accesso a organi meccanici in movimento durante operazioni manuali</t>
        </is>
      </c>
      <c r="F105" s="7" t="n">
        <v>0</v>
      </c>
      <c r="G105" s="7" t="n">
        <v>0.0266</v>
      </c>
      <c r="H105" s="7" t="n">
        <v>0.3447</v>
      </c>
      <c r="I105" s="7" t="n">
        <v>0.9169</v>
      </c>
      <c r="J105" s="7" t="n">
        <v>2.21</v>
      </c>
    </row>
    <row r="106" ht="34" customHeight="1">
      <c r="A106" s="7" t="n">
        <v>14</v>
      </c>
      <c r="B106" s="7" t="n">
        <v>28</v>
      </c>
      <c r="C106" s="7" t="n">
        <v>32</v>
      </c>
      <c r="D106" s="7" t="inlineStr">
        <is>
          <t>S7</t>
        </is>
      </c>
      <c r="E106" s="7" t="inlineStr">
        <is>
          <t>Movimentazione manuale di carichi pesanti o instabili senza ausili meccanici adeguati</t>
        </is>
      </c>
      <c r="F106" s="7" t="n">
        <v>0</v>
      </c>
      <c r="G106" s="7" t="n">
        <v>0</v>
      </c>
      <c r="H106" s="7" t="n">
        <v>0.0759</v>
      </c>
      <c r="I106" s="7" t="n">
        <v>0</v>
      </c>
      <c r="J106" s="7" t="n">
        <v>0</v>
      </c>
    </row>
    <row r="107" ht="34" customHeight="1">
      <c r="A107" s="7" t="n">
        <v>15</v>
      </c>
      <c r="B107" s="7" t="n">
        <v>30</v>
      </c>
      <c r="C107" s="7" t="n">
        <v>34</v>
      </c>
      <c r="D107" s="7" t="inlineStr">
        <is>
          <t>S1</t>
        </is>
      </c>
      <c r="E107" s="7" t="inlineStr">
        <is>
          <t>Interferenza tra persone e mezzi di movimentazione negli spazi comuni</t>
        </is>
      </c>
      <c r="F107" s="7" t="n">
        <v>0</v>
      </c>
      <c r="G107" s="7" t="n">
        <v>0</v>
      </c>
      <c r="H107" s="7" t="n">
        <v>0.1109</v>
      </c>
      <c r="I107" s="7" t="n">
        <v>0</v>
      </c>
      <c r="J107" s="7" t="n">
        <v>0</v>
      </c>
    </row>
    <row r="108" ht="34" customHeight="1">
      <c r="A108" s="7" t="n">
        <v>15</v>
      </c>
      <c r="B108" s="7" t="n">
        <v>30</v>
      </c>
      <c r="C108" s="7" t="n">
        <v>34</v>
      </c>
      <c r="D108" s="7" t="inlineStr">
        <is>
          <t>S2</t>
        </is>
      </c>
      <c r="E108" s="7" t="inlineStr">
        <is>
          <t>Riduzione della visibilità durante lo svolgimento di un'attività</t>
        </is>
      </c>
      <c r="F108" s="7" t="n">
        <v>0.5</v>
      </c>
      <c r="G108" s="7" t="n">
        <v>0.8176</v>
      </c>
      <c r="H108" s="7" t="n">
        <v>0.037</v>
      </c>
      <c r="I108" s="7" t="n">
        <v>3.0251</v>
      </c>
      <c r="J108" s="7" t="n">
        <v>11.41</v>
      </c>
    </row>
    <row r="109" ht="34" customHeight="1">
      <c r="A109" s="7" t="n">
        <v>15</v>
      </c>
      <c r="B109" s="7" t="n">
        <v>30</v>
      </c>
      <c r="C109" s="7" t="n">
        <v>34</v>
      </c>
      <c r="D109" s="7" t="inlineStr">
        <is>
          <t>S3</t>
        </is>
      </c>
      <c r="E109" s="7" t="inlineStr">
        <is>
          <t>Comportamenti non conformi durante lo svolgimento di un'attività</t>
        </is>
      </c>
      <c r="F109" s="7" t="n">
        <v>0</v>
      </c>
      <c r="G109" s="7" t="n">
        <v>0.0293</v>
      </c>
      <c r="H109" s="7" t="n">
        <v>0.0549</v>
      </c>
      <c r="I109" s="7" t="n">
        <v>0.1609</v>
      </c>
      <c r="J109" s="7" t="n">
        <v>0.61</v>
      </c>
    </row>
    <row r="110" ht="34" customHeight="1">
      <c r="A110" s="7" t="n">
        <v>15</v>
      </c>
      <c r="B110" s="7" t="n">
        <v>30</v>
      </c>
      <c r="C110" s="7" t="n">
        <v>34</v>
      </c>
      <c r="D110" s="7" t="inlineStr">
        <is>
          <t>S4</t>
        </is>
      </c>
      <c r="E110" s="7" t="inlineStr">
        <is>
          <t>Interferenza tra mezzo e infrastrutture interne all'impianto</t>
        </is>
      </c>
      <c r="F110" s="7" t="n">
        <v>0</v>
      </c>
      <c r="G110" s="7" t="n">
        <v>0.008200000000000001</v>
      </c>
      <c r="H110" s="7" t="n">
        <v>0.1538</v>
      </c>
      <c r="I110" s="7" t="n">
        <v>0.1261</v>
      </c>
      <c r="J110" s="7" t="n">
        <v>0.48</v>
      </c>
    </row>
    <row r="111" ht="34" customHeight="1">
      <c r="A111" s="7" t="n">
        <v>15</v>
      </c>
      <c r="B111" s="7" t="n">
        <v>30</v>
      </c>
      <c r="C111" s="7" t="n">
        <v>34</v>
      </c>
      <c r="D111" s="7" t="inlineStr">
        <is>
          <t>S5</t>
        </is>
      </c>
      <c r="E111" s="7" t="inlineStr">
        <is>
          <t>Instabilità di elementi strutturali o di stoccaggio soggetti a urto o sovraccarico</t>
        </is>
      </c>
      <c r="F111" s="7" t="n">
        <v>1</v>
      </c>
      <c r="G111" s="7" t="n">
        <v>1</v>
      </c>
      <c r="H111" s="7" t="n">
        <v>0.2228</v>
      </c>
      <c r="I111" s="7" t="n">
        <v>22.28</v>
      </c>
      <c r="J111" s="7" t="n">
        <v>84.04000000000001</v>
      </c>
    </row>
    <row r="112" ht="34" customHeight="1">
      <c r="A112" s="7" t="n">
        <v>15</v>
      </c>
      <c r="B112" s="7" t="n">
        <v>30</v>
      </c>
      <c r="C112" s="7" t="n">
        <v>34</v>
      </c>
      <c r="D112" s="7" t="inlineStr">
        <is>
          <t>S6</t>
        </is>
      </c>
      <c r="E112" s="7" t="inlineStr">
        <is>
          <t>Accesso a organi meccanici in movimento durante operazioni manuali</t>
        </is>
      </c>
      <c r="F112" s="7" t="n">
        <v>0</v>
      </c>
      <c r="G112" s="7" t="n">
        <v>0.0266</v>
      </c>
      <c r="H112" s="7" t="n">
        <v>0.3447</v>
      </c>
      <c r="I112" s="7" t="n">
        <v>0.9169</v>
      </c>
      <c r="J112" s="7" t="n">
        <v>3.46</v>
      </c>
    </row>
    <row r="113" ht="34" customHeight="1">
      <c r="A113" s="7" t="n">
        <v>15</v>
      </c>
      <c r="B113" s="7" t="n">
        <v>30</v>
      </c>
      <c r="C113" s="7" t="n">
        <v>34</v>
      </c>
      <c r="D113" s="7" t="inlineStr">
        <is>
          <t>S7</t>
        </is>
      </c>
      <c r="E113" s="7" t="inlineStr">
        <is>
          <t>Movimentazione manuale di carichi pesanti o instabili senza ausili meccanici adeguati</t>
        </is>
      </c>
      <c r="F113" s="7" t="n">
        <v>0</v>
      </c>
      <c r="G113" s="7" t="n">
        <v>0</v>
      </c>
      <c r="H113" s="7" t="n">
        <v>0.0759</v>
      </c>
      <c r="I113" s="7" t="n">
        <v>0</v>
      </c>
      <c r="J113" s="7" t="n">
        <v>0</v>
      </c>
    </row>
    <row r="114" ht="34" customHeight="1">
      <c r="A114" s="7" t="n">
        <v>16</v>
      </c>
      <c r="B114" s="7" t="n">
        <v>32</v>
      </c>
      <c r="C114" s="7" t="n">
        <v>35.867</v>
      </c>
      <c r="D114" s="7" t="inlineStr">
        <is>
          <t>S1</t>
        </is>
      </c>
      <c r="E114" s="7" t="inlineStr">
        <is>
          <t>Interferenza tra persone e mezzi di movimentazione negli spazi comuni</t>
        </is>
      </c>
      <c r="F114" s="7" t="n">
        <v>0</v>
      </c>
      <c r="G114" s="7" t="n">
        <v>0</v>
      </c>
      <c r="H114" s="7" t="n">
        <v>0.1109</v>
      </c>
      <c r="I114" s="7" t="n">
        <v>0</v>
      </c>
      <c r="J114" s="7" t="n">
        <v>0</v>
      </c>
    </row>
    <row r="115" ht="34" customHeight="1">
      <c r="A115" s="7" t="n">
        <v>16</v>
      </c>
      <c r="B115" s="7" t="n">
        <v>32</v>
      </c>
      <c r="C115" s="7" t="n">
        <v>35.867</v>
      </c>
      <c r="D115" s="7" t="inlineStr">
        <is>
          <t>S2</t>
        </is>
      </c>
      <c r="E115" s="7" t="inlineStr">
        <is>
          <t>Riduzione della visibilità durante lo svolgimento di un'attività</t>
        </is>
      </c>
      <c r="F115" s="7" t="n">
        <v>0.25</v>
      </c>
      <c r="G115" s="7" t="n">
        <v>0.5553</v>
      </c>
      <c r="H115" s="7" t="n">
        <v>0.037</v>
      </c>
      <c r="I115" s="7" t="n">
        <v>2.0546</v>
      </c>
      <c r="J115" s="7" t="n">
        <v>14.24</v>
      </c>
    </row>
    <row r="116" ht="34" customHeight="1">
      <c r="A116" s="7" t="n">
        <v>16</v>
      </c>
      <c r="B116" s="7" t="n">
        <v>32</v>
      </c>
      <c r="C116" s="7" t="n">
        <v>35.867</v>
      </c>
      <c r="D116" s="7" t="inlineStr">
        <is>
          <t>S3</t>
        </is>
      </c>
      <c r="E116" s="7" t="inlineStr">
        <is>
          <t>Comportamenti non conformi durante lo svolgimento di un'attività</t>
        </is>
      </c>
      <c r="F116" s="7" t="n">
        <v>0</v>
      </c>
      <c r="G116" s="7" t="n">
        <v>0.0293</v>
      </c>
      <c r="H116" s="7" t="n">
        <v>0.0549</v>
      </c>
      <c r="I116" s="7" t="n">
        <v>0.1609</v>
      </c>
      <c r="J116" s="7" t="n">
        <v>1.12</v>
      </c>
    </row>
    <row r="117" ht="34" customHeight="1">
      <c r="A117" s="7" t="n">
        <v>16</v>
      </c>
      <c r="B117" s="7" t="n">
        <v>32</v>
      </c>
      <c r="C117" s="7" t="n">
        <v>35.867</v>
      </c>
      <c r="D117" s="7" t="inlineStr">
        <is>
          <t>S4</t>
        </is>
      </c>
      <c r="E117" s="7" t="inlineStr">
        <is>
          <t>Interferenza tra mezzo e infrastrutture interne all'impianto</t>
        </is>
      </c>
      <c r="F117" s="7" t="n">
        <v>0</v>
      </c>
      <c r="G117" s="7" t="n">
        <v>0.008200000000000001</v>
      </c>
      <c r="H117" s="7" t="n">
        <v>0.1538</v>
      </c>
      <c r="I117" s="7" t="n">
        <v>0.1261</v>
      </c>
      <c r="J117" s="7" t="n">
        <v>0.87</v>
      </c>
    </row>
    <row r="118" ht="34" customHeight="1">
      <c r="A118" s="7" t="n">
        <v>16</v>
      </c>
      <c r="B118" s="7" t="n">
        <v>32</v>
      </c>
      <c r="C118" s="7" t="n">
        <v>35.867</v>
      </c>
      <c r="D118" s="7" t="inlineStr">
        <is>
          <t>S5</t>
        </is>
      </c>
      <c r="E118" s="7" t="inlineStr">
        <is>
          <t>Instabilità di elementi strutturali o di stoccaggio soggetti a urto o sovraccarico</t>
        </is>
      </c>
      <c r="F118" s="7" t="n">
        <v>0.75</v>
      </c>
      <c r="G118" s="7" t="n">
        <v>0.5014</v>
      </c>
      <c r="H118" s="7" t="n">
        <v>0.2228</v>
      </c>
      <c r="I118" s="7" t="n">
        <v>11.1712</v>
      </c>
      <c r="J118" s="7" t="n">
        <v>77.42</v>
      </c>
    </row>
    <row r="119" ht="34" customHeight="1">
      <c r="A119" s="7" t="n">
        <v>16</v>
      </c>
      <c r="B119" s="7" t="n">
        <v>32</v>
      </c>
      <c r="C119" s="7" t="n">
        <v>35.867</v>
      </c>
      <c r="D119" s="7" t="inlineStr">
        <is>
          <t>S6</t>
        </is>
      </c>
      <c r="E119" s="7" t="inlineStr">
        <is>
          <t>Accesso a organi meccanici in movimento durante operazioni manuali</t>
        </is>
      </c>
      <c r="F119" s="7" t="n">
        <v>0</v>
      </c>
      <c r="G119" s="7" t="n">
        <v>0.0266</v>
      </c>
      <c r="H119" s="7" t="n">
        <v>0.3447</v>
      </c>
      <c r="I119" s="7" t="n">
        <v>0.9169</v>
      </c>
      <c r="J119" s="7" t="n">
        <v>6.35</v>
      </c>
    </row>
    <row r="120" ht="34" customHeight="1">
      <c r="A120" s="7" t="n">
        <v>16</v>
      </c>
      <c r="B120" s="7" t="n">
        <v>32</v>
      </c>
      <c r="C120" s="7" t="n">
        <v>35.867</v>
      </c>
      <c r="D120" s="7" t="inlineStr">
        <is>
          <t>S7</t>
        </is>
      </c>
      <c r="E120" s="7" t="inlineStr">
        <is>
          <t>Movimentazione manuale di carichi pesanti o instabili senza ausili meccanici adeguati</t>
        </is>
      </c>
      <c r="F120" s="7" t="n">
        <v>0</v>
      </c>
      <c r="G120" s="7" t="n">
        <v>0</v>
      </c>
      <c r="H120" s="7" t="n">
        <v>0.0759</v>
      </c>
      <c r="I120" s="7" t="n">
        <v>0</v>
      </c>
      <c r="J120" s="7" t="n">
        <v>0</v>
      </c>
    </row>
    <row r="121" ht="34" customHeight="1">
      <c r="A121" s="7" t="n">
        <v>17</v>
      </c>
      <c r="B121" s="7" t="n">
        <v>34</v>
      </c>
      <c r="C121" s="7" t="n">
        <v>35.867</v>
      </c>
      <c r="D121" s="7" t="inlineStr">
        <is>
          <t>S1</t>
        </is>
      </c>
      <c r="E121" s="7" t="inlineStr">
        <is>
          <t>Interferenza tra persone e mezzi di movimentazione negli spazi comuni</t>
        </is>
      </c>
      <c r="F121" s="7" t="n">
        <v>0</v>
      </c>
      <c r="G121" s="7" t="n">
        <v>0</v>
      </c>
      <c r="H121" s="7" t="n">
        <v>0.1109</v>
      </c>
      <c r="I121" s="7" t="n">
        <v>0</v>
      </c>
      <c r="J121" s="7" t="n">
        <v>0</v>
      </c>
    </row>
    <row r="122" ht="34" customHeight="1">
      <c r="A122" s="7" t="n">
        <v>17</v>
      </c>
      <c r="B122" s="7" t="n">
        <v>34</v>
      </c>
      <c r="C122" s="7" t="n">
        <v>35.867</v>
      </c>
      <c r="D122" s="7" t="inlineStr">
        <is>
          <t>S2</t>
        </is>
      </c>
      <c r="E122" s="7" t="inlineStr">
        <is>
          <t>Riduzione della visibilità durante lo svolgimento di un'attività</t>
        </is>
      </c>
      <c r="F122" s="7" t="n">
        <v>0.25</v>
      </c>
      <c r="G122" s="7" t="n">
        <v>0.5553</v>
      </c>
      <c r="H122" s="7" t="n">
        <v>0.037</v>
      </c>
      <c r="I122" s="7" t="n">
        <v>2.0546</v>
      </c>
      <c r="J122" s="7" t="n">
        <v>63.02</v>
      </c>
    </row>
    <row r="123" ht="34" customHeight="1">
      <c r="A123" s="7" t="n">
        <v>17</v>
      </c>
      <c r="B123" s="7" t="n">
        <v>34</v>
      </c>
      <c r="C123" s="7" t="n">
        <v>35.867</v>
      </c>
      <c r="D123" s="7" t="inlineStr">
        <is>
          <t>S3</t>
        </is>
      </c>
      <c r="E123" s="7" t="inlineStr">
        <is>
          <t>Comportamenti non conformi durante lo svolgimento di un'attività</t>
        </is>
      </c>
      <c r="F123" s="7" t="n">
        <v>0</v>
      </c>
      <c r="G123" s="7" t="n">
        <v>0.0293</v>
      </c>
      <c r="H123" s="7" t="n">
        <v>0.0549</v>
      </c>
      <c r="I123" s="7" t="n">
        <v>0.1609</v>
      </c>
      <c r="J123" s="7" t="n">
        <v>4.94</v>
      </c>
    </row>
    <row r="124" ht="34" customHeight="1">
      <c r="A124" s="7" t="n">
        <v>17</v>
      </c>
      <c r="B124" s="7" t="n">
        <v>34</v>
      </c>
      <c r="C124" s="7" t="n">
        <v>35.867</v>
      </c>
      <c r="D124" s="7" t="inlineStr">
        <is>
          <t>S4</t>
        </is>
      </c>
      <c r="E124" s="7" t="inlineStr">
        <is>
          <t>Interferenza tra mezzo e infrastrutture interne all'impianto</t>
        </is>
      </c>
      <c r="F124" s="7" t="n">
        <v>0</v>
      </c>
      <c r="G124" s="7" t="n">
        <v>0.008200000000000001</v>
      </c>
      <c r="H124" s="7" t="n">
        <v>0.1538</v>
      </c>
      <c r="I124" s="7" t="n">
        <v>0.1261</v>
      </c>
      <c r="J124" s="7" t="n">
        <v>3.87</v>
      </c>
    </row>
    <row r="125" ht="34" customHeight="1">
      <c r="A125" s="7" t="n">
        <v>17</v>
      </c>
      <c r="B125" s="7" t="n">
        <v>34</v>
      </c>
      <c r="C125" s="7" t="n">
        <v>35.867</v>
      </c>
      <c r="D125" s="7" t="inlineStr">
        <is>
          <t>S5</t>
        </is>
      </c>
      <c r="E125" s="7" t="inlineStr">
        <is>
          <t>Instabilità di elementi strutturali o di stoccaggio soggetti a urto o sovraccarico</t>
        </is>
      </c>
      <c r="F125" s="7" t="n">
        <v>0</v>
      </c>
      <c r="G125" s="7" t="n">
        <v>0</v>
      </c>
      <c r="H125" s="7" t="n">
        <v>0.2228</v>
      </c>
      <c r="I125" s="7" t="n">
        <v>0</v>
      </c>
      <c r="J125" s="7" t="n">
        <v>0</v>
      </c>
    </row>
    <row r="126" ht="34" customHeight="1">
      <c r="A126" s="7" t="n">
        <v>17</v>
      </c>
      <c r="B126" s="7" t="n">
        <v>34</v>
      </c>
      <c r="C126" s="7" t="n">
        <v>35.867</v>
      </c>
      <c r="D126" s="7" t="inlineStr">
        <is>
          <t>S6</t>
        </is>
      </c>
      <c r="E126" s="7" t="inlineStr">
        <is>
          <t>Accesso a organi meccanici in movimento durante operazioni manuali</t>
        </is>
      </c>
      <c r="F126" s="7" t="n">
        <v>0</v>
      </c>
      <c r="G126" s="7" t="n">
        <v>0.0266</v>
      </c>
      <c r="H126" s="7" t="n">
        <v>0.3447</v>
      </c>
      <c r="I126" s="7" t="n">
        <v>0.9169</v>
      </c>
      <c r="J126" s="7" t="n">
        <v>28.13</v>
      </c>
    </row>
    <row r="127" ht="34" customHeight="1">
      <c r="A127" s="7" t="n">
        <v>17</v>
      </c>
      <c r="B127" s="7" t="n">
        <v>34</v>
      </c>
      <c r="C127" s="7" t="n">
        <v>35.867</v>
      </c>
      <c r="D127" s="7" t="inlineStr">
        <is>
          <t>S7</t>
        </is>
      </c>
      <c r="E127" s="7" t="inlineStr">
        <is>
          <t>Movimentazione manuale di carichi pesanti o instabili senza ausili meccanici adeguati</t>
        </is>
      </c>
      <c r="F127" s="7" t="n">
        <v>0</v>
      </c>
      <c r="G127" s="7" t="n">
        <v>0</v>
      </c>
      <c r="H127" s="7" t="n">
        <v>0.0759</v>
      </c>
      <c r="I127" s="7" t="n">
        <v>0</v>
      </c>
      <c r="J127" s="7"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8"/>
  <sheetViews>
    <sheetView showGridLines="1" zoomScale="80" workbookViewId="0">
      <pane ySplit="1" topLeftCell="A2" activePane="bottomLeft" state="frozen"/>
      <selection pane="bottomLeft" activeCell="A1" sqref="A1"/>
    </sheetView>
  </sheetViews>
  <sheetFormatPr baseColWidth="8" defaultRowHeight="15"/>
  <cols>
    <col width="10" customWidth="1" min="1" max="1"/>
    <col width="12" customWidth="1" min="2" max="2"/>
    <col width="9" customWidth="1" min="3" max="3"/>
    <col width="12" customWidth="1" min="4" max="4"/>
    <col width="7" customWidth="1" min="5" max="5"/>
    <col width="12" customWidth="1" min="6" max="6"/>
    <col width="12" customWidth="1" min="7" max="7"/>
  </cols>
  <sheetData>
    <row r="1" ht="16" customHeight="1">
      <c r="A1" s="6" t="inlineStr">
        <is>
          <t>risk_code</t>
        </is>
      </c>
      <c r="B1" s="6" t="inlineStr">
        <is>
          <t>risk_label</t>
        </is>
      </c>
      <c r="C1" s="6" t="inlineStr">
        <is>
          <t>mean_raw</t>
        </is>
      </c>
      <c r="D1" s="6" t="inlineStr">
        <is>
          <t>mean_transformed</t>
        </is>
      </c>
      <c r="E1" s="6" t="inlineStr">
        <is>
          <t>weight</t>
        </is>
      </c>
      <c r="F1" s="6" t="inlineStr">
        <is>
          <t>mean_contribution</t>
        </is>
      </c>
      <c r="G1" s="6" t="inlineStr">
        <is>
          <t>mean_contribution_pct</t>
        </is>
      </c>
    </row>
    <row r="2" ht="34" customHeight="1">
      <c r="A2" s="7" t="inlineStr">
        <is>
          <t>S1</t>
        </is>
      </c>
      <c r="B2" s="7" t="inlineStr">
        <is>
          <t>Interferenza tra persone e mezzi di movimentazione negli spazi comuni</t>
        </is>
      </c>
      <c r="C2" s="7" t="n">
        <v>0.3194</v>
      </c>
      <c r="D2" s="7" t="n">
        <v>0.3194</v>
      </c>
      <c r="E2" s="7" t="n">
        <v>0.1109</v>
      </c>
      <c r="F2" s="7" t="n">
        <v>3.5426</v>
      </c>
      <c r="G2" s="7" t="n">
        <v>25.58</v>
      </c>
    </row>
    <row r="3" ht="34" customHeight="1">
      <c r="A3" s="7" t="inlineStr">
        <is>
          <t>S2</t>
        </is>
      </c>
      <c r="B3" s="7" t="inlineStr">
        <is>
          <t>Riduzione della visibilità durante lo svolgimento di un'attività</t>
        </is>
      </c>
      <c r="C3" s="7" t="n">
        <v>0.3056</v>
      </c>
      <c r="D3" s="7" t="n">
        <v>0.5733</v>
      </c>
      <c r="E3" s="7" t="n">
        <v>0.037</v>
      </c>
      <c r="F3" s="7" t="n">
        <v>2.1214</v>
      </c>
      <c r="G3" s="7" t="n">
        <v>16.6</v>
      </c>
    </row>
    <row r="4" ht="34" customHeight="1">
      <c r="A4" s="7" t="inlineStr">
        <is>
          <t>S3</t>
        </is>
      </c>
      <c r="B4" s="7" t="inlineStr">
        <is>
          <t>Comportamenti non conformi durante lo svolgimento di un'attività</t>
        </is>
      </c>
      <c r="C4" s="7" t="n">
        <v>0.1111</v>
      </c>
      <c r="D4" s="7" t="n">
        <v>0.1701</v>
      </c>
      <c r="E4" s="7" t="n">
        <v>0.0549</v>
      </c>
      <c r="F4" s="7" t="n">
        <v>0.9341</v>
      </c>
      <c r="G4" s="7" t="n">
        <v>4.49</v>
      </c>
    </row>
    <row r="5" ht="34" customHeight="1">
      <c r="A5" s="7" t="inlineStr">
        <is>
          <t>S4</t>
        </is>
      </c>
      <c r="B5" s="7" t="inlineStr">
        <is>
          <t>Interferenza tra mezzo e infrastrutture interne all'impianto</t>
        </is>
      </c>
      <c r="C5" s="7" t="n">
        <v>0.2472</v>
      </c>
      <c r="D5" s="7" t="n">
        <v>0.2848</v>
      </c>
      <c r="E5" s="7" t="n">
        <v>0.1538</v>
      </c>
      <c r="F5" s="7" t="n">
        <v>4.3799</v>
      </c>
      <c r="G5" s="7" t="n">
        <v>18.17</v>
      </c>
    </row>
    <row r="6" ht="34" customHeight="1">
      <c r="A6" s="7" t="inlineStr">
        <is>
          <t>S5</t>
        </is>
      </c>
      <c r="B6" s="7" t="inlineStr">
        <is>
          <t>Instabilità di elementi strutturali o di stoccaggio soggetti a urto o sovraccarico</t>
        </is>
      </c>
      <c r="C6" s="7" t="n">
        <v>0.4028</v>
      </c>
      <c r="D6" s="7" t="n">
        <v>0.27</v>
      </c>
      <c r="E6" s="7" t="n">
        <v>0.2228</v>
      </c>
      <c r="F6" s="7" t="n">
        <v>6.0161</v>
      </c>
      <c r="G6" s="7" t="n">
        <v>23</v>
      </c>
    </row>
    <row r="7" ht="34" customHeight="1">
      <c r="A7" s="7" t="inlineStr">
        <is>
          <t>S6</t>
        </is>
      </c>
      <c r="B7" s="7" t="inlineStr">
        <is>
          <t>Accesso a organi meccanici in movimento durante operazioni manuali</t>
        </is>
      </c>
      <c r="C7" s="7" t="n">
        <v>0</v>
      </c>
      <c r="D7" s="7" t="n">
        <v>0.0266</v>
      </c>
      <c r="E7" s="7" t="n">
        <v>0.3447</v>
      </c>
      <c r="F7" s="7" t="n">
        <v>0.9169</v>
      </c>
      <c r="G7" s="7" t="n">
        <v>10.47</v>
      </c>
    </row>
    <row r="8" ht="34" customHeight="1">
      <c r="A8" s="7" t="inlineStr">
        <is>
          <t>S7</t>
        </is>
      </c>
      <c r="B8" s="7" t="inlineStr">
        <is>
          <t>Movimentazione manuale di carichi pesanti o instabili senza ausili meccanici adeguati</t>
        </is>
      </c>
      <c r="C8" s="7" t="n">
        <v>0.0833</v>
      </c>
      <c r="D8" s="7" t="n">
        <v>0.0158</v>
      </c>
      <c r="E8" s="7" t="n">
        <v>0.0759</v>
      </c>
      <c r="F8" s="7" t="n">
        <v>0.1199</v>
      </c>
      <c r="G8" s="7" t="n">
        <v>1.69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2026-07-27T14:55:14Z</dcterms:created>
  <dcterms:modified xmlns:dcterms="http://purl.org/dc/terms/" xmlns:xsi="http://www.w3.org/2001/XMLSchema-instance" xsi:type="dcterms:W3CDTF">2026-07-27T14:55:15Z</dcterms:modified>
</cp:coreProperties>
</file>