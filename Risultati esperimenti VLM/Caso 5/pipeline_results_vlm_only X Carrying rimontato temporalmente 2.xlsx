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CE4D6"/>
      </patternFill>
    </fill>
    <fill>
      <patternFill patternType="solid">
        <fgColor rgb="00F4CCCC"/>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11" borderId="2" applyAlignment="1" pivotButton="0" quotePrefix="0" xfId="0">
      <alignment horizontal="left" vertical="top" wrapText="1"/>
    </xf>
    <xf numFmtId="0" fontId="3" fillId="9" borderId="2" applyAlignment="1" pivotButton="0" quotePrefix="0" xfId="0">
      <alignment horizontal="left" vertical="top" wrapText="1"/>
    </xf>
    <xf numFmtId="0" fontId="3" fillId="1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'vlm_only_results'!$A$2:$A$18</f>
            </numRef>
          </cat>
          <val>
            <numRef>
              <f>'vlm_only_results'!$G$2:$G$18</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'vlm_only_results'!$A$2:$A$18</f>
            </numRef>
          </cat>
          <val>
            <numRef>
              <f>'vlm_only_results'!$K$2:$K$18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35</v>
      </c>
      <c r="F2" s="8" t="inlineStr">
        <is>
          <t>Il punteggio di 35 riflette un rischio moderato e intrinseco legato alla presenza di presse verticali attive. Non si rilevano pericoli imminenti o violazioni evidenti, e sono presenti barriere di protezione. Tuttavia, la distanza impedisce la verifica dell'uso di DPI specifici (guanti, scarpe antinfortunistiche) e si segnalano potenziali criticità ergonomiche e ingombri localizzati (carrelli/materiali) vicino alla postazione di lavoro.</t>
        </is>
      </c>
      <c r="G2" s="8" t="n">
        <v>35</v>
      </c>
      <c r="H2" s="9" t="inlineStr">
        <is>
          <t>giallo</t>
        </is>
      </c>
      <c r="I2" s="8" t="n">
        <v>40</v>
      </c>
      <c r="J2" s="8" t="inlineStr">
        <is>
          <t>Il punteggio riflette un rischio moderato dovuto alla postura seduta dell'operatore in estrema prossimità della pressa in funzione, che ne limita la reattività e la mobilità in caso di emergenza. Inoltre, la distanza dell'inquadratura non consente di verificare la presenza di barriere fisiche o fotoelettriche attive a protezione dagli organi in movimento.</t>
        </is>
      </c>
      <c r="K2" s="8" t="n">
        <v>40</v>
      </c>
      <c r="L2" s="9" t="inlineStr">
        <is>
          <t>giallo</t>
        </is>
      </c>
      <c r="M2" s="8" t="n">
        <v>5</v>
      </c>
      <c r="N2" s="8" t="n">
        <v>5</v>
      </c>
      <c r="O2" s="10" t="inlineStr">
        <is>
          <t>accordo</t>
        </is>
      </c>
      <c r="P2" s="8" t="n">
        <v>0</v>
      </c>
      <c r="Q2" s="8" t="n">
        <v>0.25</v>
      </c>
      <c r="R2" s="8" t="n">
        <v>0.25</v>
      </c>
      <c r="S2" s="8" t="n">
        <v>0</v>
      </c>
      <c r="T2" s="8" t="n">
        <v>0</v>
      </c>
      <c r="U2" s="8" t="n">
        <v>0.5</v>
      </c>
      <c r="V2" s="8" t="n">
        <v>0</v>
      </c>
    </row>
    <row r="3" ht="34" customHeight="1">
      <c r="A3" s="8" t="n">
        <v>1</v>
      </c>
      <c r="B3" s="8" t="n">
        <v>2</v>
      </c>
      <c r="C3" s="8" t="n">
        <v>6</v>
      </c>
      <c r="D3" s="8" t="n">
        <v>4</v>
      </c>
      <c r="E3" s="8" t="n">
        <v>20</v>
      </c>
      <c r="F3" s="8" t="inlineStr">
        <is>
          <t>Il punteggio di 20 indica una situazione di normale operatività con rischi minimi immediati. L'operatore è in posizione stabile e non si osservano comportamenti non sicuri. Il rischio è limitato a fattori intrinseci dell'ambiente industriale (presse, ergonomia, possibili inciampi) e alla mancata verifica visiva dei DPI dovuta alla distanza.</t>
        </is>
      </c>
      <c r="G3" s="8" t="n">
        <v>26</v>
      </c>
      <c r="H3" s="9" t="inlineStr">
        <is>
          <t>giallo</t>
        </is>
      </c>
      <c r="I3" s="8" t="n">
        <v>40</v>
      </c>
      <c r="J3" s="8" t="inlineStr">
        <is>
          <t>Il punteggio riflette un rischio moderato dovuto alla ridotta consapevolezza situazionale dell'operatore, che lavora di spalle rispetto alla zona di transito e vicino a una pressa. Pur in assenza di minacce immediate, tale configurazione aumenta la vulnerabilità a urti con mezzi o contatti accidentali con la macchina.</t>
        </is>
      </c>
      <c r="K3" s="8" t="n">
        <v>40</v>
      </c>
      <c r="L3" s="9" t="inlineStr">
        <is>
          <t>giallo</t>
        </is>
      </c>
      <c r="M3" s="8" t="n">
        <v>20</v>
      </c>
      <c r="N3" s="8" t="n">
        <v>14</v>
      </c>
      <c r="O3" s="10" t="inlineStr">
        <is>
          <t>accordo</t>
        </is>
      </c>
      <c r="P3" s="8" t="n">
        <v>0</v>
      </c>
      <c r="Q3" s="8" t="n">
        <v>0.5</v>
      </c>
      <c r="R3" s="8" t="n">
        <v>0.25</v>
      </c>
      <c r="S3" s="8" t="n">
        <v>0</v>
      </c>
      <c r="T3" s="8" t="n">
        <v>0.25</v>
      </c>
      <c r="U3" s="8" t="n">
        <v>0.5</v>
      </c>
      <c r="V3" s="8" t="n">
        <v>0</v>
      </c>
    </row>
    <row r="4" ht="34" customHeight="1">
      <c r="A4" s="8" t="n">
        <v>2</v>
      </c>
      <c r="B4" s="8" t="n">
        <v>4</v>
      </c>
      <c r="C4" s="8" t="n">
        <v>8</v>
      </c>
      <c r="D4" s="8" t="n">
        <v>4</v>
      </c>
      <c r="E4" s="8" t="n">
        <v>25</v>
      </c>
      <c r="F4" s="8" t="inlineStr">
        <is>
          <t>Il punteggio di 25 indica un livello di rischio basso ma non nullo. Sebbene vi sia la compresenza di un carrello elevatore in movimento e di un operatore nello stesso capannone, il mezzo transita a bassa velocità in un'area separata (sfondo) e sono presenti linee gialle di demarcazione a terra per mitigare il rischio di interferenza. La parziale visibilità dei DPI dell'operatore impone comunque una soglia minima di attenzione.</t>
        </is>
      </c>
      <c r="G4" s="8" t="n">
        <v>26.65</v>
      </c>
      <c r="H4" s="9" t="inlineStr">
        <is>
          <t>giallo</t>
        </is>
      </c>
      <c r="I4" s="8" t="n">
        <v>15</v>
      </c>
      <c r="J4" s="8" t="inlineStr">
        <is>
          <t>Il rischio è basso poiché il carrello elevatore opera sullo sfondo a debita distanza dall'operatore statico, senza interferenze dirette o comportamenti non conformi. La compresenza di mezzi e pedoni nello stesso ambiente richiede comunque una costante vigilanza generale.</t>
        </is>
      </c>
      <c r="K4" s="8" t="n">
        <v>25</v>
      </c>
      <c r="L4" s="9" t="inlineStr">
        <is>
          <t>giallo</t>
        </is>
      </c>
      <c r="M4" s="8" t="n">
        <v>10</v>
      </c>
      <c r="N4" s="8" t="n">
        <v>1.65</v>
      </c>
      <c r="O4" s="10" t="inlineStr">
        <is>
          <t>accordo</t>
        </is>
      </c>
      <c r="P4" s="8" t="n">
        <v>0.25</v>
      </c>
      <c r="Q4" s="8" t="n">
        <v>0.25</v>
      </c>
      <c r="R4" s="8" t="n">
        <v>0</v>
      </c>
      <c r="S4" s="8" t="n">
        <v>0.25</v>
      </c>
      <c r="T4" s="8" t="n">
        <v>0</v>
      </c>
      <c r="U4" s="8" t="n">
        <v>0</v>
      </c>
      <c r="V4" s="8" t="n">
        <v>0</v>
      </c>
    </row>
    <row r="5" ht="34" customHeight="1">
      <c r="A5" s="8" t="n">
        <v>3</v>
      </c>
      <c r="B5" s="8" t="n">
        <v>6</v>
      </c>
      <c r="C5" s="8" t="n">
        <v>10</v>
      </c>
      <c r="D5" s="8" t="n">
        <v>4</v>
      </c>
      <c r="E5" s="8" t="n">
        <v>40</v>
      </c>
      <c r="F5" s="8" t="inlineStr">
        <is>
          <t>Il punteggio riflette un rischio moderato dovuto alla presenza di un carrello elevatore in movimento (retromarcia) in un'area di transito con spazi di manovra potenzialmente ristretti e presenza di materiali stoccati. Sebbene non vi siano pericoli immediati o collisioni imminenti, la compresenza di macchinari in movimento e operatori richiede elevata vigilanza, specialmente a causa della visibilità limitata sui DPI e delle possibili interferenze con pedoni o carichi.</t>
        </is>
      </c>
      <c r="G5" s="8" t="n">
        <v>38.41</v>
      </c>
      <c r="H5" s="9" t="inlineStr">
        <is>
          <t>giallo</t>
        </is>
      </c>
      <c r="I5" s="8" t="n">
        <v>35</v>
      </c>
      <c r="J5" s="8" t="inlineStr">
        <is>
          <t>Il rischio è moderato a causa della compresenza di un carrello elevatore in movimento e di un operatore alla pressa verticale. La distanza della telecamera impedisce di verificare con certezza l'uso dei DPI e la presenza di barriere di sicurezza adeguate sulla pressa.</t>
        </is>
      </c>
      <c r="K5" s="8" t="n">
        <v>36</v>
      </c>
      <c r="L5" s="9" t="inlineStr">
        <is>
          <t>giallo</t>
        </is>
      </c>
      <c r="M5" s="8" t="n">
        <v>5</v>
      </c>
      <c r="N5" s="8" t="n">
        <v>2.41</v>
      </c>
      <c r="O5" s="10" t="inlineStr">
        <is>
          <t>accordo</t>
        </is>
      </c>
      <c r="P5" s="8" t="n">
        <v>0.25</v>
      </c>
      <c r="Q5" s="8" t="n">
        <v>0.25</v>
      </c>
      <c r="R5" s="8" t="n">
        <v>0.25</v>
      </c>
      <c r="S5" s="8" t="n">
        <v>0.25</v>
      </c>
      <c r="T5" s="8" t="n">
        <v>0</v>
      </c>
      <c r="U5" s="8" t="n">
        <v>0.5</v>
      </c>
      <c r="V5" s="8" t="n">
        <v>0</v>
      </c>
    </row>
    <row r="6" ht="34" customHeight="1">
      <c r="A6" s="8" t="n">
        <v>4</v>
      </c>
      <c r="B6" s="8" t="n">
        <v>8</v>
      </c>
      <c r="C6" s="8" t="n">
        <v>12</v>
      </c>
      <c r="D6" s="8" t="n">
        <v>4</v>
      </c>
      <c r="E6" s="8" t="n">
        <v>80</v>
      </c>
      <c r="F6" s="8" t="inlineStr">
        <is>
          <t>Il punteggio di 80 è giustificato dall'elevato rischio di collisione e instabilità. La movimentazione di un carico voluminoso che ostruisce la visuale anteriore del conducente, in presenza di un operatore seduto nelle immediate vicinanze della traiettoria del carrello elevatore, rappresenta una grave violazione delle procedure di sicurezza logistica.</t>
        </is>
      </c>
      <c r="G6" s="8" t="n">
        <v>73.36</v>
      </c>
      <c r="H6" s="11" t="inlineStr">
        <is>
          <t>arancione</t>
        </is>
      </c>
      <c r="I6" s="8" t="n">
        <v>35</v>
      </c>
      <c r="J6" s="8" t="inlineStr">
        <is>
          <t>Il punteggio riflette un rischio moderato dovuto alla compresenza di un carrello elevatore in movimento e un operatore statico, con potenziale riduzione della visibilità del conducente a causa del carico trasportato. La presenza di linee di demarcazione a terra mitiga parzialmente il rischio di collisione.</t>
        </is>
      </c>
      <c r="K6" s="8" t="n">
        <v>35.4</v>
      </c>
      <c r="L6" s="9" t="inlineStr">
        <is>
          <t>giallo</t>
        </is>
      </c>
      <c r="M6" s="8" t="n">
        <v>45</v>
      </c>
      <c r="N6" s="8" t="n">
        <v>37.96</v>
      </c>
      <c r="O6" s="12" t="inlineStr">
        <is>
          <t>disaccordo</t>
        </is>
      </c>
      <c r="P6" s="8" t="n">
        <v>0.5</v>
      </c>
      <c r="Q6" s="8" t="n">
        <v>0.25</v>
      </c>
      <c r="R6" s="8" t="n">
        <v>0</v>
      </c>
      <c r="S6" s="8" t="n">
        <v>0.25</v>
      </c>
      <c r="T6" s="8" t="n">
        <v>0.25</v>
      </c>
      <c r="U6" s="8" t="n">
        <v>0</v>
      </c>
      <c r="V6" s="8" t="n">
        <v>0</v>
      </c>
    </row>
    <row r="7" ht="34" customHeight="1">
      <c r="A7" s="8" t="n">
        <v>5</v>
      </c>
      <c r="B7" s="8" t="n">
        <v>10</v>
      </c>
      <c r="C7" s="8" t="n">
        <v>14</v>
      </c>
      <c r="D7" s="8" t="n">
        <v>4</v>
      </c>
      <c r="E7" s="8" t="n">
        <v>85</v>
      </c>
      <c r="F7" s="8" t="inlineStr">
        <is>
          <t>Il punteggio di 85 riflette un rischio molto elevato. Il carrello elevatore si muove con un carico impilato che ostruisce gravemente la visuale anteriore del conducente in prossimità di un operatore seduto. La mancata visibilità e la vicinanza al lavoratore generano un pericolo imminente di investimento o collisione.</t>
        </is>
      </c>
      <c r="G7" s="8" t="n">
        <v>81.59</v>
      </c>
      <c r="H7" s="12" t="inlineStr">
        <is>
          <t>rosso</t>
        </is>
      </c>
      <c r="I7" s="8" t="n">
        <v>65</v>
      </c>
      <c r="J7" s="8" t="inlineStr">
        <is>
          <t>Il punteggio riflette un rischio significativo dovuto alla ridotta visibilità anteriore del carrellista, causata dal carico impilato, mentre si muove verso la postazione dell'operatore. Questa interferenza tra mezzo e pedone aumenta la probabilità di un investimento accidentale.</t>
        </is>
      </c>
      <c r="K7" s="8" t="n">
        <v>60.66</v>
      </c>
      <c r="L7" s="11" t="inlineStr">
        <is>
          <t>arancione</t>
        </is>
      </c>
      <c r="M7" s="8" t="n">
        <v>20</v>
      </c>
      <c r="N7" s="8" t="n">
        <v>20.93</v>
      </c>
      <c r="O7" s="12" t="inlineStr">
        <is>
          <t>disaccordo</t>
        </is>
      </c>
      <c r="P7" s="8" t="n">
        <v>0.5</v>
      </c>
      <c r="Q7" s="8" t="n">
        <v>0.75</v>
      </c>
      <c r="R7" s="8" t="n">
        <v>0.5</v>
      </c>
      <c r="S7" s="8" t="n">
        <v>0.25</v>
      </c>
      <c r="T7" s="8" t="n">
        <v>0.25</v>
      </c>
      <c r="U7" s="8" t="n">
        <v>0</v>
      </c>
      <c r="V7" s="8" t="n">
        <v>0</v>
      </c>
    </row>
    <row r="8" ht="34" customHeight="1">
      <c r="A8" s="8" t="n">
        <v>6</v>
      </c>
      <c r="B8" s="8" t="n">
        <v>12</v>
      </c>
      <c r="C8" s="8" t="n">
        <v>16</v>
      </c>
      <c r="D8" s="8" t="n">
        <v>4</v>
      </c>
      <c r="E8" s="8" t="n">
        <v>65</v>
      </c>
      <c r="F8" s="8" t="inlineStr">
        <is>
          <t>Il punteggio riflette un rischio medio-alto dovuto alla svolta in retromarcia con tre contenitori metallici impilati sulle forche. Sebbene la retromarcia compensi la ridotta visibilità anteriore, la manovra di svolta con un carico verticale non fissato aumenta il rischio di sbilanciamento e caduta. La vicinanza della traiettoria alla postazione dell'operatore a terra incrementa la gravità potenziale in caso di collisione o perdita del carico.</t>
        </is>
      </c>
      <c r="G8" s="8" t="n">
        <v>71.64</v>
      </c>
      <c r="H8" s="11" t="inlineStr">
        <is>
          <t>arancione</t>
        </is>
      </c>
      <c r="I8" s="8" t="n">
        <v>60</v>
      </c>
      <c r="J8" s="8" t="inlineStr">
        <is>
          <t>Il punteggio riflette un rischio significativo dovuto alla manovra di retromarcia del carrello con tre cassoni impilati vicino a una postazione di lavoro attiva. La ridotta visibilità del conducente e la potenziale instabilità del carico aumentano il pericolo di collisione o caduta di materiali sull'operatore.</t>
        </is>
      </c>
      <c r="K8" s="8" t="n">
        <v>60.26</v>
      </c>
      <c r="L8" s="11" t="inlineStr">
        <is>
          <t>arancione</t>
        </is>
      </c>
      <c r="M8" s="8" t="n">
        <v>5</v>
      </c>
      <c r="N8" s="8" t="n">
        <v>11.38</v>
      </c>
      <c r="O8" s="10" t="inlineStr">
        <is>
          <t>accordo</t>
        </is>
      </c>
      <c r="P8" s="8" t="n">
        <v>0.5</v>
      </c>
      <c r="Q8" s="8" t="n">
        <v>0.5</v>
      </c>
      <c r="R8" s="8" t="n">
        <v>0.25</v>
      </c>
      <c r="S8" s="8" t="n">
        <v>0.5</v>
      </c>
      <c r="T8" s="8" t="n">
        <v>0.5</v>
      </c>
      <c r="U8" s="8" t="n">
        <v>0</v>
      </c>
      <c r="V8" s="8" t="n">
        <v>0</v>
      </c>
    </row>
    <row r="9" ht="34" customHeight="1">
      <c r="A9" s="8" t="n">
        <v>7</v>
      </c>
      <c r="B9" s="8" t="n">
        <v>14</v>
      </c>
      <c r="C9" s="8" t="n">
        <v>18</v>
      </c>
      <c r="D9" s="8" t="n">
        <v>4</v>
      </c>
      <c r="E9" s="8" t="n">
        <v>65</v>
      </c>
      <c r="F9" s="8" t="inlineStr">
        <is>
          <t>Il punteggio di 65 riflette un rischio medio-alto dovuto alla movimentazione di un carico verticale instabile (tre cassoni impilati) che ostruisce la visibilità anteriore dell'operatore durante la manovra. Sebbene l'assenza di pedoni riduca il rischio di investimento immediato, la stabilità compromessa del mezzo e la presenza di angoli ciechi e ostacoli fissi configurano un concreto pericolo di collisione o ribaltamento del carico.</t>
        </is>
      </c>
      <c r="G9" s="8" t="n">
        <v>67.66</v>
      </c>
      <c r="H9" s="11" t="inlineStr">
        <is>
          <t>arancione</t>
        </is>
      </c>
      <c r="I9" s="8" t="n">
        <v>35</v>
      </c>
      <c r="J9" s="8" t="inlineStr">
        <is>
          <t>Il rischio è moderato poiché il carrello elevatore esegue una manovra di retromarcia con visibilità parzialmente limitata in prossimità di macchinari e strutture. Non si rilevano pedoni nell'area o violazioni palesi, ma la manovra richiede massima cautela per prevenire urti o instabilità del carico.</t>
        </is>
      </c>
      <c r="K9" s="8" t="n">
        <v>45.1</v>
      </c>
      <c r="L9" s="9" t="inlineStr">
        <is>
          <t>giallo</t>
        </is>
      </c>
      <c r="M9" s="8" t="n">
        <v>30</v>
      </c>
      <c r="N9" s="8" t="n">
        <v>22.56</v>
      </c>
      <c r="O9" s="12" t="inlineStr">
        <is>
          <t>disaccordo</t>
        </is>
      </c>
      <c r="P9" s="8" t="n">
        <v>0</v>
      </c>
      <c r="Q9" s="8" t="n">
        <v>0.5</v>
      </c>
      <c r="R9" s="8" t="n">
        <v>0</v>
      </c>
      <c r="S9" s="8" t="n">
        <v>0.25</v>
      </c>
      <c r="T9" s="8" t="n">
        <v>0.25</v>
      </c>
      <c r="U9" s="8" t="n">
        <v>0</v>
      </c>
      <c r="V9" s="8" t="n">
        <v>0</v>
      </c>
    </row>
    <row r="10" ht="34" customHeight="1">
      <c r="A10" s="8" t="n">
        <v>8</v>
      </c>
      <c r="B10" s="8" t="n">
        <v>16</v>
      </c>
      <c r="C10" s="8" t="n">
        <v>20</v>
      </c>
      <c r="D10" s="8" t="n">
        <v>4</v>
      </c>
      <c r="E10" s="8" t="n">
        <v>65</v>
      </c>
      <c r="F10" s="8" t="inlineStr">
        <is>
          <t>Il punteggio di 65 è motivato dalla movimentazione attiva di carichi verticalmente sviluppati (contenitori metallici impilati) che limitano fortemente la visibilità del carrellista. La presenza di un operatore parzialmente visibile nelle immediate vicinanze della zona di manovra, unita all'impossibilità di verificare l'uso dei DPI e al rischio di instabilità del carico, configura una situazione di potenziale pericolo medio-alto per collisioni o schiacciamenti.</t>
        </is>
      </c>
      <c r="G10" s="8" t="n">
        <v>66.06</v>
      </c>
      <c r="H10" s="11" t="inlineStr">
        <is>
          <t>arancione</t>
        </is>
      </c>
      <c r="I10" s="8" t="n">
        <v>78</v>
      </c>
      <c r="J10" s="8" t="inlineStr">
        <is>
          <t>Il punteggio riflette un rischio elevato dovuto alla pericolosa vicinanza tra l'operatore a terra e il carrello elevatore in movimento, aggravata dalla grave ostruzione visiva causata dai contenitori impilati. Questa combinazione crea un imminente pericolo di investimento o schiacciamento dovuto alla potenziale caduta del carico.</t>
        </is>
      </c>
      <c r="K10" s="8" t="n">
        <v>75.59</v>
      </c>
      <c r="L10" s="12" t="inlineStr">
        <is>
          <t>rosso</t>
        </is>
      </c>
      <c r="M10" s="8" t="n">
        <v>13</v>
      </c>
      <c r="N10" s="8" t="n">
        <v>9.529999999999999</v>
      </c>
      <c r="O10" s="12" t="inlineStr">
        <is>
          <t>disaccordo</t>
        </is>
      </c>
      <c r="P10" s="8" t="n">
        <v>0.75</v>
      </c>
      <c r="Q10" s="8" t="n">
        <v>0.75</v>
      </c>
      <c r="R10" s="8" t="n">
        <v>0.5</v>
      </c>
      <c r="S10" s="8" t="n">
        <v>0.5</v>
      </c>
      <c r="T10" s="8" t="n">
        <v>0.5</v>
      </c>
      <c r="U10" s="8" t="n">
        <v>0</v>
      </c>
      <c r="V10" s="8" t="n">
        <v>0</v>
      </c>
    </row>
    <row r="11" ht="34" customHeight="1">
      <c r="A11" s="8" t="n">
        <v>9</v>
      </c>
      <c r="B11" s="8" t="n">
        <v>18</v>
      </c>
      <c r="C11" s="8" t="n">
        <v>22</v>
      </c>
      <c r="D11" s="8" t="n">
        <v>4</v>
      </c>
      <c r="E11" s="8" t="n">
        <v>85</v>
      </c>
      <c r="F11" s="8" t="inlineStr">
        <is>
          <t>Il punteggio di 85 riflette un rischio molto elevato dovuto alla movimentazione di un carico instabile e ingombrante (tre cassoni impilati) che ostruisce gravemente la visuale dell'operatore del carrello elevatore durante una manovra di svolta e retromarcia. La presenza di un operatore a terra seduto in una postazione di lavoro adiacente all'area di manovra, combinata con la visibilità ridotta e la potenziale perdita di stabilità del carico, configura un pericolo imminente di collisione o schiacciamento.</t>
        </is>
      </c>
      <c r="G11" s="8" t="n">
        <v>82.42</v>
      </c>
      <c r="H11" s="12" t="inlineStr">
        <is>
          <t>rosso</t>
        </is>
      </c>
      <c r="I11" s="8" t="n">
        <v>65</v>
      </c>
      <c r="J11" s="8" t="inlineStr">
        <is>
          <t>Il punteggio riflette un rischio significativo dovuto alla ridotta visibilità del carrellista causata dal carico voluminoso, unito alla presenza di un operatore seduto vicino alla traiettoria di transito. La potenziale instabilità dei contenitori metallici impilati aumenta la probabilità di collisione o caduta di materiali sulla postazione.</t>
        </is>
      </c>
      <c r="K11" s="8" t="n">
        <v>69.23999999999999</v>
      </c>
      <c r="L11" s="11" t="inlineStr">
        <is>
          <t>arancione</t>
        </is>
      </c>
      <c r="M11" s="8" t="n">
        <v>20</v>
      </c>
      <c r="N11" s="8" t="n">
        <v>13.18</v>
      </c>
      <c r="O11" s="12" t="inlineStr">
        <is>
          <t>disaccordo</t>
        </is>
      </c>
      <c r="P11" s="8" t="n">
        <v>0.5</v>
      </c>
      <c r="Q11" s="8" t="n">
        <v>0.75</v>
      </c>
      <c r="R11" s="8" t="n">
        <v>0.25</v>
      </c>
      <c r="S11" s="8" t="n">
        <v>0.5</v>
      </c>
      <c r="T11" s="8" t="n">
        <v>0.5</v>
      </c>
      <c r="U11" s="8" t="n">
        <v>0</v>
      </c>
      <c r="V11" s="8" t="n">
        <v>0</v>
      </c>
    </row>
    <row r="12" ht="34" customHeight="1">
      <c r="A12" s="8" t="n">
        <v>10</v>
      </c>
      <c r="B12" s="8" t="n">
        <v>20</v>
      </c>
      <c r="C12" s="8" t="n">
        <v>24</v>
      </c>
      <c r="D12" s="8" t="n">
        <v>4</v>
      </c>
      <c r="E12" s="8" t="n">
        <v>85</v>
      </c>
      <c r="F12" s="8" t="inlineStr">
        <is>
          <t>Il carrello elevatore trasporta un carico instabile e sufficientemente alto da ostruire la visuale anteriore del conducente, muovendosi in prossimità di una postazione di lavoro occupata da un operatore seduto. La combinazione di visibilità ridotta, instabilità del carico e vicinanza al personale aumenta drasticamente il rischio di collisione o investimento.</t>
        </is>
      </c>
      <c r="G12" s="8" t="n">
        <v>83.97</v>
      </c>
      <c r="H12" s="12" t="inlineStr">
        <is>
          <t>rosso</t>
        </is>
      </c>
      <c r="I12" s="8" t="n">
        <v>65</v>
      </c>
      <c r="J12" s="8" t="inlineStr">
        <is>
          <t>Il punteggio riflette un rischio significativo dovuto alla movimentazione di un carico voluminoso che ostruisce la visuale anteriore del carrellista in prossimità di un operatore seduto di spalle. Questa ridotta visibilità, unita alla mancanza di barriere fisiche di separazione, aumenta notevolmente la probabilità di un investimento accidentale o di un impatto con le infrastrutture.</t>
        </is>
      </c>
      <c r="K12" s="8" t="n">
        <v>66.7</v>
      </c>
      <c r="L12" s="11" t="inlineStr">
        <is>
          <t>arancione</t>
        </is>
      </c>
      <c r="M12" s="8" t="n">
        <v>20</v>
      </c>
      <c r="N12" s="8" t="n">
        <v>17.27</v>
      </c>
      <c r="O12" s="12" t="inlineStr">
        <is>
          <t>disaccordo</t>
        </is>
      </c>
      <c r="P12" s="8" t="n">
        <v>0.5</v>
      </c>
      <c r="Q12" s="8" t="n">
        <v>0.75</v>
      </c>
      <c r="R12" s="8" t="n">
        <v>0.5</v>
      </c>
      <c r="S12" s="8" t="n">
        <v>0.25</v>
      </c>
      <c r="T12" s="8" t="n">
        <v>0.5</v>
      </c>
      <c r="U12" s="8" t="n">
        <v>0</v>
      </c>
      <c r="V12" s="8" t="n">
        <v>0</v>
      </c>
    </row>
    <row r="13" ht="34" customHeight="1">
      <c r="A13" s="8" t="n">
        <v>11</v>
      </c>
      <c r="B13" s="8" t="n">
        <v>22</v>
      </c>
      <c r="C13" s="8" t="n">
        <v>26</v>
      </c>
      <c r="D13" s="8" t="n">
        <v>4</v>
      </c>
      <c r="E13" s="8" t="n">
        <v>55</v>
      </c>
      <c r="F13" s="8" t="inlineStr">
        <is>
          <t>Il carrello elevatore procede in avanti nonostante il carico di tre cassoni metallici ostruisca quasi completamente la visuale anteriore del conducente. Questa condotta, contraria alle norme di sicurezza che impongono la guida in retromarcia in caso di visibilità ridotta, aumenta significativamente il rischio di collisione con l'operatore presente sulla destra e con le strutture circostanti in un'area di manovra ristretta.</t>
        </is>
      </c>
      <c r="G13" s="8" t="n">
        <v>66.59</v>
      </c>
      <c r="H13" s="11" t="inlineStr">
        <is>
          <t>arancione</t>
        </is>
      </c>
      <c r="I13" s="8" t="n">
        <v>85</v>
      </c>
      <c r="J13" s="8" t="inlineStr">
        <is>
          <t>La movimentazione di un carico voluminoso che ostruisce completamente la visibilità anteriore del conducente espone l'operatore presente a un rischio imminente di investimento. Questa condotta non conforme richiede l'arresto immediato del mezzo o la conduzione in retromarcia per prevenire gravi incidenti.</t>
        </is>
      </c>
      <c r="K13" s="8" t="n">
        <v>82.68000000000001</v>
      </c>
      <c r="L13" s="12" t="inlineStr">
        <is>
          <t>rosso</t>
        </is>
      </c>
      <c r="M13" s="8" t="n">
        <v>30</v>
      </c>
      <c r="N13" s="8" t="n">
        <v>16.09</v>
      </c>
      <c r="O13" s="12" t="inlineStr">
        <is>
          <t>disaccordo</t>
        </is>
      </c>
      <c r="P13" s="8" t="n">
        <v>0.75</v>
      </c>
      <c r="Q13" s="8" t="n">
        <v>1</v>
      </c>
      <c r="R13" s="8" t="n">
        <v>0.75</v>
      </c>
      <c r="S13" s="8" t="n">
        <v>0.5</v>
      </c>
      <c r="T13" s="8" t="n">
        <v>0.5</v>
      </c>
      <c r="U13" s="8" t="n">
        <v>0</v>
      </c>
      <c r="V13" s="8" t="n">
        <v>0</v>
      </c>
    </row>
    <row r="14" ht="34" customHeight="1">
      <c r="A14" s="8" t="n">
        <v>12</v>
      </c>
      <c r="B14" s="8" t="n">
        <v>24</v>
      </c>
      <c r="C14" s="8" t="n">
        <v>28</v>
      </c>
      <c r="D14" s="8" t="n">
        <v>4</v>
      </c>
      <c r="E14" s="8" t="n">
        <v>60</v>
      </c>
      <c r="F14" s="8" t="inlineStr">
        <is>
          <t>Il punteggio di 60 riflette un rischio moderato-alto. La movimentazione di tre cassoni metallici impilati riduce drasticamente la visibilità anteriore del carrellista durante una manovra di svolta. La presenza di un operatore seduto nelle immediate vicinanze della traiettoria aumenta il rischio di collisione o di investimento in caso di perdita di stabilità del carico.</t>
        </is>
      </c>
      <c r="G14" s="8" t="n">
        <v>63.89</v>
      </c>
      <c r="H14" s="11" t="inlineStr">
        <is>
          <t>arancione</t>
        </is>
      </c>
      <c r="I14" s="8" t="n">
        <v>60</v>
      </c>
      <c r="J14" s="8" t="inlineStr">
        <is>
          <t>Il trasporto di tre contenitori metallici impilati riduce significativamente la visibilità anteriore del conducente, aumentando il rischio di collisione con l'operatore presente nell'area. Inoltre, l'altezza del carico elevato comporta un potenziale pericolo di instabilità e caduta dei materiali durante il transito.</t>
        </is>
      </c>
      <c r="K14" s="8" t="n">
        <v>69.06999999999999</v>
      </c>
      <c r="L14" s="11" t="inlineStr">
        <is>
          <t>arancione</t>
        </is>
      </c>
      <c r="M14" s="8" t="n">
        <v>0</v>
      </c>
      <c r="N14" s="8" t="n">
        <v>5.18</v>
      </c>
      <c r="O14" s="10" t="inlineStr">
        <is>
          <t>accordo</t>
        </is>
      </c>
      <c r="P14" s="8" t="n">
        <v>0.25</v>
      </c>
      <c r="Q14" s="8" t="n">
        <v>0.75</v>
      </c>
      <c r="R14" s="8" t="n">
        <v>0.5</v>
      </c>
      <c r="S14" s="8" t="n">
        <v>0.25</v>
      </c>
      <c r="T14" s="8" t="n">
        <v>0.5</v>
      </c>
      <c r="U14" s="8" t="n">
        <v>0</v>
      </c>
      <c r="V14" s="8" t="n">
        <v>0</v>
      </c>
    </row>
    <row r="15" ht="34" customHeight="1">
      <c r="A15" s="8" t="n">
        <v>13</v>
      </c>
      <c r="B15" s="8" t="n">
        <v>26</v>
      </c>
      <c r="C15" s="8" t="n">
        <v>30</v>
      </c>
      <c r="D15" s="8" t="n">
        <v>4</v>
      </c>
      <c r="E15" s="8" t="n">
        <v>70</v>
      </c>
      <c r="F15" s="8" t="inlineStr">
        <is>
          <t>Il carrello elevatore trasporta un carico di cassoni metallici impilati che ostruisce significativamente la visuale anteriore del conducente. Sebbene non vi sia una collisione imminente, la presenza di pedoni e operatori nell'area, unita alla mancata guida in retromarcia per compensare la perdita di visibilità, rappresenta un rischio elevato di investimento o collisione.</t>
        </is>
      </c>
      <c r="G15" s="8" t="n">
        <v>70.06</v>
      </c>
      <c r="H15" s="11" t="inlineStr">
        <is>
          <t>arancione</t>
        </is>
      </c>
      <c r="I15" s="8" t="n">
        <v>65</v>
      </c>
      <c r="J15" s="8" t="inlineStr">
        <is>
          <t>Il punteggio riflette un rischio significativo dovuto alla movimentazione di tre cassoni impilati in retromarcia e svolta, che riduce drasticamente la visibilità e aumenta l'instabilità del carico. La presenza di un pedone e di un operatore nelle vicinanze aggrava il potenziale impatto in caso di caduta del carico o collisione.</t>
        </is>
      </c>
      <c r="K15" s="8" t="n">
        <v>67.88</v>
      </c>
      <c r="L15" s="11" t="inlineStr">
        <is>
          <t>arancione</t>
        </is>
      </c>
      <c r="M15" s="8" t="n">
        <v>5</v>
      </c>
      <c r="N15" s="8" t="n">
        <v>2.18</v>
      </c>
      <c r="O15" s="10" t="inlineStr">
        <is>
          <t>accordo</t>
        </is>
      </c>
      <c r="P15" s="8" t="n">
        <v>0.5</v>
      </c>
      <c r="Q15" s="8" t="n">
        <v>0.75</v>
      </c>
      <c r="R15" s="8" t="n">
        <v>0.25</v>
      </c>
      <c r="S15" s="8" t="n">
        <v>0.5</v>
      </c>
      <c r="T15" s="8" t="n">
        <v>0.5</v>
      </c>
      <c r="U15" s="8" t="n">
        <v>0</v>
      </c>
      <c r="V15" s="8" t="n">
        <v>0</v>
      </c>
    </row>
    <row r="16" ht="34" customHeight="1">
      <c r="A16" s="8" t="n">
        <v>14</v>
      </c>
      <c r="B16" s="8" t="n">
        <v>28</v>
      </c>
      <c r="C16" s="8" t="n">
        <v>32</v>
      </c>
      <c r="D16" s="8" t="n">
        <v>4</v>
      </c>
      <c r="E16" s="8" t="n">
        <v>35</v>
      </c>
      <c r="F16" s="8" t="inlineStr">
        <is>
          <t>Il punteggio di 35 indica un rischio moderato. Non si registrano pericoli imminenti o comportamenti palesemente non sicuri, tuttavia la presenza di un pedone in transito vicino a zone di lavoro attivo e la segnalazione di materiali a terra (potenziale rischio inciampo) richiedono vigilanza. L'impossibilità di verificare i DPI a causa della distanza aggiunge un lieve fattore di incertezza.</t>
        </is>
      </c>
      <c r="G16" s="8" t="n">
        <v>49.02</v>
      </c>
      <c r="H16" s="11" t="inlineStr">
        <is>
          <t>arancione</t>
        </is>
      </c>
      <c r="I16" s="8" t="n">
        <v>15</v>
      </c>
      <c r="J16" s="8" t="inlineStr">
        <is>
          <t>Il livello di rischio è basso poiché le attività si svolgono regolarmente senza comportamenti non conformi o interferenze pericolose. L'unica nota di attenzione riguarda il monitoraggio periodico delle scaffalature e dei materiali stoccati.</t>
        </is>
      </c>
      <c r="K16" s="8" t="n">
        <v>36.15</v>
      </c>
      <c r="L16" s="9" t="inlineStr">
        <is>
          <t>giallo</t>
        </is>
      </c>
      <c r="M16" s="8" t="n">
        <v>20</v>
      </c>
      <c r="N16" s="8" t="n">
        <v>12.87</v>
      </c>
      <c r="O16" s="12" t="inlineStr">
        <is>
          <t>disaccordo</t>
        </is>
      </c>
      <c r="P16" s="8" t="n">
        <v>0</v>
      </c>
      <c r="Q16" s="8" t="n">
        <v>0</v>
      </c>
      <c r="R16" s="8" t="n">
        <v>0</v>
      </c>
      <c r="S16" s="8" t="n">
        <v>0</v>
      </c>
      <c r="T16" s="8" t="n">
        <v>0.25</v>
      </c>
      <c r="U16" s="8" t="n">
        <v>0</v>
      </c>
      <c r="V16" s="8" t="n">
        <v>0</v>
      </c>
    </row>
    <row r="17" ht="34" customHeight="1">
      <c r="A17" s="8" t="n">
        <v>15</v>
      </c>
      <c r="B17" s="8" t="n">
        <v>30</v>
      </c>
      <c r="C17" s="8" t="n">
        <v>34</v>
      </c>
      <c r="D17" s="8" t="n">
        <v>4</v>
      </c>
      <c r="E17" s="8" t="n">
        <v>30</v>
      </c>
      <c r="F17" s="8" t="inlineStr">
        <is>
          <t>Il punteggio di 30 indica un livello di rischio moderato. La scena è complessivamente stabile, ma la presenza di un pedone in transito vicino a macchinari industriali pesanti in funzione, unita all'impossibilità di verificare l'uso dei DPI a causa della distanza, rappresenta un potenziale fattore di rischio che richiede una costante separazione delle aree di lavoro-pedoni.</t>
        </is>
      </c>
      <c r="G17" s="8" t="n">
        <v>37.61</v>
      </c>
      <c r="H17" s="9" t="inlineStr">
        <is>
          <t>giallo</t>
        </is>
      </c>
      <c r="I17" s="8" t="n">
        <v>40</v>
      </c>
      <c r="J17" s="8" t="inlineStr">
        <is>
          <t>Il rischio è moderato poiché l'operatore lavora in prossimità di una pressa verticale attiva, sebbene non si rilevino comportamenti non conformi o pericoli imminenti. La distanza di ripresa limita la visibilità, impedendo la verifica dell'uso dei DPI e della presenza di barriere di sicurezza adeguate.</t>
        </is>
      </c>
      <c r="K17" s="8" t="n">
        <v>44.71</v>
      </c>
      <c r="L17" s="9" t="inlineStr">
        <is>
          <t>giallo</t>
        </is>
      </c>
      <c r="M17" s="8" t="n">
        <v>10</v>
      </c>
      <c r="N17" s="8" t="n">
        <v>7.1</v>
      </c>
      <c r="O17" s="10" t="inlineStr">
        <is>
          <t>accordo</t>
        </is>
      </c>
      <c r="P17" s="8" t="n">
        <v>0.25</v>
      </c>
      <c r="Q17" s="8" t="n">
        <v>0.25</v>
      </c>
      <c r="R17" s="8" t="n">
        <v>0</v>
      </c>
      <c r="S17" s="8" t="n">
        <v>0</v>
      </c>
      <c r="T17" s="8" t="n">
        <v>0.25</v>
      </c>
      <c r="U17" s="8" t="n">
        <v>0.5</v>
      </c>
      <c r="V17" s="8" t="n">
        <v>0</v>
      </c>
    </row>
    <row r="18" ht="34" customHeight="1">
      <c r="A18" s="8" t="n">
        <v>16</v>
      </c>
      <c r="B18" s="8" t="n">
        <v>32</v>
      </c>
      <c r="C18" s="8" t="n">
        <v>34</v>
      </c>
      <c r="D18" s="8" t="n">
        <v>2</v>
      </c>
      <c r="E18" s="8" t="n">
        <v>35</v>
      </c>
      <c r="F18" s="8" t="inlineStr">
        <is>
          <t>Il punteggio di 35 indica un rischio moderato. L'operatore lavora vicino a una pressa industriale attiva, configurando un rischio intrinseco di schiacciamento degli arti superiori e affaticamento ergonomico dovuto alla postura. Inoltre, la presenza di ostacoli vicino alle linee di transito e l'impossibilità di verificare i DPI specifici aumentano la necessità di vigilanza, pur in assenza di pericoli imminenti.</t>
        </is>
      </c>
      <c r="G18" s="8" t="n">
        <v>37.29</v>
      </c>
      <c r="H18" s="9" t="inlineStr">
        <is>
          <t>giallo</t>
        </is>
      </c>
      <c r="I18" s="8" t="n">
        <v>45</v>
      </c>
      <c r="J18" s="8" t="inlineStr">
        <is>
          <t>Il rischio è moderato poiché l'operatore lavora a stretto contatto con una pressa verticale attiva, riducendo la propria attenzione situazionale. Inoltre, la distanza della telecamera non consente di verificare l'effettivo utilizzo dei DPI protettivi per le mani.</t>
        </is>
      </c>
      <c r="K18" s="8" t="n">
        <v>46.13</v>
      </c>
      <c r="L18" s="9" t="inlineStr">
        <is>
          <t>giallo</t>
        </is>
      </c>
      <c r="M18" s="8" t="n">
        <v>10</v>
      </c>
      <c r="N18" s="8" t="n">
        <v>8.84</v>
      </c>
      <c r="O18" s="10" t="inlineStr">
        <is>
          <t>accordo</t>
        </is>
      </c>
      <c r="P18" s="8" t="n">
        <v>0.25</v>
      </c>
      <c r="Q18" s="8" t="n">
        <v>0.5</v>
      </c>
      <c r="R18" s="8" t="n">
        <v>0.25</v>
      </c>
      <c r="S18" s="8" t="n">
        <v>0</v>
      </c>
      <c r="T18" s="8" t="n">
        <v>0</v>
      </c>
      <c r="U18" s="8" t="n">
        <v>0.5</v>
      </c>
      <c r="V18"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2026-07-28T08:45:26Z</dcterms:created>
  <dcterms:modified xmlns:dcterms="http://purl.org/dc/terms/" xmlns:xsi="http://www.w3.org/2001/XMLSchema-instance" xsi:type="dcterms:W3CDTF">2026-07-28T08:45:26Z</dcterms:modified>
</cp:coreProperties>
</file>