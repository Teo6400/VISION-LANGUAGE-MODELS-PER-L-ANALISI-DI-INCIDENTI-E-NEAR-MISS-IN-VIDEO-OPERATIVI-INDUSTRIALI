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'vlm_only_results'!$A$2:$A$18</f>
            </numRef>
          </cat>
          <val>
            <numRef>
              <f>'vlm_only_results'!$G$2:$G$18</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'vlm_only_results'!$A$2:$A$18</f>
            </numRef>
          </cat>
          <val>
            <numRef>
              <f>'vlm_only_results'!$K$2:$K$18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45</v>
      </c>
      <c r="F2" s="8" t="inlineStr">
        <is>
          <t>Il punteggio di 45 indica un rischio moderato. Pur in assenza di un pericolo imminente o di un incidente in corso, si evidenziano diverse criticità latenti: la postura seduta prolungata dell'operatore a ridosso della pressa (rischio ergonomico), la vicinanza a organi meccanici in movimento senza certezza di barriere di sicurezza attive, e la presenza di materiali accumulati che potrebbero ostacolare una rapida evacuazione. Inoltre, non è possibile verificare l'adozione completa dei DPI necessari.</t>
        </is>
      </c>
      <c r="G2" s="8" t="n">
        <v>45</v>
      </c>
      <c r="H2" s="9" t="inlineStr">
        <is>
          <t>giallo</t>
        </is>
      </c>
      <c r="I2" s="8" t="n">
        <v>35</v>
      </c>
      <c r="J2" s="8" t="inlineStr">
        <is>
          <t>Il punteggio riflette un rischio moderato dovuto alla presenza di una pressa verticale attiva, che comporta un rischio intrinseco di contatto con parti in movimento. Sebbene non si osservino comportamenti scorretti, la distanza non permette di verificare l'efficacia dei sistemi di protezione e l'uso di DPI specifici.</t>
        </is>
      </c>
      <c r="K2" s="8" t="n">
        <v>35</v>
      </c>
      <c r="L2" s="9" t="inlineStr">
        <is>
          <t>giallo</t>
        </is>
      </c>
      <c r="M2" s="8" t="n">
        <v>10</v>
      </c>
      <c r="N2" s="8" t="n">
        <v>10</v>
      </c>
      <c r="O2" s="10" t="inlineStr">
        <is>
          <t>accordo</t>
        </is>
      </c>
      <c r="P2" s="8" t="n">
        <v>0</v>
      </c>
      <c r="Q2" s="8" t="n">
        <v>0.25</v>
      </c>
      <c r="R2" s="8" t="n">
        <v>0</v>
      </c>
      <c r="S2" s="8" t="n">
        <v>0</v>
      </c>
      <c r="T2" s="8" t="n">
        <v>0</v>
      </c>
      <c r="U2" s="8" t="n">
        <v>0.5</v>
      </c>
      <c r="V2" s="8" t="n">
        <v>0</v>
      </c>
    </row>
    <row r="3" ht="34" customHeight="1">
      <c r="A3" s="8" t="n">
        <v>1</v>
      </c>
      <c r="B3" s="8" t="n">
        <v>2</v>
      </c>
      <c r="C3" s="8" t="n">
        <v>6</v>
      </c>
      <c r="D3" s="8" t="n">
        <v>4</v>
      </c>
      <c r="E3" s="8" t="n">
        <v>30</v>
      </c>
      <c r="F3" s="8" t="inlineStr">
        <is>
          <t>Il punteggio di 30 riflette un ambiente industriale intrinsecamente pericoloso per la presenza di presse verticali, ma che si presenta ordinato e privo di pericoli immediati o violazioni evidenti. L'area di lavoro dell'operatore è sgombra da ostacoli. Permangono elementi di rischio latente dovuti all'impossibilità di verificare l'uso dei DPI specifici, l'efficacia dei sistemi di sicurezza integrati della pressa e la postura potenzialmente non ergonomica dell'operatore.</t>
        </is>
      </c>
      <c r="G3" s="8" t="n">
        <v>36</v>
      </c>
      <c r="H3" s="9" t="inlineStr">
        <is>
          <t>giallo</t>
        </is>
      </c>
      <c r="I3" s="8" t="n">
        <v>10</v>
      </c>
      <c r="J3" s="8" t="inlineStr">
        <is>
          <t>La situazione osservata è stabile e controllata, senza evidenze di comportamenti non conformi o pericoli immediati per l'operatore alla postazione. Il punteggio riflette unicamente il rischio residuo intrinseco alla presenza in un'officina con macchinari pesanti.</t>
        </is>
      </c>
      <c r="K3" s="8" t="n">
        <v>20</v>
      </c>
      <c r="L3" s="10" t="inlineStr">
        <is>
          <t>verde</t>
        </is>
      </c>
      <c r="M3" s="8" t="n">
        <v>20</v>
      </c>
      <c r="N3" s="8" t="n">
        <v>16</v>
      </c>
      <c r="O3" s="11" t="inlineStr">
        <is>
          <t>disaccordo</t>
        </is>
      </c>
      <c r="P3" s="8" t="n">
        <v>0</v>
      </c>
      <c r="Q3" s="8" t="n">
        <v>0</v>
      </c>
      <c r="R3" s="8" t="n">
        <v>0</v>
      </c>
      <c r="S3" s="8" t="n">
        <v>0</v>
      </c>
      <c r="T3" s="8" t="n">
        <v>0</v>
      </c>
      <c r="U3" s="8" t="n">
        <v>0</v>
      </c>
      <c r="V3" s="8" t="n">
        <v>0</v>
      </c>
    </row>
    <row r="4" ht="34" customHeight="1">
      <c r="A4" s="8" t="n">
        <v>2</v>
      </c>
      <c r="B4" s="8" t="n">
        <v>4</v>
      </c>
      <c r="C4" s="8" t="n">
        <v>8</v>
      </c>
      <c r="D4" s="8" t="n">
        <v>4</v>
      </c>
      <c r="E4" s="8" t="n">
        <v>45</v>
      </c>
      <c r="F4" s="8" t="inlineStr">
        <is>
          <t>Il punteggio riflette un livello di rischio moderato (45). La compresenza di un veicolo di movimentazione in transito e di un operatore a piedi crea un potenziale rischio di interferenza. Inoltre, l'accumulo di materiali e ostacoli in prossimità delle corsie di transito aumenta il rischio di intralcio, sebbene non si osservino comportamenti ad alto rischio o imminenti pericoli di collisione.</t>
        </is>
      </c>
      <c r="G4" s="8" t="n">
        <v>45.15</v>
      </c>
      <c r="H4" s="9" t="inlineStr">
        <is>
          <t>giallo</t>
        </is>
      </c>
      <c r="I4" s="8" t="n">
        <v>25</v>
      </c>
      <c r="J4" s="8" t="inlineStr">
        <is>
          <t>Il rischio è moderato poiché l'operatore lavora regolarmente e il carrello elevatore sullo sfondo non interagisce direttamente con la sua area. Tuttavia, la vicinanza alla pressa e la presenza del mezzo nello stesso ambiente richiedono una vigilanza continua.</t>
        </is>
      </c>
      <c r="K4" s="8" t="n">
        <v>26.75</v>
      </c>
      <c r="L4" s="9" t="inlineStr">
        <is>
          <t>giallo</t>
        </is>
      </c>
      <c r="M4" s="8" t="n">
        <v>20</v>
      </c>
      <c r="N4" s="8" t="n">
        <v>18.4</v>
      </c>
      <c r="O4" s="10" t="inlineStr">
        <is>
          <t>accordo</t>
        </is>
      </c>
      <c r="P4" s="8" t="n">
        <v>0.25</v>
      </c>
      <c r="Q4" s="8" t="n">
        <v>0</v>
      </c>
      <c r="R4" s="8" t="n">
        <v>0</v>
      </c>
      <c r="S4" s="8" t="n">
        <v>0</v>
      </c>
      <c r="T4" s="8" t="n">
        <v>0</v>
      </c>
      <c r="U4" s="8" t="n">
        <v>0.25</v>
      </c>
      <c r="V4" s="8" t="n">
        <v>0</v>
      </c>
    </row>
    <row r="5" ht="34" customHeight="1">
      <c r="A5" s="8" t="n">
        <v>3</v>
      </c>
      <c r="B5" s="8" t="n">
        <v>6</v>
      </c>
      <c r="C5" s="8" t="n">
        <v>10</v>
      </c>
      <c r="D5" s="8" t="n">
        <v>4</v>
      </c>
      <c r="E5" s="8" t="n">
        <v>70</v>
      </c>
      <c r="F5" s="8" t="inlineStr">
        <is>
          <t>Il punteggio di 70 è giustificato dalla presenza di un operatore che lavora in prossimità immediata di organi in movimento di una pressa verticale, in un layout compatto privo di barriere fisiche totali tra la zona di transito e la postazione. La presenza di un carrello elevatore sullo sfondo e l'impossibilità di verificare l'uso dei DPI aumentano il rischio potenziale di schiacciamento o investimento.</t>
        </is>
      </c>
      <c r="G5" s="8" t="n">
        <v>66.31</v>
      </c>
      <c r="H5" s="12" t="inlineStr">
        <is>
          <t>arancione</t>
        </is>
      </c>
      <c r="I5" s="8" t="n">
        <v>45</v>
      </c>
      <c r="J5" s="8" t="inlineStr">
        <is>
          <t>Il punteggio riflette un rischio moderato dovuto alla ridotta consapevolezza situazionale dell'operatore, che lavora di spalle rispetto alla zona di transito del carrello elevatore. La mancanza di barriere fisiche di segregazione visibili aumenta la probabilità di interferenze, sebbene non vi siano collisioni imminenti.</t>
        </is>
      </c>
      <c r="K5" s="8" t="n">
        <v>42.7</v>
      </c>
      <c r="L5" s="9" t="inlineStr">
        <is>
          <t>giallo</t>
        </is>
      </c>
      <c r="M5" s="8" t="n">
        <v>25</v>
      </c>
      <c r="N5" s="8" t="n">
        <v>23.61</v>
      </c>
      <c r="O5" s="11" t="inlineStr">
        <is>
          <t>disaccordo</t>
        </is>
      </c>
      <c r="P5" s="8" t="n">
        <v>0.25</v>
      </c>
      <c r="Q5" s="8" t="n">
        <v>0.5</v>
      </c>
      <c r="R5" s="8" t="n">
        <v>0.25</v>
      </c>
      <c r="S5" s="8" t="n">
        <v>0.25</v>
      </c>
      <c r="T5" s="8" t="n">
        <v>0</v>
      </c>
      <c r="U5" s="8" t="n">
        <v>0.5</v>
      </c>
      <c r="V5" s="8" t="n">
        <v>0</v>
      </c>
    </row>
    <row r="6" ht="34" customHeight="1">
      <c r="A6" s="8" t="n">
        <v>4</v>
      </c>
      <c r="B6" s="8" t="n">
        <v>8</v>
      </c>
      <c r="C6" s="8" t="n">
        <v>12</v>
      </c>
      <c r="D6" s="8" t="n">
        <v>4</v>
      </c>
      <c r="E6" s="8" t="n">
        <v>80</v>
      </c>
      <c r="F6" s="8" t="inlineStr">
        <is>
          <t>Il punteggio riflette un rischio elevato (80) dovuto alla combinazione di un carrello elevatore che transita rapidamente con un carico voluminoso che ostruisce la visuale anteriore del conducente, muovendosi in prossimità di una postazione di lavoro occupata. Questa dinamica genera un pericolo concreto di collisione o investimento.</t>
        </is>
      </c>
      <c r="G6" s="8" t="n">
        <v>77.02</v>
      </c>
      <c r="H6" s="11" t="inlineStr">
        <is>
          <t>rosso</t>
        </is>
      </c>
      <c r="I6" s="8" t="n">
        <v>45</v>
      </c>
      <c r="J6" s="8" t="inlineStr">
        <is>
          <t>Il punteggio riflette un rischio moderato dovuto alla vicinanza tra la traiettoria del carrello elevatore e la postazione dell'operatore, con possibili limitazioni di visibilità causate dal carico. La mancanza di barriere fisiche di separazione aumenta la probabilità di interferenza uomo-mezzo in caso di distrazione.</t>
        </is>
      </c>
      <c r="K6" s="8" t="n">
        <v>44.08</v>
      </c>
      <c r="L6" s="9" t="inlineStr">
        <is>
          <t>giallo</t>
        </is>
      </c>
      <c r="M6" s="8" t="n">
        <v>35</v>
      </c>
      <c r="N6" s="8" t="n">
        <v>32.94</v>
      </c>
      <c r="O6" s="11" t="inlineStr">
        <is>
          <t>disaccordo</t>
        </is>
      </c>
      <c r="P6" s="8" t="n">
        <v>0.5</v>
      </c>
      <c r="Q6" s="8" t="n">
        <v>0.5</v>
      </c>
      <c r="R6" s="8" t="n">
        <v>0.25</v>
      </c>
      <c r="S6" s="8" t="n">
        <v>0.5</v>
      </c>
      <c r="T6" s="8" t="n">
        <v>0.25</v>
      </c>
      <c r="U6" s="8" t="n">
        <v>0</v>
      </c>
      <c r="V6" s="8" t="n">
        <v>0</v>
      </c>
    </row>
    <row r="7" ht="34" customHeight="1">
      <c r="A7" s="8" t="n">
        <v>5</v>
      </c>
      <c r="B7" s="8" t="n">
        <v>10</v>
      </c>
      <c r="C7" s="8" t="n">
        <v>14</v>
      </c>
      <c r="D7" s="8" t="n">
        <v>4</v>
      </c>
      <c r="E7" s="8" t="n">
        <v>85</v>
      </c>
      <c r="F7" s="8" t="inlineStr">
        <is>
          <t>Il punteggio di 85 indica un rischio critico di collisione. Il carrello elevatore si muove in avanti con un carico di tre cassoni metallici che ostruisce la visuale anteriore del conducente, in presenza di un operatore seduto vicino alla traiettoria. La mancata adozione di misure di sicurezza necessarie, come la guida in retromarcia o l'impiego di un segnalatore a terra, aumenta notevolmente la probabilità di un investimento o di un impatto.</t>
        </is>
      </c>
      <c r="G7" s="8" t="n">
        <v>83.06</v>
      </c>
      <c r="H7" s="11" t="inlineStr">
        <is>
          <t>rosso</t>
        </is>
      </c>
      <c r="I7" s="8" t="n">
        <v>68</v>
      </c>
      <c r="J7" s="8" t="inlineStr">
        <is>
          <t>Il trasporto di tre contenitori impilati ostruisce gravemente la visibilità anteriore del conducente del carrello elevatore, aumentando il rischio di collisione con l'operatore seduto nelle vicinanze. Inoltre, l'altezza del carico instabile introduce un serio pericolo di ribaltamento dei contenitori durante il transito.</t>
        </is>
      </c>
      <c r="K7" s="8" t="n">
        <v>64.18000000000001</v>
      </c>
      <c r="L7" s="12" t="inlineStr">
        <is>
          <t>arancione</t>
        </is>
      </c>
      <c r="M7" s="8" t="n">
        <v>17</v>
      </c>
      <c r="N7" s="8" t="n">
        <v>18.88</v>
      </c>
      <c r="O7" s="11" t="inlineStr">
        <is>
          <t>disaccordo</t>
        </is>
      </c>
      <c r="P7" s="8" t="n">
        <v>0.5</v>
      </c>
      <c r="Q7" s="8" t="n">
        <v>0.75</v>
      </c>
      <c r="R7" s="8" t="n">
        <v>0.5</v>
      </c>
      <c r="S7" s="8" t="n">
        <v>0.25</v>
      </c>
      <c r="T7" s="8" t="n">
        <v>0.5</v>
      </c>
      <c r="U7" s="8" t="n">
        <v>0</v>
      </c>
      <c r="V7" s="8" t="n">
        <v>0</v>
      </c>
    </row>
    <row r="8" ht="34" customHeight="1">
      <c r="A8" s="8" t="n">
        <v>6</v>
      </c>
      <c r="B8" s="8" t="n">
        <v>12</v>
      </c>
      <c r="C8" s="8" t="n">
        <v>16</v>
      </c>
      <c r="D8" s="8" t="n">
        <v>4</v>
      </c>
      <c r="E8" s="8" t="n">
        <v>88</v>
      </c>
      <c r="F8" s="8" t="inlineStr">
        <is>
          <t>Il punteggio di 88 riflette un rischio molto elevato. La movimentazione di tre cassoni metallici impilati verticalmente compromette gravemente la visibilità del carrellista e la stabilità del carico. La manovra di svolta in prossimità di una postazione occupata da un operatore, in spazi ristretti e senza barriere fisiche, genera un pericolo imminente di collisione o schiacciamento dovuto alla potenziale caduta del carico instabile.</t>
        </is>
      </c>
      <c r="G8" s="8" t="n">
        <v>86.77</v>
      </c>
      <c r="H8" s="11" t="inlineStr">
        <is>
          <t>rosso</t>
        </is>
      </c>
      <c r="I8" s="8" t="n">
        <v>78</v>
      </c>
      <c r="J8" s="8" t="inlineStr">
        <is>
          <t>Il punteggio riflette un rischio elevato dovuto alla retromarcia del carrello elevatore verso l'operatore seduto, aggravato dalla ridotta visibilità causata dal carico impilato. La mancanza di barriere fisiche protettive aumenta significativamente la probabilità di una collisione grave o del rovesciamento dei contenitori.</t>
        </is>
      </c>
      <c r="K8" s="8" t="n">
        <v>74.97</v>
      </c>
      <c r="L8" s="11" t="inlineStr">
        <is>
          <t>rosso</t>
        </is>
      </c>
      <c r="M8" s="8" t="n">
        <v>10</v>
      </c>
      <c r="N8" s="8" t="n">
        <v>11.8</v>
      </c>
      <c r="O8" s="10" t="inlineStr">
        <is>
          <t>accordo</t>
        </is>
      </c>
      <c r="P8" s="8" t="n">
        <v>0.75</v>
      </c>
      <c r="Q8" s="8" t="n">
        <v>0.75</v>
      </c>
      <c r="R8" s="8" t="n">
        <v>0.25</v>
      </c>
      <c r="S8" s="8" t="n">
        <v>0.5</v>
      </c>
      <c r="T8" s="8" t="n">
        <v>0.5</v>
      </c>
      <c r="U8" s="8" t="n">
        <v>0</v>
      </c>
      <c r="V8" s="8" t="n">
        <v>0</v>
      </c>
    </row>
    <row r="9" ht="34" customHeight="1">
      <c r="A9" s="8" t="n">
        <v>7</v>
      </c>
      <c r="B9" s="8" t="n">
        <v>14</v>
      </c>
      <c r="C9" s="8" t="n">
        <v>18</v>
      </c>
      <c r="D9" s="8" t="n">
        <v>4</v>
      </c>
      <c r="E9" s="8" t="n">
        <v>85</v>
      </c>
      <c r="F9" s="8" t="inlineStr">
        <is>
          <t>Il punteggio di 85 riflette un rischio molto elevato dovuto alla movimentazione di un carico instabile e sovradimensionato (quattro cassoni metallici impilati). Questa configurazione ostruisce gravemente la visibilità anteriore dell'operatore e innalza pericolosamente il baricentro del mezzo durante la manovra di svolta, aumentando drasticamente la probabilità di perdita del carico o di collisione.</t>
        </is>
      </c>
      <c r="G9" s="8" t="n">
        <v>85.70999999999999</v>
      </c>
      <c r="H9" s="11" t="inlineStr">
        <is>
          <t>rosso</t>
        </is>
      </c>
      <c r="I9" s="8" t="n">
        <v>55</v>
      </c>
      <c r="J9" s="8" t="inlineStr">
        <is>
          <t>Il punteggio riflette un rischio significativo dovuto alla visibilità parzialmente ostruita dell'operatore durante una manovra complessa di svolta e retromarcia. Sebbene non vi siano pedoni nell'area, la vicinanza a macchinari e merci stoccate aumenta la probabilità di collisioni strutturali.</t>
        </is>
      </c>
      <c r="K9" s="8" t="n">
        <v>62.99</v>
      </c>
      <c r="L9" s="12" t="inlineStr">
        <is>
          <t>arancione</t>
        </is>
      </c>
      <c r="M9" s="8" t="n">
        <v>30</v>
      </c>
      <c r="N9" s="8" t="n">
        <v>22.72</v>
      </c>
      <c r="O9" s="11" t="inlineStr">
        <is>
          <t>disaccordo</t>
        </is>
      </c>
      <c r="P9" s="8" t="n">
        <v>0</v>
      </c>
      <c r="Q9" s="8" t="n">
        <v>0.75</v>
      </c>
      <c r="R9" s="8" t="n">
        <v>0.25</v>
      </c>
      <c r="S9" s="8" t="n">
        <v>0.5</v>
      </c>
      <c r="T9" s="8" t="n">
        <v>0.5</v>
      </c>
      <c r="U9" s="8" t="n">
        <v>0</v>
      </c>
      <c r="V9" s="8" t="n">
        <v>0</v>
      </c>
    </row>
    <row r="10" ht="34" customHeight="1">
      <c r="A10" s="8" t="n">
        <v>8</v>
      </c>
      <c r="B10" s="8" t="n">
        <v>16</v>
      </c>
      <c r="C10" s="8" t="n">
        <v>20</v>
      </c>
      <c r="D10" s="8" t="n">
        <v>4</v>
      </c>
      <c r="E10" s="8" t="n">
        <v>70</v>
      </c>
      <c r="F10" s="8" t="inlineStr">
        <is>
          <t>Il punteggio di 70 è giustificato dalla presenza di un carrello elevatore in movimento con un carico alto che ostruisce parzialmente la visuale anteriore dell'operatore durante una manovra di svolta. Questa situazione configura un rischio medio-alto di collisione con ostacoli fissi o materiali adiacenti e di potenziale instabilità del carico, aggravato dalla difficoltà di verificare l'uso dei DPI da parte dell'operatore.</t>
        </is>
      </c>
      <c r="G10" s="8" t="n">
        <v>76.28</v>
      </c>
      <c r="H10" s="11" t="inlineStr">
        <is>
          <t>rosso</t>
        </is>
      </c>
      <c r="I10" s="8" t="n">
        <v>35</v>
      </c>
      <c r="J10" s="8" t="inlineStr">
        <is>
          <t>Il rischio è moderato poiché la movimentazione di cassoni impilati riduce la visibilità anteriore del carrellista in prossimità di macchinari industriali. L'assenza di pedoni visibili nell'area limita la gravità immediata, ma permane il pericolo di collisione o caduta del carico.</t>
        </is>
      </c>
      <c r="K10" s="8" t="n">
        <v>46.2</v>
      </c>
      <c r="L10" s="9" t="inlineStr">
        <is>
          <t>giallo</t>
        </is>
      </c>
      <c r="M10" s="8" t="n">
        <v>35</v>
      </c>
      <c r="N10" s="8" t="n">
        <v>30.08</v>
      </c>
      <c r="O10" s="11" t="inlineStr">
        <is>
          <t>disaccordo</t>
        </is>
      </c>
      <c r="P10" s="8" t="n">
        <v>0</v>
      </c>
      <c r="Q10" s="8" t="n">
        <v>0.5</v>
      </c>
      <c r="R10" s="8" t="n">
        <v>0</v>
      </c>
      <c r="S10" s="8" t="n">
        <v>0.25</v>
      </c>
      <c r="T10" s="8" t="n">
        <v>0.25</v>
      </c>
      <c r="U10" s="8" t="n">
        <v>0</v>
      </c>
      <c r="V10" s="8" t="n">
        <v>0</v>
      </c>
    </row>
    <row r="11" ht="34" customHeight="1">
      <c r="A11" s="8" t="n">
        <v>9</v>
      </c>
      <c r="B11" s="8" t="n">
        <v>18</v>
      </c>
      <c r="C11" s="8" t="n">
        <v>22</v>
      </c>
      <c r="D11" s="8" t="n">
        <v>4</v>
      </c>
      <c r="E11" s="8" t="n">
        <v>80</v>
      </c>
      <c r="F11" s="8" t="inlineStr">
        <is>
          <t>Il punteggio di 80 è giustificato dalla grave violazione delle norme di sicurezza: il carrello elevatore procede in avanti nonostante la visuale anteriore sia completamente ostruita da tre cassoni metallici impilati. Questa dinamica comporta un rischio elevato di collisione con l'operatore a terra seduto nelle vicinanze e di instabilità del carico, in quanto il conducente non ha visibilità sulla traiettoria di marcia.</t>
        </is>
      </c>
      <c r="G11" s="8" t="n">
        <v>81.01000000000001</v>
      </c>
      <c r="H11" s="11" t="inlineStr">
        <is>
          <t>rosso</t>
        </is>
      </c>
      <c r="I11" s="8" t="n">
        <v>55</v>
      </c>
      <c r="J11" s="8" t="inlineStr">
        <is>
          <t>Il punteggio riflette un rischio significativo dovuto alla ridotta visibilità del conducente, causata dal carico impilato, durante una manovra di svolta in prossimità di un operatore seduto. La compresenza di mezzi in movimento e pedoni in aree di transito comuni aumenta la probabilità di collisione.</t>
        </is>
      </c>
      <c r="K11" s="8" t="n">
        <v>56.48</v>
      </c>
      <c r="L11" s="12" t="inlineStr">
        <is>
          <t>arancione</t>
        </is>
      </c>
      <c r="M11" s="8" t="n">
        <v>25</v>
      </c>
      <c r="N11" s="8" t="n">
        <v>24.53</v>
      </c>
      <c r="O11" s="11" t="inlineStr">
        <is>
          <t>disaccordo</t>
        </is>
      </c>
      <c r="P11" s="8" t="n">
        <v>0.5</v>
      </c>
      <c r="Q11" s="8" t="n">
        <v>0.5</v>
      </c>
      <c r="R11" s="8" t="n">
        <v>0.25</v>
      </c>
      <c r="S11" s="8" t="n">
        <v>0.25</v>
      </c>
      <c r="T11" s="8" t="n">
        <v>0.25</v>
      </c>
      <c r="U11" s="8" t="n">
        <v>0</v>
      </c>
      <c r="V11" s="8" t="n">
        <v>0</v>
      </c>
    </row>
    <row r="12" ht="34" customHeight="1">
      <c r="A12" s="8" t="n">
        <v>10</v>
      </c>
      <c r="B12" s="8" t="n">
        <v>20</v>
      </c>
      <c r="C12" s="8" t="n">
        <v>24</v>
      </c>
      <c r="D12" s="8" t="n">
        <v>4</v>
      </c>
      <c r="E12" s="8" t="n">
        <v>85</v>
      </c>
      <c r="F12" s="8" t="inlineStr">
        <is>
          <t>Il punteggio di 85 indica un rischio molto elevato. La movimentazione di una pila di cassoni metallici così alta da ostruire completamente la visuale anteriore del conducente del carrello elevatore rappresenta una grave violazione delle norme di sicurezza. La presenza di un operatore seduto nelle vicinanze della traiettoria, combinata con l'angolo cieco creato dal carico e la potenziale instabilità dello stesso, genera un pericolo imminente di collisione o schiacciamento.</t>
        </is>
      </c>
      <c r="G12" s="8" t="n">
        <v>84.65000000000001</v>
      </c>
      <c r="H12" s="11" t="inlineStr">
        <is>
          <t>rosso</t>
        </is>
      </c>
      <c r="I12" s="8" t="n">
        <v>65</v>
      </c>
      <c r="J12" s="8" t="inlineStr">
        <is>
          <t>La movimentazione di un carico impilato che ostruisce la visuale anteriore del conducente, in prossimità di un operatore alla postazione di lavoro, genera un rischio significativo di collisione. Per prevenire incidenti, il carrello elevatore dovrebbe procedere a marcia indietro o utilizzare un assistente a terra.</t>
        </is>
      </c>
      <c r="K12" s="8" t="n">
        <v>64.09</v>
      </c>
      <c r="L12" s="12" t="inlineStr">
        <is>
          <t>arancione</t>
        </is>
      </c>
      <c r="M12" s="8" t="n">
        <v>20</v>
      </c>
      <c r="N12" s="8" t="n">
        <v>20.56</v>
      </c>
      <c r="O12" s="11" t="inlineStr">
        <is>
          <t>disaccordo</t>
        </is>
      </c>
      <c r="P12" s="8" t="n">
        <v>0.5</v>
      </c>
      <c r="Q12" s="8" t="n">
        <v>0.75</v>
      </c>
      <c r="R12" s="8" t="n">
        <v>0.5</v>
      </c>
      <c r="S12" s="8" t="n">
        <v>0.25</v>
      </c>
      <c r="T12" s="8" t="n">
        <v>0.25</v>
      </c>
      <c r="U12" s="8" t="n">
        <v>0</v>
      </c>
      <c r="V12" s="8" t="n">
        <v>0</v>
      </c>
    </row>
    <row r="13" ht="34" customHeight="1">
      <c r="A13" s="8" t="n">
        <v>11</v>
      </c>
      <c r="B13" s="8" t="n">
        <v>22</v>
      </c>
      <c r="C13" s="8" t="n">
        <v>26</v>
      </c>
      <c r="D13" s="8" t="n">
        <v>4</v>
      </c>
      <c r="E13" s="8" t="n">
        <v>75</v>
      </c>
      <c r="F13" s="8" t="inlineStr">
        <is>
          <t>Il punteggio riflette un rischio elevato dovuto alla manovra di svolta in retromarcia di un carrello elevatore con carico ingombrante che ostruisce la visuale anteriore. La presenza di un operatore seduto nelle vicinanze dell'area di manovra e la potenziale presenza di angoli ciechi aumentano significativamente il pericolo di collisione con conseguenze potenzialmente gravi.</t>
        </is>
      </c>
      <c r="G13" s="8" t="n">
        <v>78.86</v>
      </c>
      <c r="H13" s="11" t="inlineStr">
        <is>
          <t>rosso</t>
        </is>
      </c>
      <c r="I13" s="8" t="n">
        <v>80</v>
      </c>
      <c r="J13" s="8" t="inlineStr">
        <is>
          <t>Il punteggio riflette un rischio elevato dovuto alla totale ostruzione della visuale del conducente causata dal carico voluminoso, che impedisce di rilevare l'operatore seduto nelle vicinanze. Questa condizione, unita alla potenziale instabilità del carico impilato, aumenta drasticamente la probabilità di collisione o investimento.</t>
        </is>
      </c>
      <c r="K13" s="8" t="n">
        <v>77.39</v>
      </c>
      <c r="L13" s="11" t="inlineStr">
        <is>
          <t>rosso</t>
        </is>
      </c>
      <c r="M13" s="8" t="n">
        <v>5</v>
      </c>
      <c r="N13" s="8" t="n">
        <v>1.47</v>
      </c>
      <c r="O13" s="10" t="inlineStr">
        <is>
          <t>accordo</t>
        </is>
      </c>
      <c r="P13" s="8" t="n">
        <v>0.5</v>
      </c>
      <c r="Q13" s="8" t="n">
        <v>0.75</v>
      </c>
      <c r="R13" s="8" t="n">
        <v>0.25</v>
      </c>
      <c r="S13" s="8" t="n">
        <v>0.5</v>
      </c>
      <c r="T13" s="8" t="n">
        <v>0.5</v>
      </c>
      <c r="U13" s="8" t="n">
        <v>0</v>
      </c>
      <c r="V13" s="8" t="n">
        <v>0</v>
      </c>
    </row>
    <row r="14" ht="34" customHeight="1">
      <c r="A14" s="8" t="n">
        <v>12</v>
      </c>
      <c r="B14" s="8" t="n">
        <v>24</v>
      </c>
      <c r="C14" s="8" t="n">
        <v>28</v>
      </c>
      <c r="D14" s="8" t="n">
        <v>4</v>
      </c>
      <c r="E14" s="8" t="n">
        <v>75</v>
      </c>
      <c r="F14" s="8" t="inlineStr">
        <is>
          <t>Il punteggio riflette un rischio elevato dovuto al trasporto di tre cassoni metallici pesanti impilati verticalmente, che compromettono la stabilità del carrello elevatore (innalzamento del baricentro) e ostruiscono la visuale del conducente durante una manovra di svolta. La presenza di un operatore seduto nelle immediate vicinanze della traiettoria aumenta significativamente il potenziale di impatto o schiacciamento in caso di caduta del carico dovuto alla forza centrifuga.</t>
        </is>
      </c>
      <c r="G14" s="8" t="n">
        <v>76.54000000000001</v>
      </c>
      <c r="H14" s="11" t="inlineStr">
        <is>
          <t>rosso</t>
        </is>
      </c>
      <c r="I14" s="8" t="n">
        <v>65</v>
      </c>
      <c r="J14" s="8" t="inlineStr">
        <is>
          <t>La manovra di svolta all'indietro con tre cassoni metallici impilati riduce significativamente la visibilità del conducente e aumenta il rischio di instabilità del carico. La presenza di un operatore seduto nelle immediate vicinanze dell'area di manovra configura un rischio concreto di collisione.</t>
        </is>
      </c>
      <c r="K14" s="8" t="n">
        <v>69.95999999999999</v>
      </c>
      <c r="L14" s="12" t="inlineStr">
        <is>
          <t>arancione</t>
        </is>
      </c>
      <c r="M14" s="8" t="n">
        <v>10</v>
      </c>
      <c r="N14" s="8" t="n">
        <v>6.58</v>
      </c>
      <c r="O14" s="11" t="inlineStr">
        <is>
          <t>disaccordo</t>
        </is>
      </c>
      <c r="P14" s="8" t="n">
        <v>0.5</v>
      </c>
      <c r="Q14" s="8" t="n">
        <v>0.75</v>
      </c>
      <c r="R14" s="8" t="n">
        <v>0.25</v>
      </c>
      <c r="S14" s="8" t="n">
        <v>0.5</v>
      </c>
      <c r="T14" s="8" t="n">
        <v>0.5</v>
      </c>
      <c r="U14" s="8" t="n">
        <v>0</v>
      </c>
      <c r="V14" s="8" t="n">
        <v>0</v>
      </c>
    </row>
    <row r="15" ht="34" customHeight="1">
      <c r="A15" s="8" t="n">
        <v>13</v>
      </c>
      <c r="B15" s="8" t="n">
        <v>26</v>
      </c>
      <c r="C15" s="8" t="n">
        <v>30</v>
      </c>
      <c r="D15" s="8" t="n">
        <v>4</v>
      </c>
      <c r="E15" s="8" t="n">
        <v>75</v>
      </c>
      <c r="F15" s="8" t="inlineStr">
        <is>
          <t>Il punteggio di 75 è giustificato dalla movimentazione di un carico instabile (due cassoni metallici impilati senza fissaggio) che limita la visibilità anteriore del conducente del carrello elevatore. La compresenza di un pedone nell'area di transito aumenta il rischio di investimento o di schiacciamento dovuto alla potenziale caduta del carico durante le manovre.</t>
        </is>
      </c>
      <c r="G15" s="8" t="n">
        <v>75.62</v>
      </c>
      <c r="H15" s="11" t="inlineStr">
        <is>
          <t>rosso</t>
        </is>
      </c>
      <c r="I15" s="8" t="n">
        <v>60</v>
      </c>
      <c r="J15" s="8" t="inlineStr">
        <is>
          <t>Il rischio è significativo a causa della compresenza di pedoni e di un carrello elevatore con carico ingombrante che limita la visibilità del conducente. L'assenza di barriere fisiche di segregazione tra flussi pedonali e veicolari aumenta la probabilità di collisione o investimento.</t>
        </is>
      </c>
      <c r="K15" s="8" t="n">
        <v>63.98</v>
      </c>
      <c r="L15" s="12" t="inlineStr">
        <is>
          <t>arancione</t>
        </is>
      </c>
      <c r="M15" s="8" t="n">
        <v>15</v>
      </c>
      <c r="N15" s="8" t="n">
        <v>11.64</v>
      </c>
      <c r="O15" s="11" t="inlineStr">
        <is>
          <t>disaccordo</t>
        </is>
      </c>
      <c r="P15" s="8" t="n">
        <v>0.5</v>
      </c>
      <c r="Q15" s="8" t="n">
        <v>0.5</v>
      </c>
      <c r="R15" s="8" t="n">
        <v>0.25</v>
      </c>
      <c r="S15" s="8" t="n">
        <v>0.5</v>
      </c>
      <c r="T15" s="8" t="n">
        <v>0.5</v>
      </c>
      <c r="U15" s="8" t="n">
        <v>0.25</v>
      </c>
      <c r="V15" s="8" t="n">
        <v>0</v>
      </c>
    </row>
    <row r="16" ht="34" customHeight="1">
      <c r="A16" s="8" t="n">
        <v>14</v>
      </c>
      <c r="B16" s="8" t="n">
        <v>28</v>
      </c>
      <c r="C16" s="8" t="n">
        <v>32</v>
      </c>
      <c r="D16" s="8" t="n">
        <v>4</v>
      </c>
      <c r="E16" s="8" t="n">
        <v>30</v>
      </c>
      <c r="F16" s="8" t="inlineStr">
        <is>
          <t>Il punteggio di 30 riflette un ambiente industriale intrinsecamente pericoloso per la presenza di presse pesanti, ma attualmente in condizioni di normale operatività. Non si osservano comportamenti scorretti o emergenze in corso. Tuttavia, la mancanza di barriere fisiche tra le vie di transito e le aree di lavoro, insieme all'impossibilità di verificare i DPI specifici a causa della distanza, mantiene un livello di rischio di base moderato.</t>
        </is>
      </c>
      <c r="G16" s="8" t="n">
        <v>48.25</v>
      </c>
      <c r="H16" s="9" t="inlineStr">
        <is>
          <t>giallo</t>
        </is>
      </c>
      <c r="I16" s="8" t="n">
        <v>25</v>
      </c>
      <c r="J16" s="8" t="inlineStr">
        <is>
          <t>Il punteggio riflette un rischio moderato dovuto alla presenza intrinseca di presse verticali in funzione e cassoni metallici impilati. Non si rilevano comportamenti non conformi evidenti, sebbene la distanza limiti la verifica dettagliata dei DPI minori.</t>
        </is>
      </c>
      <c r="K16" s="8" t="n">
        <v>40.59</v>
      </c>
      <c r="L16" s="9" t="inlineStr">
        <is>
          <t>giallo</t>
        </is>
      </c>
      <c r="M16" s="8" t="n">
        <v>5</v>
      </c>
      <c r="N16" s="8" t="n">
        <v>7.66</v>
      </c>
      <c r="O16" s="10" t="inlineStr">
        <is>
          <t>accordo</t>
        </is>
      </c>
      <c r="P16" s="8" t="n">
        <v>0</v>
      </c>
      <c r="Q16" s="8" t="n">
        <v>0</v>
      </c>
      <c r="R16" s="8" t="n">
        <v>0</v>
      </c>
      <c r="S16" s="8" t="n">
        <v>0</v>
      </c>
      <c r="T16" s="8" t="n">
        <v>0.25</v>
      </c>
      <c r="U16" s="8" t="n">
        <v>0.25</v>
      </c>
      <c r="V16" s="8" t="n">
        <v>0</v>
      </c>
    </row>
    <row r="17" ht="34" customHeight="1">
      <c r="A17" s="8" t="n">
        <v>15</v>
      </c>
      <c r="B17" s="8" t="n">
        <v>30</v>
      </c>
      <c r="C17" s="8" t="n">
        <v>34</v>
      </c>
      <c r="D17" s="8" t="n">
        <v>4</v>
      </c>
      <c r="E17" s="8" t="n">
        <v>40</v>
      </c>
      <c r="F17" s="8" t="inlineStr">
        <is>
          <t>Il punteggio di 40 indica un rischio moderato. Sebbene non vi siano incidenti imminenti o violazioni palesi in corso, la presenza di un operatore a ridosso di una pressa industriale attiva e di un pedone in transito sullo sfondo comporta rischi intrinseci. Inoltre, la segnalazione di possibili aree scivolose sul pavimento (riflessi lucidi) e l'impossibilità di verificare con precisione l'uso dei DPI (causa distanza della telecamera) aumentano il livello di attenzione richiesto per la sicurezza.</t>
        </is>
      </c>
      <c r="G17" s="8" t="n">
        <v>45.8</v>
      </c>
      <c r="H17" s="9" t="inlineStr">
        <is>
          <t>giallo</t>
        </is>
      </c>
      <c r="I17" s="8" t="n">
        <v>35</v>
      </c>
      <c r="J17" s="8" t="inlineStr">
        <is>
          <t>Il punteggio riflette un rischio moderato dovuto alla prossimità dell'operatore a presse verticali potenzialmente attive, pur in assenza di comportamenti scorretti evidenti. La presenza di pedoni e di un carrello elevatore sullo sfondo richiede vigilanza per evitare distrazioni o interferenze nelle aree di transito.</t>
        </is>
      </c>
      <c r="K17" s="8" t="n">
        <v>39.74</v>
      </c>
      <c r="L17" s="9" t="inlineStr">
        <is>
          <t>giallo</t>
        </is>
      </c>
      <c r="M17" s="8" t="n">
        <v>5</v>
      </c>
      <c r="N17" s="8" t="n">
        <v>6.06</v>
      </c>
      <c r="O17" s="10" t="inlineStr">
        <is>
          <t>accordo</t>
        </is>
      </c>
      <c r="P17" s="8" t="n">
        <v>0.25</v>
      </c>
      <c r="Q17" s="8" t="n">
        <v>0.25</v>
      </c>
      <c r="R17" s="8" t="n">
        <v>0.25</v>
      </c>
      <c r="S17" s="8" t="n">
        <v>0.25</v>
      </c>
      <c r="T17" s="8" t="n">
        <v>0.25</v>
      </c>
      <c r="U17" s="8" t="n">
        <v>0.5</v>
      </c>
      <c r="V17" s="8" t="n">
        <v>0</v>
      </c>
    </row>
    <row r="18" ht="34" customHeight="1">
      <c r="A18" s="8" t="n">
        <v>16</v>
      </c>
      <c r="B18" s="8" t="n">
        <v>32</v>
      </c>
      <c r="C18" s="8" t="n">
        <v>34</v>
      </c>
      <c r="D18" s="8" t="n">
        <v>2</v>
      </c>
      <c r="E18" s="8" t="n">
        <v>25</v>
      </c>
      <c r="F18" s="8" t="inlineStr">
        <is>
          <t>La scena è prevalentemente statica e l'operatore presidia la postazione in modo controllato. Tuttavia, si mantiene un punteggio di 25 dovuto ai rischi intrinseci di schiacciamento associati alle presse verticali, al layout compatto dell'officina che riduce lo spazio di manovra e alla presenza di DPI non verificabile con certezza.</t>
        </is>
      </c>
      <c r="G18" s="8" t="n">
        <v>33.32</v>
      </c>
      <c r="H18" s="9" t="inlineStr">
        <is>
          <t>giallo</t>
        </is>
      </c>
      <c r="I18" s="8" t="n">
        <v>30</v>
      </c>
      <c r="J18" s="8" t="inlineStr">
        <is>
          <t>Il punteggio riflette un rischio moderato dovuto alla presenza dell'operatore a ridosso di una pressa verticale attiva, le cui barriere di sicurezza e DPI non sono verificabili a causa della distanza. Non si rilevano tuttavia comportamenti non conformi o interferenze immediate con il carrello elevatore sullo sfondo.</t>
        </is>
      </c>
      <c r="K18" s="8" t="n">
        <v>33.9</v>
      </c>
      <c r="L18" s="9" t="inlineStr">
        <is>
          <t>giallo</t>
        </is>
      </c>
      <c r="M18" s="8" t="n">
        <v>5</v>
      </c>
      <c r="N18" s="8" t="n">
        <v>0.58</v>
      </c>
      <c r="O18" s="10" t="inlineStr">
        <is>
          <t>accordo</t>
        </is>
      </c>
      <c r="P18" s="8" t="n">
        <v>0.2</v>
      </c>
      <c r="Q18" s="8" t="n">
        <v>0.2</v>
      </c>
      <c r="R18" s="8" t="n">
        <v>0.1</v>
      </c>
      <c r="S18" s="8" t="n">
        <v>0.1</v>
      </c>
      <c r="T18" s="8" t="n">
        <v>0.1</v>
      </c>
      <c r="U18" s="8" t="n">
        <v>0.3</v>
      </c>
      <c r="V18"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2026-07-28T09:07:49Z</dcterms:created>
  <dcterms:modified xmlns:dcterms="http://purl.org/dc/terms/" xmlns:xsi="http://www.w3.org/2001/XMLSchema-instance" xsi:type="dcterms:W3CDTF">2026-07-28T09:07:49Z</dcterms:modified>
</cp:coreProperties>
</file>