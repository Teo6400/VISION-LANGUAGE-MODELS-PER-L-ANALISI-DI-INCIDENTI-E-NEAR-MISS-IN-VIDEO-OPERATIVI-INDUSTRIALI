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branch_comparison" sheetId="2" state="visible" r:id="rId2"/>
    <sheet xmlns:r="http://schemas.openxmlformats.org/officeDocument/2006/relationships" name="vlm_free_branch" sheetId="3" state="visible" r:id="rId3"/>
    <sheet xmlns:r="http://schemas.openxmlformats.org/officeDocument/2006/relationships" name="vlm_guided_branch" sheetId="4" state="visible" r:id="rId4"/>
    <sheet xmlns:r="http://schemas.openxmlformats.org/officeDocument/2006/relationships" name="ahp_branch" sheetId="5" state="visible" r:id="rId5"/>
    <sheet xmlns:r="http://schemas.openxmlformats.org/officeDocument/2006/relationships" name="scoring_json_debug" sheetId="6" state="visible" r:id="rId6"/>
    <sheet xmlns:r="http://schemas.openxmlformats.org/officeDocument/2006/relationships" name="token_audit" sheetId="7" state="visible" r:id="rId7"/>
    <sheet xmlns:r="http://schemas.openxmlformats.org/officeDocument/2006/relationships" name="ahp_risk_analysis" sheetId="8" state="visible" r:id="rId8"/>
    <sheet xmlns:r="http://schemas.openxmlformats.org/officeDocument/2006/relationships" name="ahp_contrib_detail" sheetId="9" state="visible" r:id="rId9"/>
    <sheet xmlns:r="http://schemas.openxmlformats.org/officeDocument/2006/relationships" name="ahp_contrib_summary"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3">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CE4D6"/>
      </patternFill>
    </fill>
    <fill>
      <patternFill patternType="solid">
        <fgColor rgb="00FFF2CC"/>
      </patternFill>
    </fill>
    <fill>
      <patternFill patternType="solid">
        <fgColor rgb="00F4CCCC"/>
      </patternFill>
    </fill>
    <fill>
      <patternFill patternType="solid">
        <fgColor rgb="00C6EFCE"/>
      </patternFill>
    </fill>
    <fill>
      <patternFill patternType="solid">
        <fgColor rgb="00EADCF8"/>
      </patternFill>
    </fill>
    <fill>
      <patternFill patternType="solid">
        <fgColor rgb="00EDEDED"/>
      </patternFill>
    </fill>
    <fill>
      <patternFill patternType="solid">
        <fgColor rgb="00A9D18E"/>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2"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7" borderId="2" applyAlignment="1" pivotButton="0" quotePrefix="0" xfId="0">
      <alignment horizontal="left" vertical="top" wrapText="1"/>
    </xf>
    <xf numFmtId="0" fontId="3" fillId="9" borderId="2" applyAlignment="1" pivotButton="0" quotePrefix="0" xfId="0">
      <alignment horizontal="left" vertical="top" wrapText="1"/>
    </xf>
    <xf numFmtId="0" fontId="3" fillId="6" borderId="2" applyAlignment="1" pivotButton="0" quotePrefix="0" xfId="0">
      <alignment horizontal="left" vertical="top" wrapText="1"/>
    </xf>
    <xf numFmtId="0" fontId="3" fillId="8" borderId="2" applyAlignment="1" pivotButton="0" quotePrefix="0" xfId="0">
      <alignment horizontal="left" vertical="top" wrapText="1"/>
    </xf>
    <xf numFmtId="0" fontId="4" fillId="7" borderId="2" applyAlignment="1" pivotButton="0" quotePrefix="0" xfId="0">
      <alignment horizontal="center" vertical="center" wrapText="1"/>
    </xf>
    <xf numFmtId="0" fontId="4" fillId="10" borderId="2" applyAlignment="1" pivotButton="0" quotePrefix="0" xfId="0">
      <alignment horizontal="center" vertical="center" wrapText="1"/>
    </xf>
    <xf numFmtId="0" fontId="4" fillId="11" borderId="2" applyAlignment="1" pivotButton="0" quotePrefix="0" xfId="0">
      <alignment horizontal="center" vertical="center" wrapText="1"/>
    </xf>
    <xf numFmtId="0" fontId="3" fillId="12"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Tre rami</a:t>
            </a:r>
          </a:p>
        </rich>
      </tx>
    </title>
    <plotArea>
      <lineChart>
        <grouping val="standard"/>
        <ser>
          <idx val="0"/>
          <order val="0"/>
          <tx>
            <strRef>
              <f>'all_results'!H1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'all_results'!$A$2:$A$18</f>
            </numRef>
          </cat>
          <val>
            <numRef>
              <f>'all_results'!$H$2:$H$18</f>
            </numRef>
          </val>
        </ser>
        <ser>
          <idx val="1"/>
          <order val="1"/>
          <tx>
            <strRef>
              <f>'all_results'!O1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'all_results'!$A$2:$A$18</f>
            </numRef>
          </cat>
          <val>
            <numRef>
              <f>'all_results'!$O$2:$O$18</f>
            </numRef>
          </val>
        </ser>
        <ser>
          <idx val="2"/>
          <order val="2"/>
          <tx>
            <strRef>
              <f>'all_results'!R1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'all_results'!$A$2:$A$18</f>
            </numRef>
          </cat>
          <val>
            <numRef>
              <f>'all_results'!$R$2:$R$18</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Confronto punteggi dinamici - Tre rami</a:t>
            </a:r>
          </a:p>
        </rich>
      </tx>
    </title>
    <plotArea>
      <lineChart>
        <grouping val="standard"/>
        <ser>
          <idx val="0"/>
          <order val="0"/>
          <tx>
            <strRef>
              <f>'branch_comparison'!G1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'branch_comparison'!$A$2:$A$18</f>
            </numRef>
          </cat>
          <val>
            <numRef>
              <f>'branch_comparison'!$G$2:$G$18</f>
            </numRef>
          </val>
        </ser>
        <ser>
          <idx val="1"/>
          <order val="1"/>
          <tx>
            <strRef>
              <f>'branch_comparison'!H1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'branch_comparison'!$A$2:$A$18</f>
            </numRef>
          </cat>
          <val>
            <numRef>
              <f>'branch_comparison'!$H$2:$H$18</f>
            </numRef>
          </val>
        </ser>
        <ser>
          <idx val="2"/>
          <order val="2"/>
          <tx>
            <strRef>
              <f>'branch_comparison'!I1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'branch_comparison'!$A$2:$A$18</f>
            </numRef>
          </cat>
          <val>
            <numRef>
              <f>'branch_comparison'!$I$2:$I$18</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Ramo VLM libero - Dynamic risk score</a:t>
            </a:r>
          </a:p>
        </rich>
      </tx>
    </title>
    <plotArea>
      <lineChart>
        <grouping val="standard"/>
        <ser>
          <idx val="0"/>
          <order val="0"/>
          <tx>
            <strRef>
              <f>'vlm_free_branch'!G1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'vlm_free_branch'!$A$2:$A$18</f>
            </numRef>
          </cat>
          <val>
            <numRef>
              <f>'vlm_free_branch'!$G$2:$G$18</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Ramo VLM guidato - Dynamic risk score</a:t>
            </a:r>
          </a:p>
        </rich>
      </tx>
    </title>
    <plotArea>
      <lineChart>
        <grouping val="standard"/>
        <ser>
          <idx val="0"/>
          <order val="0"/>
          <tx>
            <strRef>
              <f>'vlm_guided_branch'!I1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'vlm_guided_branch'!$A$2:$A$18</f>
            </numRef>
          </cat>
          <val>
            <numRef>
              <f>'vlm_guided_branch'!$I$2:$I$18</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Ramo AHP - Dynamic risk score</a:t>
            </a:r>
          </a:p>
        </rich>
      </tx>
    </title>
    <plotArea>
      <lineChart>
        <grouping val="standard"/>
        <ser>
          <idx val="0"/>
          <order val="0"/>
          <tx>
            <strRef>
              <f>'ahp_branch'!H1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'ahp_branch'!$A$2:$A$18</f>
            </numRef>
          </cat>
          <val>
            <numRef>
              <f>'ahp_branch'!$H$2:$H$18</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25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D1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18" customWidth="1" min="5" max="5"/>
    <col width="8" customWidth="1" min="6" max="6"/>
    <col width="16" customWidth="1" min="7" max="7"/>
    <col width="8" customWidth="1" min="8" max="8"/>
    <col width="7" customWidth="1" min="9" max="9"/>
    <col width="18" customWidth="1" min="10" max="10"/>
    <col width="18" customWidth="1" min="11" max="11"/>
    <col width="18" customWidth="1" min="12" max="12"/>
    <col width="8" customWidth="1" min="13" max="13"/>
    <col width="16" customWidth="1" min="14" max="14"/>
    <col width="8" customWidth="1" min="15" max="15"/>
    <col width="7" customWidth="1" min="16" max="16"/>
    <col width="8" customWidth="1" min="17" max="17"/>
    <col width="8" customWidth="1" min="18" max="18"/>
    <col width="7" customWidth="1" min="19" max="19"/>
    <col width="8" customWidth="1" min="20" max="20"/>
    <col width="18" customWidth="1" min="21" max="21"/>
    <col width="7" customWidth="1" min="22" max="22"/>
    <col width="8" customWidth="1" min="23" max="23"/>
    <col width="7" customWidth="1" min="24" max="24"/>
    <col width="8" customWidth="1" min="25" max="25"/>
    <col width="8" customWidth="1" min="26" max="26"/>
    <col width="7" customWidth="1" min="27" max="27"/>
    <col width="8" customWidth="1" min="28" max="28"/>
    <col width="7" customWidth="1" min="29" max="29"/>
    <col width="8" customWidth="1" min="30" max="30"/>
    <col width="8" customWidth="1" min="31" max="31"/>
    <col width="7" customWidth="1" min="32" max="32"/>
    <col width="8" customWidth="1" min="33" max="33"/>
    <col width="7" customWidth="1" min="34" max="34"/>
    <col width="8" customWidth="1" min="35" max="35"/>
    <col width="8" customWidth="1" min="36" max="36"/>
    <col width="7" customWidth="1" min="37" max="37"/>
    <col width="8" customWidth="1" min="38" max="38"/>
    <col width="7" customWidth="1" min="39" max="39"/>
    <col width="8" customWidth="1" min="40" max="40"/>
    <col width="8" customWidth="1" min="41" max="41"/>
    <col width="7" customWidth="1" min="42" max="42"/>
    <col width="8" customWidth="1" min="43" max="43"/>
    <col width="7" customWidth="1" min="44" max="44"/>
    <col width="8" customWidth="1" min="45" max="45"/>
    <col width="8" customWidth="1" min="46" max="46"/>
    <col width="7" customWidth="1" min="47" max="47"/>
    <col width="8" customWidth="1" min="48" max="48"/>
    <col width="7" customWidth="1" min="49" max="49"/>
    <col width="8" customWidth="1" min="50" max="50"/>
    <col width="8" customWidth="1" min="51" max="51"/>
    <col width="7" customWidth="1" min="52" max="52"/>
    <col width="8" customWidth="1" min="53" max="53"/>
    <col width="7" customWidth="1" min="54" max="54"/>
    <col width="8" customWidth="1" min="55" max="55"/>
    <col width="8" customWidth="1" min="56" max="56"/>
  </cols>
  <sheetData>
    <row r="1" ht="16" customHeight="1">
      <c r="A1" s="2" t="inlineStr">
        <is>
          <t>window_id</t>
        </is>
      </c>
      <c r="B1" s="2" t="inlineStr">
        <is>
          <t>start_time_s</t>
        </is>
      </c>
      <c r="C1" s="2" t="inlineStr">
        <is>
          <t>end_time_s</t>
        </is>
      </c>
      <c r="D1" s="2" t="inlineStr">
        <is>
          <t>window_duration_s</t>
        </is>
      </c>
      <c r="E1" s="3" t="inlineStr">
        <is>
          <t>free_descriptive_causal_output_json</t>
        </is>
      </c>
      <c r="F1" s="3" t="inlineStr">
        <is>
          <t>instantaneous_risk_score_vlm_free</t>
        </is>
      </c>
      <c r="G1" s="3" t="inlineStr">
        <is>
          <t>score_rationale_vlm_free</t>
        </is>
      </c>
      <c r="H1" s="3" t="inlineStr">
        <is>
          <t>dynamic_risk_score_vlm_free</t>
        </is>
      </c>
      <c r="I1" s="3" t="inlineStr">
        <is>
          <t>traffic_light_color_vlm_free</t>
        </is>
      </c>
      <c r="J1" s="4" t="inlineStr">
        <is>
          <t>descriptive_prompt_output_json</t>
        </is>
      </c>
      <c r="K1" s="4" t="inlineStr">
        <is>
          <t>question_set_prompt_output_json</t>
        </is>
      </c>
      <c r="L1" s="4" t="inlineStr">
        <is>
          <t>causal_prompt_output_json</t>
        </is>
      </c>
      <c r="M1" s="4" t="inlineStr">
        <is>
          <t>instantaneous_risk_score_vlm</t>
        </is>
      </c>
      <c r="N1" s="4" t="inlineStr">
        <is>
          <t>score_rationale_vlm</t>
        </is>
      </c>
      <c r="O1" s="4" t="inlineStr">
        <is>
          <t>dynamic_risk_score_vlm</t>
        </is>
      </c>
      <c r="P1" s="4" t="inlineStr">
        <is>
          <t>traffic_light_color_vlm</t>
        </is>
      </c>
      <c r="Q1" s="5" t="inlineStr">
        <is>
          <t>instantaneous_risk_score_ahp</t>
        </is>
      </c>
      <c r="R1" s="5" t="inlineStr">
        <is>
          <t>dynamic_risk_score_ahp</t>
        </is>
      </c>
      <c r="S1" s="5" t="inlineStr">
        <is>
          <t>traffic_light_color_ahp</t>
        </is>
      </c>
      <c r="T1" s="6" t="inlineStr">
        <is>
          <t>cue_confidence</t>
        </is>
      </c>
      <c r="U1" s="6" t="inlineStr">
        <is>
          <t>diagnostic_notes</t>
        </is>
      </c>
      <c r="V1" s="6" t="inlineStr">
        <is>
          <t>S1_raw</t>
        </is>
      </c>
      <c r="W1" s="6" t="inlineStr">
        <is>
          <t>S1_transformed</t>
        </is>
      </c>
      <c r="X1" s="6" t="inlineStr">
        <is>
          <t>S1_weight</t>
        </is>
      </c>
      <c r="Y1" s="6" t="inlineStr">
        <is>
          <t>S1_contribution</t>
        </is>
      </c>
      <c r="Z1" s="6" t="inlineStr">
        <is>
          <t>S1_contribution_pct</t>
        </is>
      </c>
      <c r="AA1" s="6" t="inlineStr">
        <is>
          <t>S2_raw</t>
        </is>
      </c>
      <c r="AB1" s="6" t="inlineStr">
        <is>
          <t>S2_transformed</t>
        </is>
      </c>
      <c r="AC1" s="6" t="inlineStr">
        <is>
          <t>S2_weight</t>
        </is>
      </c>
      <c r="AD1" s="6" t="inlineStr">
        <is>
          <t>S2_contribution</t>
        </is>
      </c>
      <c r="AE1" s="6" t="inlineStr">
        <is>
          <t>S2_contribution_pct</t>
        </is>
      </c>
      <c r="AF1" s="6" t="inlineStr">
        <is>
          <t>S3_raw</t>
        </is>
      </c>
      <c r="AG1" s="6" t="inlineStr">
        <is>
          <t>S3_transformed</t>
        </is>
      </c>
      <c r="AH1" s="6" t="inlineStr">
        <is>
          <t>S3_weight</t>
        </is>
      </c>
      <c r="AI1" s="6" t="inlineStr">
        <is>
          <t>S3_contribution</t>
        </is>
      </c>
      <c r="AJ1" s="6" t="inlineStr">
        <is>
          <t>S3_contribution_pct</t>
        </is>
      </c>
      <c r="AK1" s="6" t="inlineStr">
        <is>
          <t>S4_raw</t>
        </is>
      </c>
      <c r="AL1" s="6" t="inlineStr">
        <is>
          <t>S4_transformed</t>
        </is>
      </c>
      <c r="AM1" s="6" t="inlineStr">
        <is>
          <t>S4_weight</t>
        </is>
      </c>
      <c r="AN1" s="6" t="inlineStr">
        <is>
          <t>S4_contribution</t>
        </is>
      </c>
      <c r="AO1" s="6" t="inlineStr">
        <is>
          <t>S4_contribution_pct</t>
        </is>
      </c>
      <c r="AP1" s="6" t="inlineStr">
        <is>
          <t>S5_raw</t>
        </is>
      </c>
      <c r="AQ1" s="6" t="inlineStr">
        <is>
          <t>S5_transformed</t>
        </is>
      </c>
      <c r="AR1" s="6" t="inlineStr">
        <is>
          <t>S5_weight</t>
        </is>
      </c>
      <c r="AS1" s="6" t="inlineStr">
        <is>
          <t>S5_contribution</t>
        </is>
      </c>
      <c r="AT1" s="6" t="inlineStr">
        <is>
          <t>S5_contribution_pct</t>
        </is>
      </c>
      <c r="AU1" s="6" t="inlineStr">
        <is>
          <t>S6_raw</t>
        </is>
      </c>
      <c r="AV1" s="6" t="inlineStr">
        <is>
          <t>S6_transformed</t>
        </is>
      </c>
      <c r="AW1" s="6" t="inlineStr">
        <is>
          <t>S6_weight</t>
        </is>
      </c>
      <c r="AX1" s="6" t="inlineStr">
        <is>
          <t>S6_contribution</t>
        </is>
      </c>
      <c r="AY1" s="6" t="inlineStr">
        <is>
          <t>S6_contribution_pct</t>
        </is>
      </c>
      <c r="AZ1" s="6" t="inlineStr">
        <is>
          <t>S7_raw</t>
        </is>
      </c>
      <c r="BA1" s="6" t="inlineStr">
        <is>
          <t>S7_transformed</t>
        </is>
      </c>
      <c r="BB1" s="6" t="inlineStr">
        <is>
          <t>S7_weight</t>
        </is>
      </c>
      <c r="BC1" s="6" t="inlineStr">
        <is>
          <t>S7_contribution</t>
        </is>
      </c>
      <c r="BD1" s="6" t="inlineStr">
        <is>
          <t>S7_contribution_pct</t>
        </is>
      </c>
    </row>
    <row r="2" ht="34" customHeight="1">
      <c r="A2" s="7" t="n">
        <v>0</v>
      </c>
      <c r="B2" s="7" t="n">
        <v>0</v>
      </c>
      <c r="C2" s="7" t="n">
        <v>4</v>
      </c>
      <c r="D2" s="7" t="n">
        <v>4</v>
      </c>
      <c r="E2" s="7" t="inlineStr">
        <is>
          <t>{"descrizione_generale": "Interno di un reparto industriale per la lavorazione dei metalli, caratterizzato dalla presenza di macchinari pesanti e postazioni di lavoro.", "contesto_industriale": "Officina di stampaggio lamiere o carpenteria metallica con presse verticali e aree di stoccaggio temporaneo.", "persone_presenti": [{"ruolo": "Operatore", "posizione": "Seduto sul lato destro della scena, di fronte a una pressa industriale", "azione": "Monitoraggio o conduzione del macchinario"}], "macchinari_e_oggetti": {"macchinari": ["Presse meccaniche verticali di grandi dimensioni", "Scaffalature industriali"], "oggetti": ["Contenitori metallici per pezzi", "Carrello di servizio rosso", "Pallet in legno e lamiere", "Barriere di protezione gialle"]}, "condizioni_ambientali": {"illuminazione": "Luce artificiale uniforme tipica da capannone", "pulizia_aree": "Pavimentazione sgombra nella zona centrale di transito, presenza di strisce gialle di delimitazione parzialmente usurate"}, "limiti_visibilita": "La distanza della telecamera e l'altezza dell'inquadratura limitano la visibilità dei dettagli del viso dell'operatore e dei comandi specifici della macchina.", "analisi_sicurezza": {"dpi_rilevati": "Abbigliamento da lavoro scuro. L'uso di DPI specifici come scarpe antinfortunistiche, guanti o tappi antirumore non è verificabile con certezza a causa della distanza.", "ragionamento_causale_e_rischi": "L'operatore lavora in prossimità di una pressa attiva. Un potenziale rischio è legato all'ergonomia della seduta e al rischio di schiacciamento degli arti superiori se i sistemi di sicurezza della pressa non fossero perfettamente efficienti.", "fattori_contribuenti": "Presenza di materiali e carrelli vicino alle postazioni che potrebbero limitare lo spazio di manovra in caso di emergenza."}}</t>
        </is>
      </c>
      <c r="F2" s="7" t="n">
        <v>35</v>
      </c>
      <c r="G2" s="7" t="inlineStr">
        <is>
          <t>Il punteggio di 35 riflette un rischio moderato e intrinseco legato alla presenza di presse verticali attive. Non si rilevano pericoli imminenti o violazioni evidenti, e sono presenti barriere di protezione. Tuttavia, la distanza impedisce la verifica dell'uso di DPI specifici (guanti, scarpe antinfortunistiche) e si segnalano potenziali criticità ergonomiche e ingombri localizzati (carrelli/materiali) vicino alla postazione di lavoro.</t>
        </is>
      </c>
      <c r="H2" s="7" t="n">
        <v>35</v>
      </c>
      <c r="I2" s="8" t="inlineStr">
        <is>
          <t>giallo</t>
        </is>
      </c>
      <c r="J2" s="7" t="inlineStr">
        <is>
          <t>{"scene_state": "Officina industriale con macchinari per la lavorazione dei metalli.", "environmental_conditions": ["Illuminazione interna", "Luce solare sul pavimento a sinistra", "Linee di sicurezza gialle sul pavimento"], "people": [{"descrizione": "Un operatore seduto di spalle su uno sgabello", "azione": "Lavora o monitora una pressa industriale sul lato destro"}], "objects": ["Contenitori metallici", "Scatole su pallet", "Carrello rosso", "Pezzi metallici"], "machines": ["Grandi presse industriali per stampaggio"], "observable_actions": ["L'operatore rimane seduto davanti alla macchina per tutta la durata della clip"], "visible_ppe": ["Abbigliamento da lavoro scuro, DPI specifici non distinguibili per la distanza"], "notes_visibility_limitations": "Inquadratura dall'alto e distanza elevata che limitano la visibilità dei dettagli dei DPI."}</t>
        </is>
      </c>
      <c r="K2" s="7" t="inlineStr">
        <is>
          <t>{"unsafe_behaviors": ["Postura seduta su sgabello in prossimità immediata di una pressa industriale in funzione, che potrebbe limitare la reattività in caso di emergenza"], "vulnerable_elements": ["Operatore posizionato vicino alla pressa industriale"],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0.7, "diagnostic_notes": "L'operatore lavora molto vicino a una pressa industriale per stampaggio. A causa della distanza e dell'inquadratura dall'alto, non è possibile verificare la presenza di barriere di sicurezza fisiche o fotoelettriche attive (S6). La postura seduta su uno sgabello vicino a macchinari pesanti rappresenta un potenziale fattore di rischio ergonomico o di ridotta reattività (S3). Non si rilevano mezzi in movimento o movimentazione manuale di carichi durante la finestra temporale analizzata."}</t>
        </is>
      </c>
      <c r="L2" s="7" t="inlineStr">
        <is>
          <t>{"causal_chain_plausible": true, "causal_chain_text": "L'operatore lavora seduto su uno sgabello a ridosso di una pressa in funzione. Questa postura riduce la prontezza di riflessi e la mobilità rapida. In caso di anomalia della macchina o movimento imprevisto, l'operatore potrebbe non essere in grado di allontanarsi tempestivamente, subendo lesioni.", "near_miss_or_incident_scenario": "Contatto accidentale o schiacciamento degli arti superiori con gli organi in movimento della pressa a causa della ridotta distanza e della limitata reattività motoria dovuta alla posizione seduta.", "contributing_factors": ["Posizione seduta su sgabello che riduce la mobilità e la reattività dell'operatore", "Estrema prossimità alla zona di operazione della pressa industriale", "Mancanza di barriere di protezione visibili o verificabili tra l'operatore e gli organi in movimento"]}</t>
        </is>
      </c>
      <c r="M2" s="7" t="n">
        <v>40</v>
      </c>
      <c r="N2" s="7" t="inlineStr">
        <is>
          <t>Il punteggio riflette un rischio moderato dovuto alla postura seduta dell'operatore in estrema prossimità della pressa in funzione, che ne limita la reattività e la mobilità in caso di emergenza. Inoltre, la distanza dell'inquadratura non consente di verificare la presenza di barriere fisiche o fotoelettriche attive a protezione dagli organi in movimento.</t>
        </is>
      </c>
      <c r="O2" s="7" t="n">
        <v>40</v>
      </c>
      <c r="P2" s="8" t="inlineStr">
        <is>
          <t>giallo</t>
        </is>
      </c>
      <c r="Q2" s="7" t="n">
        <v>35.26</v>
      </c>
      <c r="R2" s="7" t="n">
        <v>35.26</v>
      </c>
      <c r="S2" s="8" t="inlineStr">
        <is>
          <t>giallo</t>
        </is>
      </c>
      <c r="T2" s="7" t="n">
        <v>0.7</v>
      </c>
      <c r="U2" s="7" t="inlineStr">
        <is>
          <t>L'operatore lavora molto vicino a una pressa industriale per stampaggio. A causa della distanza e dell'inquadratura dall'alto, non è possibile verificare la presenza di barriere di sicurezza fisiche o fotoelettriche attive (S6). La postura seduta su uno sgabello vicino a macchinari pesanti rappresenta un potenziale fattore di rischio ergonomico o di ridotta reattività (S3). Non si rilevano mezzi in movimento o movimentazione manuale di carichi durante la finestra temporale analizzata.</t>
        </is>
      </c>
      <c r="V2" s="7" t="n">
        <v>0</v>
      </c>
      <c r="W2" s="7" t="n">
        <v>0</v>
      </c>
      <c r="X2" s="7" t="n">
        <v>0.1109</v>
      </c>
      <c r="Y2" s="7" t="n">
        <v>0</v>
      </c>
      <c r="Z2" s="7" t="n">
        <v>0</v>
      </c>
      <c r="AA2" s="7" t="n">
        <v>0.25</v>
      </c>
      <c r="AB2" s="7" t="n">
        <v>0.5553</v>
      </c>
      <c r="AC2" s="7" t="n">
        <v>0.037</v>
      </c>
      <c r="AD2" s="7" t="n">
        <v>2.0546</v>
      </c>
      <c r="AE2" s="7" t="n">
        <v>5.83</v>
      </c>
      <c r="AF2" s="7" t="n">
        <v>0.25</v>
      </c>
      <c r="AG2" s="7" t="n">
        <v>0.2689</v>
      </c>
      <c r="AH2" s="7" t="n">
        <v>0.0549</v>
      </c>
      <c r="AI2" s="7" t="n">
        <v>1.4763</v>
      </c>
      <c r="AJ2" s="7" t="n">
        <v>4.19</v>
      </c>
      <c r="AK2" s="7" t="n">
        <v>0</v>
      </c>
      <c r="AL2" s="7" t="n">
        <v>0.008200000000000001</v>
      </c>
      <c r="AM2" s="7" t="n">
        <v>0.1538</v>
      </c>
      <c r="AN2" s="7" t="n">
        <v>0.1261</v>
      </c>
      <c r="AO2" s="7" t="n">
        <v>0.36</v>
      </c>
      <c r="AP2" s="7" t="n">
        <v>0</v>
      </c>
      <c r="AQ2" s="7" t="n">
        <v>0</v>
      </c>
      <c r="AR2" s="7" t="n">
        <v>0.2228</v>
      </c>
      <c r="AS2" s="7" t="n">
        <v>0</v>
      </c>
      <c r="AT2" s="7" t="n">
        <v>0</v>
      </c>
      <c r="AU2" s="7" t="n">
        <v>0.5</v>
      </c>
      <c r="AV2" s="7" t="n">
        <v>0.9167999999999999</v>
      </c>
      <c r="AW2" s="7" t="n">
        <v>0.3447</v>
      </c>
      <c r="AX2" s="7" t="n">
        <v>31.6021</v>
      </c>
      <c r="AY2" s="7" t="n">
        <v>89.63</v>
      </c>
      <c r="AZ2" s="7" t="n">
        <v>0</v>
      </c>
      <c r="BA2" s="7" t="n">
        <v>0</v>
      </c>
      <c r="BB2" s="7" t="n">
        <v>0.0759</v>
      </c>
      <c r="BC2" s="7" t="n">
        <v>0</v>
      </c>
      <c r="BD2" s="7" t="n">
        <v>0</v>
      </c>
    </row>
    <row r="3" ht="34" customHeight="1">
      <c r="A3" s="7" t="n">
        <v>1</v>
      </c>
      <c r="B3" s="7" t="n">
        <v>2</v>
      </c>
      <c r="C3" s="7" t="n">
        <v>6</v>
      </c>
      <c r="D3" s="7" t="n">
        <v>4</v>
      </c>
      <c r="E3" s="7" t="inlineStr">
        <is>
          <t>{"descrizione_generale": "La scena mostra l'interno di un'officina metalmeccanica o reparto stampaggio industriale con diverse presse di grandi dimensioni e attrezzature di produzione.", "contesto_industriale": "Reparto produttivo con macchinari pesanti per la lavorazione della lamiera, disposti lungo i lati di un'ampia area di transito delimitata da linee gialle di sicurezza sul pavimento.", "persone_presenti": [{"ruolo": "Operatore", "posizione": "Seduto davanti alla pressa sul lato destro dell'inquadratura", "attivita": "Monitoraggio o controllo del macchinario"}], "macchinari_e_oggetti": ["Presse industriali verticali (colori giallo, blu, bianco)", "Carrello rosso mobile", "Contenitori metallici e bancali", "Rulli trasportatori in primo piano a sinistra"], "condizioni_ambientali": {"illuminazione": "Naturale/artificiale mista, con riflessi di luce solare sul pavimento a sinistra", "stato_pavimentazione": "Pavimento industriale in cemento, apparentemente asciutto, con segnaletica orizzontale gialla parzialmente visibile"}, "limitazioni_visive": "La distanza della telecamera non permette di verificare con precisione l'uso di DPI specifici (es. tappi per le orecchie, occhiali di protezione) o i dettagli delle mani dell'operatore.", "analisi_sicurezza": {"dinamiche_correnti": "L'operatore è in posizione seduta e stabile. Non si osservano movimenti bruschi o situazioni di pericolo immediato.", "rischi_potenziali": ["Rischio ergonomico legato alla postura seduta prolungata durante l'uso del macchinario", "Rischio di schiacciamento o cesoiamento intrinseco all'uso di presse verticali in caso di bypass dei sistemi di sicurezza (non evidenziato ma strutturale)", "Inciampo dovuto alla presenza di piccoli oggetti o carrelli nelle aree di passaggio"], "dpi_rilevabili": "Non chiaramente identificabili a causa della distanza e della risoluzione dell'immagine."}}</t>
        </is>
      </c>
      <c r="F3" s="7" t="n">
        <v>20</v>
      </c>
      <c r="G3" s="7" t="inlineStr">
        <is>
          <t>Il punteggio di 20 indica una situazione di normale operatività con rischi minimi immediati. L'operatore è in posizione stabile e non si osservano comportamenti non sicuri. Il rischio è limitato a fattori intrinseci dell'ambiente industriale (presse, ergonomia, possibili inciampi) e alla mancata verifica visiva dei DPI dovuta alla distanza.</t>
        </is>
      </c>
      <c r="H3" s="7" t="n">
        <v>26</v>
      </c>
      <c r="I3" s="8" t="inlineStr">
        <is>
          <t>giallo</t>
        </is>
      </c>
      <c r="J3" s="7" t="inlineStr">
        <is>
          <t>{"scene_state": "Interno di un'officina meccanica industriale con presse e attrezzature.", "environmental_conditions": ["Illuminazione interna artificiale", "Fascio di luce naturale sul pavimento a sinistra", "Pavimento industriale grigio con strisce di sicurezza gialle"], "people": ["Un operatore seduto di spalle su una sedia davanti a un macchinario"], "objects": ["Pallet con scatole", "Carrello rosso", "Contenitori metallici", "Componenti metallici lavorati"], "machines": ["Presse industriali di grandi dimensioni", "Rulliera metallica in primo piano"], "observable_actions": ["L'operatore rimane seduto davanti alla pressa, apparentemente impegnato in attività di controllo o assemblaggio"], "visible_ppe": ["Abbigliamento da lavoro standard (dettagli non distinguibili)"], "notes_visibility_limitations": "La distanza della telecamera e l'angolazione posteriore rispetto all'operatore impediscono l'identificazione precisa dei DPI."}</t>
        </is>
      </c>
      <c r="K3" s="7" t="inlineStr">
        <is>
          <t>{"unsafe_behaviors": ["Operatore posizionato di spalle rispetto alla zona di transito dell'officina, con potenziale riduzione della consapevolezza situazionale"], "vulnerable_elements": ["Operatore seduto davanti alla pressa industriale"], "risk_cues": {"S1_people_vehicle_interference": 0.0, "S2_visibility_attention_reduction": 0.5, "S3_non_compliant_behavior": 0.25, "S4_vehicle_infrastructure_interference": 0.0, "S5_storage_structural_instability": 0.25, "S6_access_to_moving_mechanical_parts": 0.5, "S7_manual_handling_heavy_unstable_loads": 0.0}, "cue_confidence": 0.7, "diagnostic_notes": "L'operatore lavora di spalle rispetto al resto dell'officina, limitando il proprio campo visivo posteriore (S2). La prossimità alla pressa industriale suggerisce un potenziale rischio di contatto con organi in movimento (S6), ma l'inquadratura posteriore e la distanza impediscono di verificare la presenza di barriere di sicurezza o l'uso corretto dei DPI."}</t>
        </is>
      </c>
      <c r="L3" s="7" t="inlineStr">
        <is>
          <t>{"causal_chain_plausible": true, "causal_chain_text": "L'operatore lavora di spalle rispetto alla zona di transito dell'officina e in prossimità di una pressa industriale. La ridotta consapevolezza situazionale posteriore, combinata con la vicinanza a organi meccanici in movimento, può impedire di percepire tempestivamente pericoli derivanti da mezzi in transito o anomalie della macchina stessa, portando a un impatto o a un contatto accidentale.", "near_miss_or_incident_scenario": "Un carrello o un mezzo di movimentazione transita nella zona alle spalle dell'operatore; quest'ultimo, non avvedendosi del mezzo a causa della posizione e del rumore ambientale, effettua un movimento improvviso all'indietro venendo urtato.", "contributing_factors": ["Posizionamento dell'operatore di spalle rispetto alla zona di transito", "Ridotta consapevolezza situazionale e limitazione del campo visivo posteriore", "Prossimità immediata a una pressa industriale potenzialmente attiva", "Impossibilità di verificare l'adozione di barriere di sicurezza o DPI adeguati dall'inquadratura"]}</t>
        </is>
      </c>
      <c r="M3" s="7" t="n">
        <v>40</v>
      </c>
      <c r="N3" s="7" t="inlineStr">
        <is>
          <t>Il punteggio riflette un rischio moderato dovuto alla ridotta consapevolezza situazionale dell'operatore, che lavora di spalle rispetto alla zona di transito e vicino a una pressa. Pur in assenza di minacce immediate, tale configurazione aumenta la vulnerabilità a urti con mezzi o contatti accidentali con la macchina.</t>
        </is>
      </c>
      <c r="O3" s="7" t="n">
        <v>40</v>
      </c>
      <c r="P3" s="8" t="inlineStr">
        <is>
          <t>giallo</t>
        </is>
      </c>
      <c r="Q3" s="7" t="n">
        <v>37.03</v>
      </c>
      <c r="R3" s="7" t="n">
        <v>36.76</v>
      </c>
      <c r="S3" s="8" t="inlineStr">
        <is>
          <t>giallo</t>
        </is>
      </c>
      <c r="T3" s="7" t="n">
        <v>0.7</v>
      </c>
      <c r="U3" s="7" t="inlineStr">
        <is>
          <t>L'operatore lavora di spalle rispetto al resto dell'officina, limitando il proprio campo visivo posteriore (S2). La prossimità alla pressa industriale suggerisce un potenziale rischio di contatto con organi in movimento (S6), ma l'inquadratura posteriore e la distanza impediscono di verificare la presenza di barriere di sicurezza o l'uso corretto dei DPI.</t>
        </is>
      </c>
      <c r="V3" s="7" t="n">
        <v>0</v>
      </c>
      <c r="W3" s="7" t="n">
        <v>0</v>
      </c>
      <c r="X3" s="7" t="n">
        <v>0.1109</v>
      </c>
      <c r="Y3" s="7" t="n">
        <v>0</v>
      </c>
      <c r="Z3" s="7" t="n">
        <v>0</v>
      </c>
      <c r="AA3" s="7" t="n">
        <v>0.5</v>
      </c>
      <c r="AB3" s="7" t="n">
        <v>0.8176</v>
      </c>
      <c r="AC3" s="7" t="n">
        <v>0.037</v>
      </c>
      <c r="AD3" s="7" t="n">
        <v>3.0251</v>
      </c>
      <c r="AE3" s="7" t="n">
        <v>8.17</v>
      </c>
      <c r="AF3" s="7" t="n">
        <v>0.25</v>
      </c>
      <c r="AG3" s="7" t="n">
        <v>0.2689</v>
      </c>
      <c r="AH3" s="7" t="n">
        <v>0.0549</v>
      </c>
      <c r="AI3" s="7" t="n">
        <v>1.4763</v>
      </c>
      <c r="AJ3" s="7" t="n">
        <v>3.99</v>
      </c>
      <c r="AK3" s="7" t="n">
        <v>0</v>
      </c>
      <c r="AL3" s="7" t="n">
        <v>0.008200000000000001</v>
      </c>
      <c r="AM3" s="7" t="n">
        <v>0.1538</v>
      </c>
      <c r="AN3" s="7" t="n">
        <v>0.1261</v>
      </c>
      <c r="AO3" s="7" t="n">
        <v>0.34</v>
      </c>
      <c r="AP3" s="7" t="n">
        <v>0.25</v>
      </c>
      <c r="AQ3" s="7" t="n">
        <v>0.0359</v>
      </c>
      <c r="AR3" s="7" t="n">
        <v>0.2228</v>
      </c>
      <c r="AS3" s="7" t="n">
        <v>0.7999000000000001</v>
      </c>
      <c r="AT3" s="7" t="n">
        <v>2.16</v>
      </c>
      <c r="AU3" s="7" t="n">
        <v>0.5</v>
      </c>
      <c r="AV3" s="7" t="n">
        <v>0.9167999999999999</v>
      </c>
      <c r="AW3" s="7" t="n">
        <v>0.3447</v>
      </c>
      <c r="AX3" s="7" t="n">
        <v>31.6021</v>
      </c>
      <c r="AY3" s="7" t="n">
        <v>85.34</v>
      </c>
      <c r="AZ3" s="7" t="n">
        <v>0</v>
      </c>
      <c r="BA3" s="7" t="n">
        <v>0</v>
      </c>
      <c r="BB3" s="7" t="n">
        <v>0.0759</v>
      </c>
      <c r="BC3" s="7" t="n">
        <v>0</v>
      </c>
      <c r="BD3" s="7" t="n">
        <v>0</v>
      </c>
    </row>
    <row r="4" ht="34" customHeight="1">
      <c r="A4" s="7" t="n">
        <v>2</v>
      </c>
      <c r="B4" s="7" t="n">
        <v>4</v>
      </c>
      <c r="C4" s="7" t="n">
        <v>8</v>
      </c>
      <c r="D4" s="7" t="n">
        <v>4</v>
      </c>
      <c r="E4" s="7" t="inlineStr">
        <is>
          <t>{"analisi_temporale": {"inizio_s": 4.0, "fine_s": 8.0, "durata_s": 4.0}, "descrizione_scena": {"contesto": "Officina metalmeccanica con presse industriali e area di stoccaggio.", "elementi_visivi": "Macchinari pesanti per stampaggio, carrello elevatore sullo sfondo a sinistra, postazione di lavoro a destra con operatore seduto.", "condizioni_ambientali": "Illuminazione interna sufficiente, segnaletica orizzontale gialla visibile sul pavimento."}, "soggetti_e_attivita": {"personale": [{"ruolo": "Operatore pressa", "posizione": "Destra, seduto alla postazione", "attivita": "Monitoraggio o lavorazione presso la pressa", "dpi": "Presenza di DPI non chiaramente verificabile a causa della distanza e della risoluzione."}], "macchinari_in_movimento": {"tipo": "Carrello elevatore", "posizione": "Sfondo a sinistra", "attivita": "Transito lento nell'area di stoccaggio"}}, "analisi_sicurezza": {"fattori_contribuenti": "Coesistenza di mezzi di movimentazione e aree di lavoro nello stesso capannone.", "rischi_potenziali": "Rischio di investimento se il muletto devia dalle corsie; rischio di schiacciamento per l'operatore vicino alla pressa.", "misure_osservate": "Linee di demarcazione gialle a terra per definire le aree di transito."}}</t>
        </is>
      </c>
      <c r="F4" s="7" t="n">
        <v>25</v>
      </c>
      <c r="G4" s="7" t="inlineStr">
        <is>
          <t>Il punteggio di 25 indica un livello di rischio basso ma non nullo. Sebbene vi sia la compresenza di un carrello elevatore in movimento e di un operatore nello stesso capannone, il mezzo transita a bassa velocità in un'area separata (sfondo) e sono presenti linee gialle di demarcazione a terra per mitigare il rischio di interferenza. La parziale visibilità dei DPI dell'operatore impone comunque una soglia minima di attenzione.</t>
        </is>
      </c>
      <c r="H4" s="7" t="n">
        <v>26.65</v>
      </c>
      <c r="I4" s="8" t="inlineStr">
        <is>
          <t>giallo</t>
        </is>
      </c>
      <c r="J4" s="7" t="inlineStr">
        <is>
          <t>{"scene_state": "Stabilimento industriale con macchinari pesanti, aree di stoccaggio e postazioni di lavoro.", "environmental_conditions": ["Illuminazione interna artificiale", "Riflessi di luce sul pavimento in cemento", "Linee di sicurezza gialle sul pavimento"], "people": ["Un operatore seduto davanti a una postazione di lavoro sulla destra"], "objects": ["Scatole di cartone su pallet", "Carrelli metallici", "Contenitori per materiali", "Scaffalature di stoccaggio"], "machines": ["Presse industriali di grandi dimensioni", "Un carrello elevatore visibile sullo sfondo a sinistra"], "observable_actions": ["Il carrello elevatore sullo sfondo a sinistra esegue una manovra", "L'operatore sulla destra rimane seduto alla sua postazione"], "visible_ppe": ["Non chiaramente identificabili a causa della distanza"], "notes_visibility_limitations": "La visuale dall'alto e la distanza riducono la nitidezza dei dettagli sullo sfondo e dei DPI dell'operatore."}</t>
        </is>
      </c>
      <c r="K4" s="7" t="inlineStr">
        <is>
          <t>{"unsafe_behaviors": [], "vulnerable_elements": ["Operatore seduto alla postazione di lavoro sulla destra"], "risk_cues": {"S1_people_vehicle_interference": 0.25, "S2_visibility_attention_reduction": 0.25, "S3_non_compliant_behavior": 0.0, "S4_vehicle_infrastructure_interference": 0.25, "S5_storage_structural_instability": 0.0, "S6_access_to_moving_mechanical_parts": 0.0, "S7_manual_handling_heavy_unstable_loads": 0.0}, "cue_confidence": 0.75, "diagnostic_notes": "La scena mostra un carrello elevatore in manovra sullo sfondo e un operatore seduto a destra. Non si evidenziano interferenze dirette o comportamenti non conformi. La distanza e l'inquadratura dall'alto limitano la verifica dei DPI dell'operatore e dei dettagli sullo sfondo."}</t>
        </is>
      </c>
      <c r="L4" s="7" t="inlineStr">
        <is>
          <t>{"causal_chain_plausible": false, "causal_chain_text": "Non si evidenzia una catena causale plausibile a causa della separazione spaziale tra il carrello elevatore sullo sfondo e l'operatore statico sulla destra.", "near_miss_or_incident_scenario": "Nessun evento avverso prevedibile data la distanza tra i soggetti e l'assenza di comportamenti non conformi.", "contributing_factors": ["Compresenza di mezzi di movimentazione e personale nello stesso capannone", "Visibilità limitata dei DPI dell'operatore dovuta alla distanza dell'inquadratura"]}</t>
        </is>
      </c>
      <c r="M4" s="7" t="n">
        <v>15</v>
      </c>
      <c r="N4" s="7" t="inlineStr">
        <is>
          <t>Il rischio è basso poiché il carrello elevatore opera sullo sfondo a debita distanza dall'operatore statico, senza interferenze dirette o comportamenti non conformi. La compresenza di mezzi e pedoni nello stesso ambiente richiede comunque una costante vigilanza generale.</t>
        </is>
      </c>
      <c r="O4" s="7" t="n">
        <v>25</v>
      </c>
      <c r="P4" s="8" t="inlineStr">
        <is>
          <t>giallo</t>
        </is>
      </c>
      <c r="Q4" s="7" t="n">
        <v>8.09</v>
      </c>
      <c r="R4" s="7" t="n">
        <v>19.56</v>
      </c>
      <c r="S4" s="9" t="inlineStr">
        <is>
          <t>verde</t>
        </is>
      </c>
      <c r="T4" s="7" t="n">
        <v>0.75</v>
      </c>
      <c r="U4" s="7" t="inlineStr">
        <is>
          <t>La scena mostra un carrello elevatore in manovra sullo sfondo e un operatore seduto a destra. Non si evidenziano interferenze dirette o comportamenti non conformi. La distanza e l'inquadratura dall'alto limitano la verifica dei DPI dell'operatore e dei dettagli sullo sfondo.</t>
        </is>
      </c>
      <c r="V4" s="7" t="n">
        <v>0.25</v>
      </c>
      <c r="W4" s="7" t="n">
        <v>0.25</v>
      </c>
      <c r="X4" s="7" t="n">
        <v>0.1109</v>
      </c>
      <c r="Y4" s="7" t="n">
        <v>2.7725</v>
      </c>
      <c r="Z4" s="7" t="n">
        <v>34.27</v>
      </c>
      <c r="AA4" s="7" t="n">
        <v>0.25</v>
      </c>
      <c r="AB4" s="7" t="n">
        <v>0.5553</v>
      </c>
      <c r="AC4" s="7" t="n">
        <v>0.037</v>
      </c>
      <c r="AD4" s="7" t="n">
        <v>2.0546</v>
      </c>
      <c r="AE4" s="7" t="n">
        <v>25.4</v>
      </c>
      <c r="AF4" s="7" t="n">
        <v>0</v>
      </c>
      <c r="AG4" s="7" t="n">
        <v>0.0293</v>
      </c>
      <c r="AH4" s="7" t="n">
        <v>0.0549</v>
      </c>
      <c r="AI4" s="7" t="n">
        <v>0.1609</v>
      </c>
      <c r="AJ4" s="7" t="n">
        <v>1.99</v>
      </c>
      <c r="AK4" s="7" t="n">
        <v>0.25</v>
      </c>
      <c r="AL4" s="7" t="n">
        <v>0.1419</v>
      </c>
      <c r="AM4" s="7" t="n">
        <v>0.1538</v>
      </c>
      <c r="AN4" s="7" t="n">
        <v>2.1824</v>
      </c>
      <c r="AO4" s="7" t="n">
        <v>26.98</v>
      </c>
      <c r="AP4" s="7" t="n">
        <v>0</v>
      </c>
      <c r="AQ4" s="7" t="n">
        <v>0</v>
      </c>
      <c r="AR4" s="7" t="n">
        <v>0.2228</v>
      </c>
      <c r="AS4" s="7" t="n">
        <v>0</v>
      </c>
      <c r="AT4" s="7" t="n">
        <v>0</v>
      </c>
      <c r="AU4" s="7" t="n">
        <v>0</v>
      </c>
      <c r="AV4" s="7" t="n">
        <v>0.0266</v>
      </c>
      <c r="AW4" s="7" t="n">
        <v>0.3447</v>
      </c>
      <c r="AX4" s="7" t="n">
        <v>0.9169</v>
      </c>
      <c r="AY4" s="7" t="n">
        <v>11.33</v>
      </c>
      <c r="AZ4" s="7" t="n">
        <v>0</v>
      </c>
      <c r="BA4" s="7" t="n">
        <v>0</v>
      </c>
      <c r="BB4" s="7" t="n">
        <v>0.0759</v>
      </c>
      <c r="BC4" s="7" t="n">
        <v>0</v>
      </c>
      <c r="BD4" s="7" t="n">
        <v>0</v>
      </c>
    </row>
    <row r="5" ht="34" customHeight="1">
      <c r="A5" s="7" t="n">
        <v>3</v>
      </c>
      <c r="B5" s="7" t="n">
        <v>6</v>
      </c>
      <c r="C5" s="7" t="n">
        <v>10</v>
      </c>
      <c r="D5" s="7" t="n">
        <v>4</v>
      </c>
      <c r="E5" s="7" t="inlineStr">
        <is>
          <t>{"descrizione_scena": {"contesto": "Officina metalmeccanica con presse industriali e area di transito.", "condizioni_ambientali": "Illuminazione artificiale interna, pavimentazione in cemento con segnaletica gialla."}, "elementi_rilevati": {"persone": [{"ruolo": "Operatore seduto", "posizione": "Destra, vicino alla pressa blu/gialla", "dpi": "Non chiaramente distinguibili a causa della distanza"}, {"ruolo": "Operatore muletto", "posizione": "Sfondo a sinistra, all'interno della cabina"}], "macchinari": ["Presse verticali industriali (gialle e blu)", "Carrello elevatore (muletto) in movimento sullo sfondo"], "oggetti": ["Contenitori metallici", "Carrello rosso", "Pallet e scatole di cartone a sinistra"]}, "analisi_dinamica": {"azioni": "Il muletto esegue manovre di retromarcia sullo sfondo. L'operatore a destra è statico alla sua postazione.", "limiti_visibilita": "La distanza e l'angolazione della telecamera limitano la visibilità dei dettagli sui DPI e sui comandi dei macchinari."}, "valutazione_rischi": {"ragionamento_causale": "La compresenza di mezzi in movimento (muletto) e aree di stoccaggio richiede costante attenzione alle traiettorie.", "sviluppi_rischiosi": "Possibile interferenza tra il muletto in manovra e pedoni non visibili o carichi instabili nelle vicinanze.", "fattori_contribuenti": "Spazi di manovra ristretti sullo sfondo dovuti alla presenza di materiali stoccati."}}</t>
        </is>
      </c>
      <c r="F5" s="7" t="n">
        <v>40</v>
      </c>
      <c r="G5" s="7" t="inlineStr">
        <is>
          <t>Il punteggio riflette un rischio moderato dovuto alla presenza di un carrello elevatore in movimento (retromarcia) in un'area di transito con spazi di manovra potenzialmente ristretti e presenza di materiali stoccati. Sebbene non vi siano pericoli immediati o collisioni imminenti, la compresenza di macchinari in movimento e operatori richiede elevata vigilanza, specialmente a causa della visibilità limitata sui DPI e delle possibili interferenze con pedoni o carichi.</t>
        </is>
      </c>
      <c r="H5" s="7" t="n">
        <v>38.41</v>
      </c>
      <c r="I5" s="8" t="inlineStr">
        <is>
          <t>giallo</t>
        </is>
      </c>
      <c r="J5" s="7" t="inlineStr">
        <is>
          <t>{"scene_state": "Officina industriale attiva con macchinari pesanti, un carrello elevatore in movimento sullo sfondo e un operatore a una postazione.", "environmental_conditions": ["Illuminazione artificiale interna", "Pavimentazione industriale con linee di demarcazione gialle"], "people": ["Un operatore seduto davanti alla pressa sulla destra", "Un operatore a bordo del carrello elevatore sullo sfondo a sinistra"], "objects": ["Scatole di cartone su pallet", "Contenitori metallici e cassonetti rossi", "Carrello mobile rosso", "Lamiere e componenti metallici"], "machines": ["Presse industriali verticali (gialle e blu)", "Carrello elevatore (muletto)"], "observable_actions": ["Il carrello elevatore esegue manovre sullo sfondo a sinistra", "L'operatore sulla destra lavora seduto alla propria postazione"], "visible_ppe": ["Abbigliamento da lavoro (altri DPI non chiaramente distinguibili a causa della distanza)"], "notes_visibility_limitations": "La distanza della telecamera e l'inquadratura dall'alto limitano la visibilità dei dettagli sui DPI e sui volti."}</t>
        </is>
      </c>
      <c r="K5" s="7" t="inlineStr">
        <is>
          <t>{"unsafe_behaviors": [], "vulnerable_elements": ["Operatore seduto alla pressa", "Conducente del carrello elevatore"], "risk_cues": {"S1_people_vehicle_interference": 0.25, "S2_visibility_attention_reduction": 0.25, "S3_non_compliant_behavior": 0.25, "S4_vehicle_infrastructure_interference": 0.25, "S5_storage_structural_instability": 0.0, "S6_access_to_moving_mechanical_parts": 0.5, "S7_manual_handling_heavy_unstable_loads": 0.0}, "cue_confidence": 0.7, "diagnostic_notes": "La distanza della telecamera limita la visibilità dei dettagli sui DPI e sulle barriere di sicurezza della pressa. L'operatore lavora alla pressa (rischio moderato S6), mentre il muletto manovra sullo sfondo (S1, S4 a livello potenziale)."}</t>
        </is>
      </c>
      <c r="L5" s="7" t="inlineStr">
        <is>
          <t>{"causal_chain_plausible": true, "causal_chain_text": "La presenza di un carrello elevatore in movimento e di un operatore concentrato alla pressa crea un rischio di interferenza. Se l'operatore si spostasse improvvisamente o se il muletto deviasse dalla traiettoria, la mancanza di barriere visibili potrebbe portare a un impatto o a un contatto accidentale con la pressa.", "near_miss_or_incident_scenario": "Investimento dell'operatore da parte del carrello elevatore durante le manovre sullo sfondo, o schiacciamento delle mani nella pressa per assenza di barriere protettive adeguate.", "contributing_factors": ["Movimentazione del carrello elevatore in prossimità della postazione di lavoro", "Mancanza di barriere di sicurezza chiaramente visibili sulla pressa verticale", "Potenziale distrazione dovuta alla compresenza di attività rumorose e dinamiche"]}</t>
        </is>
      </c>
      <c r="M5" s="7" t="n">
        <v>35</v>
      </c>
      <c r="N5" s="7" t="inlineStr">
        <is>
          <t>Il rischio è moderato a causa della compresenza di un carrello elevatore in movimento e di un operatore alla pressa verticale. La distanza della telecamera impedisce di verificare con certezza l'uso dei DPI e la presenza di barriere di sicurezza adeguate sulla pressa.</t>
        </is>
      </c>
      <c r="O5" s="7" t="n">
        <v>36</v>
      </c>
      <c r="P5" s="8" t="inlineStr">
        <is>
          <t>giallo</t>
        </is>
      </c>
      <c r="Q5" s="7" t="n">
        <v>40.09</v>
      </c>
      <c r="R5" s="7" t="n">
        <v>39.88</v>
      </c>
      <c r="S5" s="8" t="inlineStr">
        <is>
          <t>giallo</t>
        </is>
      </c>
      <c r="T5" s="7" t="n">
        <v>0.7</v>
      </c>
      <c r="U5" s="7" t="inlineStr">
        <is>
          <t>La distanza della telecamera limita la visibilità dei dettagli sui DPI e sulle barriere di sicurezza della pressa. L'operatore lavora alla pressa (rischio moderato S6), mentre il muletto manovra sullo sfondo (S1, S4 a livello potenziale).</t>
        </is>
      </c>
      <c r="V5" s="7" t="n">
        <v>0.25</v>
      </c>
      <c r="W5" s="7" t="n">
        <v>0.25</v>
      </c>
      <c r="X5" s="7" t="n">
        <v>0.1109</v>
      </c>
      <c r="Y5" s="7" t="n">
        <v>2.7725</v>
      </c>
      <c r="Z5" s="7" t="n">
        <v>6.92</v>
      </c>
      <c r="AA5" s="7" t="n">
        <v>0.25</v>
      </c>
      <c r="AB5" s="7" t="n">
        <v>0.5553</v>
      </c>
      <c r="AC5" s="7" t="n">
        <v>0.037</v>
      </c>
      <c r="AD5" s="7" t="n">
        <v>2.0546</v>
      </c>
      <c r="AE5" s="7" t="n">
        <v>5.12</v>
      </c>
      <c r="AF5" s="7" t="n">
        <v>0.25</v>
      </c>
      <c r="AG5" s="7" t="n">
        <v>0.2689</v>
      </c>
      <c r="AH5" s="7" t="n">
        <v>0.0549</v>
      </c>
      <c r="AI5" s="7" t="n">
        <v>1.4763</v>
      </c>
      <c r="AJ5" s="7" t="n">
        <v>3.68</v>
      </c>
      <c r="AK5" s="7" t="n">
        <v>0.25</v>
      </c>
      <c r="AL5" s="7" t="n">
        <v>0.1419</v>
      </c>
      <c r="AM5" s="7" t="n">
        <v>0.1538</v>
      </c>
      <c r="AN5" s="7" t="n">
        <v>2.1824</v>
      </c>
      <c r="AO5" s="7" t="n">
        <v>5.44</v>
      </c>
      <c r="AP5" s="7" t="n">
        <v>0</v>
      </c>
      <c r="AQ5" s="7" t="n">
        <v>0</v>
      </c>
      <c r="AR5" s="7" t="n">
        <v>0.2228</v>
      </c>
      <c r="AS5" s="7" t="n">
        <v>0</v>
      </c>
      <c r="AT5" s="7" t="n">
        <v>0</v>
      </c>
      <c r="AU5" s="7" t="n">
        <v>0.5</v>
      </c>
      <c r="AV5" s="7" t="n">
        <v>0.9167999999999999</v>
      </c>
      <c r="AW5" s="7" t="n">
        <v>0.3447</v>
      </c>
      <c r="AX5" s="7" t="n">
        <v>31.6021</v>
      </c>
      <c r="AY5" s="7" t="n">
        <v>78.83</v>
      </c>
      <c r="AZ5" s="7" t="n">
        <v>0</v>
      </c>
      <c r="BA5" s="7" t="n">
        <v>0</v>
      </c>
      <c r="BB5" s="7" t="n">
        <v>0.0759</v>
      </c>
      <c r="BC5" s="7" t="n">
        <v>0</v>
      </c>
      <c r="BD5" s="7" t="n">
        <v>0</v>
      </c>
    </row>
    <row r="6" ht="34" customHeight="1">
      <c r="A6" s="7" t="n">
        <v>4</v>
      </c>
      <c r="B6" s="7" t="n">
        <v>8</v>
      </c>
      <c r="C6" s="7" t="n">
        <v>12</v>
      </c>
      <c r="D6" s="7" t="n">
        <v>4</v>
      </c>
      <c r="E6" s="7" t="inlineStr">
        <is>
          <t>{"descrizione_scena": {"contesto": "Officina metalmeccanica con presse industriali e area di transito interna.", "condizioni_ambientali": "Illuminazione artificiale interna, pavimentazione industriale con segnaletica orizzontale parzialmente visibile."}, "soggetti_e_macchinari": {"personale": [{"ruolo": "Operatore seduto", "posizione": "Lato destro, presso una pressa", "dpi": "Non chiaramente distinguibili a causa della distanza"}, {"ruolo": "Operatore carrello elevatore", "posizione": "Alla guida del mezzo in movimento"}], "macchinari": ["Presse industriali verticali (gialle e blu)", "Carrello elevatore in movimento con carico frontale"]}, "dinamica_e_azioni": {"descrizione": "Un carrello elevatore attraversa l'area di lavoro trasportando un carico elevato di casse arancioni impilate, muovendosi da sinistra verso il centro-destra."}, "analisi_sicurezza": {"limiti_visibilita": "Il carico elevato sulle forche del carrello ostruisce parzialmente la visuale anteriore del conducente.", "rischi_potenziali": "Rischio di collisione con l'operatore seduto o con ostacoli non visibili a causa della visuale ridotta; potenziale instabilità del carico impilato in caso di manovre brusche.", "fattori_contribuenti": "Altezza del carico trasportato, presenza di personale nelle immediate vicinanze della traiettoria del mezzo."}}</t>
        </is>
      </c>
      <c r="F6" s="7" t="n">
        <v>80</v>
      </c>
      <c r="G6" s="7" t="inlineStr">
        <is>
          <t>Il punteggio di 80 è giustificato dall'elevato rischio di collisione e instabilità. La movimentazione di un carico voluminoso che ostruisce la visuale anteriore del conducente, in presenza di un operatore seduto nelle immediate vicinanze della traiettoria del carrello elevatore, rappresenta una grave violazione delle procedure di sicurezza logistica.</t>
        </is>
      </c>
      <c r="H6" s="7" t="n">
        <v>73.36</v>
      </c>
      <c r="I6" s="10" t="inlineStr">
        <is>
          <t>arancione</t>
        </is>
      </c>
      <c r="J6" s="7" t="inlineStr">
        <is>
          <t>{"scene_state": "Stabilimento industriale con macchinari pesanti e transito di carrelli elevatori.", "environmental_conditions": ["Illuminazione interna artificiale", "Pavimentazione industriale grigia con linee di demarcazione gialle"], "people": ["Un operatore seduto davanti a una pressa sul lato destro", "Un conducente a bordo del carrello elevatore in movimento"], "objects": ["Contenitori metallici arancioni impilati", "Scatole di cartone su pallet", "Attrezzature da lavoro"], "machines": ["Presse industriali di grandi dimensioni (gialle, blu e grigie)", "Un carrello elevatore in movimento che trasporta cassoni arancioni", "Un secondo carrello elevatore visibile sullo sfondo a sinistra"], "observable_actions": ["Un carrello elevatore attraversa l'area di lavoro da sinistra a destra trasportando un carico di cassoni arancioni", "Un operatore rimane seduto presso la postazione di lavoro sulla destra"], "visible_ppe": ["Non chiaramente identificabili a causa della distanza della telecamera"], "notes_visibility_limitations": "La distanza della telecamera e la risoluzione limitano la visibilità dei dettagli sui DPI e sui volti dei lavoratori."}</t>
        </is>
      </c>
      <c r="K6" s="7" t="inlineStr">
        <is>
          <t>{"unsafe_behaviors": [], "vulnerable_elements": ["Operatore seduto alla pressa sul lato destro"], "risk_cues": {"S1_people_vehicle_interference": 0.5, "S2_visibility_attention_reduction": 0.25, "S3_non_compliant_behavior": 0.0, "S4_vehicle_infrastructure_interference": 0.25, "S5_storage_structural_instability": 0.25, "S6_access_to_moving_mechanical_parts": 0.0, "S7_manual_handling_heavy_unstable_loads": 0.0}, "cue_confidence": 0.8, "diagnostic_notes": "Si rileva la compresenza di un carrello elevatore in movimento e di un operatore seduto alla sua postazione di lavoro. Sebbene siano presenti linee di demarcazione gialle sulla pavimentazione, la vicinanza del mezzo in transito configura un rischio moderato di interferenza (S1). Il carico di cassoni arancioni sul carrello potrebbe ridurre la visibilità anteriore del conducente (S2). Non si registrano comportamenti scorretti o instabilità dei carichi stoccati."}</t>
        </is>
      </c>
      <c r="L6" s="7" t="inlineStr">
        <is>
          <t>{"causal_chain_plausible": true, "causal_chain_text": "Il trasporto di cassoni arancioni sul carrello elevatore può limitare la visibilità anteriore del conducente. Se il conducente, con visibilità ridotta, transita vicino alla postazione della pressa e l'operatore seduto non si avvede del mezzo, si può verificare una collisione per deviazione accidentale o mancata percezione delle distanze.", "near_miss_or_incident_scenario": "Collisione o investimento dell'operatore seduto alla pressa da parte del carrello elevatore in transito.", "contributing_factors": ["Interferenza spazio-temporale tra carrello elevatore in movimento e operatore statico.", "Limitazione della visibilità anteriore del conducente causata dal carico trasportato.", "Prossimità della postazione di lavoro fissa alla via di transito del mezzo."]}</t>
        </is>
      </c>
      <c r="M6" s="7" t="n">
        <v>35</v>
      </c>
      <c r="N6" s="7" t="inlineStr">
        <is>
          <t>Il punteggio riflette un rischio moderato dovuto alla compresenza di un carrello elevatore in movimento e un operatore statico, con potenziale riduzione della visibilità del conducente a causa del carico trasportato. La presenza di linee di demarcazione a terra mitiga parzialmente il rischio di collisione.</t>
        </is>
      </c>
      <c r="O6" s="7" t="n">
        <v>35.4</v>
      </c>
      <c r="P6" s="8" t="inlineStr">
        <is>
          <t>giallo</t>
        </is>
      </c>
      <c r="Q6" s="7" t="n">
        <v>11.66</v>
      </c>
      <c r="R6" s="7" t="n">
        <v>22.95</v>
      </c>
      <c r="S6" s="9" t="inlineStr">
        <is>
          <t>verde</t>
        </is>
      </c>
      <c r="T6" s="7" t="n">
        <v>0.8</v>
      </c>
      <c r="U6" s="7" t="inlineStr">
        <is>
          <t>Si rileva la compresenza di un carrello elevatore in movimento e di un operatore seduto alla sua postazione di lavoro. Sebbene siano presenti linee di demarcazione gialle sulla pavimentazione, la vicinanza del mezzo in transito configura un rischio moderato di interferenza (S1). Il carico di cassoni arancioni sul carrello potrebbe ridurre la visibilità anteriore del conducente (S2). Non si registrano comportamenti scorretti o instabilità dei carichi stoccati.</t>
        </is>
      </c>
      <c r="V6" s="7" t="n">
        <v>0.5</v>
      </c>
      <c r="W6" s="7" t="n">
        <v>0.5</v>
      </c>
      <c r="X6" s="7" t="n">
        <v>0.1109</v>
      </c>
      <c r="Y6" s="7" t="n">
        <v>5.545</v>
      </c>
      <c r="Z6" s="7" t="n">
        <v>47.56</v>
      </c>
      <c r="AA6" s="7" t="n">
        <v>0.25</v>
      </c>
      <c r="AB6" s="7" t="n">
        <v>0.5553</v>
      </c>
      <c r="AC6" s="7" t="n">
        <v>0.037</v>
      </c>
      <c r="AD6" s="7" t="n">
        <v>2.0546</v>
      </c>
      <c r="AE6" s="7" t="n">
        <v>17.62</v>
      </c>
      <c r="AF6" s="7" t="n">
        <v>0</v>
      </c>
      <c r="AG6" s="7" t="n">
        <v>0.0293</v>
      </c>
      <c r="AH6" s="7" t="n">
        <v>0.0549</v>
      </c>
      <c r="AI6" s="7" t="n">
        <v>0.1609</v>
      </c>
      <c r="AJ6" s="7" t="n">
        <v>1.38</v>
      </c>
      <c r="AK6" s="7" t="n">
        <v>0.25</v>
      </c>
      <c r="AL6" s="7" t="n">
        <v>0.1419</v>
      </c>
      <c r="AM6" s="7" t="n">
        <v>0.1538</v>
      </c>
      <c r="AN6" s="7" t="n">
        <v>2.1824</v>
      </c>
      <c r="AO6" s="7" t="n">
        <v>18.72</v>
      </c>
      <c r="AP6" s="7" t="n">
        <v>0.25</v>
      </c>
      <c r="AQ6" s="7" t="n">
        <v>0.0359</v>
      </c>
      <c r="AR6" s="7" t="n">
        <v>0.2228</v>
      </c>
      <c r="AS6" s="7" t="n">
        <v>0.7999000000000001</v>
      </c>
      <c r="AT6" s="7" t="n">
        <v>6.86</v>
      </c>
      <c r="AU6" s="7" t="n">
        <v>0</v>
      </c>
      <c r="AV6" s="7" t="n">
        <v>0.0266</v>
      </c>
      <c r="AW6" s="7" t="n">
        <v>0.3447</v>
      </c>
      <c r="AX6" s="7" t="n">
        <v>0.9169</v>
      </c>
      <c r="AY6" s="7" t="n">
        <v>7.86</v>
      </c>
      <c r="AZ6" s="7" t="n">
        <v>0</v>
      </c>
      <c r="BA6" s="7" t="n">
        <v>0</v>
      </c>
      <c r="BB6" s="7" t="n">
        <v>0.0759</v>
      </c>
      <c r="BC6" s="7" t="n">
        <v>0</v>
      </c>
      <c r="BD6" s="7" t="n">
        <v>0</v>
      </c>
    </row>
    <row r="7" ht="34" customHeight="1">
      <c r="A7" s="7" t="n">
        <v>5</v>
      </c>
      <c r="B7" s="7" t="n">
        <v>10</v>
      </c>
      <c r="C7" s="7" t="n">
        <v>14</v>
      </c>
      <c r="D7" s="7" t="n">
        <v>4</v>
      </c>
      <c r="E7" s="7" t="inlineStr">
        <is>
          <t>{"analisi_scena": {"contesto": "Stabilimento industriale metalmeccanico con macchinari pesanti e corsie di transito.", "persone_presenti": [{"ruolo": "Operatore seduto", "posizione": "Postazione di lavoro sul lato destro", "dpi": "Abbigliamento da lavoro, altri DPI non chiaramente visibili per la distanza"}], "macchinari_oggetti": {"principali": ["Carrello elevatore", "Presse industriali", "Cassoni metallici arancioni impilati", "Pallet"], "stato": "Carrello elevatore in movimento con carico elevato"}, "dinamica_osservata": {"azione": "Il carrello elevatore trasporta tre cassoni arancioni impilati, muovendosi da sinistra verso destra.", "condizioni_ambientali": "Illuminazione interna sufficiente, segnaletica orizzontale di sicurezza parzialmente usurata."}, "analisi_sicurezza": {"limiti_visibilita": "Il carico elevato posizionato sulle forche ostruisce significativamente la visuale anteriore del conducente del muletto.", "fattori_rischio": ["Altezza eccessiva del carico che limita la visibilità anteriore", "Prossimità del percorso del muletto alla postazione dell'operatore seduto"], "sviluppi_rischiosi_plausibili": "Rischio di investimento del lavoratore seduto o collisione con strutture fisse a causa della visibilità ridotta del conducente."}}}</t>
        </is>
      </c>
      <c r="F7" s="7" t="n">
        <v>85</v>
      </c>
      <c r="G7" s="7" t="inlineStr">
        <is>
          <t>Il punteggio di 85 riflette un rischio molto elevato. Il carrello elevatore si muove con un carico impilato che ostruisce gravemente la visuale anteriore del conducente in prossimità di un operatore seduto. La mancata visibilità e la vicinanza al lavoratore generano un pericolo imminente di investimento o collisione.</t>
        </is>
      </c>
      <c r="H7" s="7" t="n">
        <v>81.59</v>
      </c>
      <c r="I7" s="11" t="inlineStr">
        <is>
          <t>rosso</t>
        </is>
      </c>
      <c r="J7" s="7" t="inlineStr">
        <is>
          <t>{"scene_state": "Ambiente industriale attivo con transito di un carrello elevatore e un operatore alla postazione di lavoro.", "environmental_conditions": ["Illuminazione interna artificiale", "Pavimentazione industriale con segnaletica orizzontale gialla"], "people": ["Un operatore seduto alla postazione di lavoro sulla destra"], "objects": ["Contenitori metallici arancioni impilati", "Pallet", "Componenti metallici", "Scatole di cartone"], "machines": ["Carrello elevatore in movimento", "Presse industriali", "Macchinari di produzione"], "observable_actions": ["Un carrello elevatore trasporta due contenitori metallici arancioni impilati muovendosi da sinistra verso destra", "Un operatore lavora seduto alla propria postazione sulla destra"], "visible_ppe": ["Non chiaramente distinguibili a causa della distanza"], "notes_visibility_limitations": "La distanza della telecamera limita la visibilità dei dettagli dei DPI e del volto dell'operatore."}</t>
        </is>
      </c>
      <c r="K7" s="7" t="inlineStr">
        <is>
          <t>{"unsafe_behaviors": ["Trasporto di un carico impilato di due contenitori che può limitare la visibilità anteriore del conducente del carrello elevatore"], "vulnerable_elements": ["Operatore seduto alla postazione di lavoro sulla destra"], "risk_cues": {"S1_people_vehicle_interference": 0.5, "S2_visibility_attention_reduction": 0.75, "S3_non_compliant_behavior": 0.5, "S4_vehicle_infrastructure_interference": 0.25, "S5_storage_structural_instability": 0.25, "S6_access_to_moving_mechanical_parts": 0.0, "S7_manual_handling_heavy_unstable_loads": 0.0}, "cue_confidence": 0.8, "diagnostic_notes": "Il rischio principale è legato alla riduzione della visibilità del carrellista (S2) dovuta al trasporto di due contenitori metallici arancioni impilati, muovendosi verso destra dove è presente un operatore seduto (S1). Se la visibilità anteriore è ostruita, il transito in marcia avanti costituisce un comportamento non conforme (S3). La distanza della telecamera limita la valutazione dei DPI dell'operatore."}</t>
        </is>
      </c>
      <c r="L7" s="7" t="inlineStr">
        <is>
          <t>{"causal_chain_plausible": true, "causal_chain_text": "Il trasporto di due contenitori metallici impilati riduce la visibilità anteriore del carrellista. Muovendosi in avanti verso destra, dove si trova l'operatore seduto, il conducente rischia di non vederlo, potendo causare un investimento.", "near_miss_or_incident_scenario": "Investimento dell'operatore alla postazione di lavoro da parte del carrello elevatore a causa della visibilità ostruita dal carico.", "contributing_factors": ["Trasporto di carico impilato che limita la visibilità anteriore", "Marcia in avanti del carrello con visuale ostruita", "Presenza di un operatore seduto vicino alla traiettoria del mezzo"]}</t>
        </is>
      </c>
      <c r="M7" s="7" t="n">
        <v>65</v>
      </c>
      <c r="N7" s="7" t="inlineStr">
        <is>
          <t>Il punteggio riflette un rischio significativo dovuto alla ridotta visibilità anteriore del carrellista, causata dal carico impilato, mentre si muove verso la postazione dell'operatore. Questa interferenza tra mezzo e pedone aumenta la probabilità di un investimento accidentale.</t>
        </is>
      </c>
      <c r="O7" s="7" t="n">
        <v>60.66</v>
      </c>
      <c r="P7" s="10" t="inlineStr">
        <is>
          <t>arancione</t>
        </is>
      </c>
      <c r="Q7" s="7" t="n">
        <v>17.42</v>
      </c>
      <c r="R7" s="7" t="n">
        <v>21.07</v>
      </c>
      <c r="S7" s="9" t="inlineStr">
        <is>
          <t>verde</t>
        </is>
      </c>
      <c r="T7" s="7" t="n">
        <v>0.8</v>
      </c>
      <c r="U7" s="7" t="inlineStr">
        <is>
          <t>Il rischio principale è legato alla riduzione della visibilità del carrellista (S2) dovuta al trasporto di due contenitori metallici arancioni impilati, muovendosi verso destra dove è presente un operatore seduto (S1). Se la visibilità anteriore è ostruita, il transito in marcia avanti costituisce un comportamento non conforme (S3). La distanza della telecamera limita la valutazione dei DPI dell'operatore.</t>
        </is>
      </c>
      <c r="V7" s="7" t="n">
        <v>0.5</v>
      </c>
      <c r="W7" s="7" t="n">
        <v>0.5</v>
      </c>
      <c r="X7" s="7" t="n">
        <v>0.1109</v>
      </c>
      <c r="Y7" s="7" t="n">
        <v>5.545</v>
      </c>
      <c r="Z7" s="7" t="n">
        <v>31.83</v>
      </c>
      <c r="AA7" s="7" t="n">
        <v>0.75</v>
      </c>
      <c r="AB7" s="7" t="n">
        <v>0.9415</v>
      </c>
      <c r="AC7" s="7" t="n">
        <v>0.037</v>
      </c>
      <c r="AD7" s="7" t="n">
        <v>3.4835</v>
      </c>
      <c r="AE7" s="7" t="n">
        <v>20</v>
      </c>
      <c r="AF7" s="7" t="n">
        <v>0.5</v>
      </c>
      <c r="AG7" s="7" t="n">
        <v>0.8176</v>
      </c>
      <c r="AH7" s="7" t="n">
        <v>0.0549</v>
      </c>
      <c r="AI7" s="7" t="n">
        <v>4.4886</v>
      </c>
      <c r="AJ7" s="7" t="n">
        <v>25.77</v>
      </c>
      <c r="AK7" s="7" t="n">
        <v>0.25</v>
      </c>
      <c r="AL7" s="7" t="n">
        <v>0.1419</v>
      </c>
      <c r="AM7" s="7" t="n">
        <v>0.1538</v>
      </c>
      <c r="AN7" s="7" t="n">
        <v>2.1824</v>
      </c>
      <c r="AO7" s="7" t="n">
        <v>12.53</v>
      </c>
      <c r="AP7" s="7" t="n">
        <v>0.25</v>
      </c>
      <c r="AQ7" s="7" t="n">
        <v>0.0359</v>
      </c>
      <c r="AR7" s="7" t="n">
        <v>0.2228</v>
      </c>
      <c r="AS7" s="7" t="n">
        <v>0.7999000000000001</v>
      </c>
      <c r="AT7" s="7" t="n">
        <v>4.59</v>
      </c>
      <c r="AU7" s="7" t="n">
        <v>0</v>
      </c>
      <c r="AV7" s="7" t="n">
        <v>0.0266</v>
      </c>
      <c r="AW7" s="7" t="n">
        <v>0.3447</v>
      </c>
      <c r="AX7" s="7" t="n">
        <v>0.9169</v>
      </c>
      <c r="AY7" s="7" t="n">
        <v>5.26</v>
      </c>
      <c r="AZ7" s="7" t="n">
        <v>0</v>
      </c>
      <c r="BA7" s="7" t="n">
        <v>0</v>
      </c>
      <c r="BB7" s="7" t="n">
        <v>0.0759</v>
      </c>
      <c r="BC7" s="7" t="n">
        <v>0</v>
      </c>
      <c r="BD7" s="7" t="n">
        <v>0</v>
      </c>
    </row>
    <row r="8" ht="34" customHeight="1">
      <c r="A8" s="7" t="n">
        <v>6</v>
      </c>
      <c r="B8" s="7" t="n">
        <v>12</v>
      </c>
      <c r="C8" s="7" t="n">
        <v>16</v>
      </c>
      <c r="D8" s="7" t="n">
        <v>4</v>
      </c>
      <c r="E8" s="7" t="inlineStr">
        <is>
          <t>{"descrizione_scena": "Area interna di uno stabilimento industriale con macchinari pesanti e transito di mezzi di movimentazione.", "contesto": "Logistica interna e produzione metalmeccanica.", "persone": [{"ruolo": "Operatore statico", "posizione": "Seduto presso la postazione di lavoro sul lato destro", "dpi": "Non chiaramente distinguibili a causa della distanza e della risoluzione"}], "macchinari_e_oggetti": {"movimentazione": "Carrello elevatore cabinato in transito", "carico": "Tre contenitori metallici arancioni impilati sulle forche", "fissi": "Presse industriali, scaffalature, transenne e materiale stoccato sullo sfondo"}, "azioni_osservabili": "Il carrello elevatore esegue una manovra di svolta in retromarcia trasportando il carico impilato.", "condizioni_ambientali": "Illuminazione artificiale tipica da capannone, pavimentazione piana con linee di demarcazione parzialmente usurate.", "limiti_visibilita": "La presenza del carico impilato riduce la visibilità anteriore del conducente, che tuttavia procede in retromarcia. La distanza della telecamera riduce il dettaglio visivo sui comandi e sui DPI dell'operatore a terra.", "analisi_sicurezza": {"ragionamento_causale": "La manovra di svolta con un carico verticale instabile o non fissato aumenta il rischio di sbilanciamento.", "sviluppi_rischiosi": "Potenziale caduta del carico oscillante o collisione posteriore durante la svolta a causa di angoli ciechi.", "fattori_contribuenti": "Altezza del carico impilato e prossimità della traiettoria del mezzo alla postazione dell'operatore a terra."}}</t>
        </is>
      </c>
      <c r="F8" s="7" t="n">
        <v>65</v>
      </c>
      <c r="G8" s="7" t="inlineStr">
        <is>
          <t>Il punteggio riflette un rischio medio-alto dovuto alla svolta in retromarcia con tre contenitori metallici impilati sulle forche. Sebbene la retromarcia compensi la ridotta visibilità anteriore, la manovra di svolta con un carico verticale non fissato aumenta il rischio di sbilanciamento e caduta. La vicinanza della traiettoria alla postazione dell'operatore a terra incrementa la gravità potenziale in caso di collisione o perdita del carico.</t>
        </is>
      </c>
      <c r="H8" s="7" t="n">
        <v>71.64</v>
      </c>
      <c r="I8" s="10" t="inlineStr">
        <is>
          <t>arancione</t>
        </is>
      </c>
      <c r="J8" s="7" t="inlineStr">
        <is>
          <t>{"scene_state": "Ambiente industriale attivo con movimentazione merci.", "environmental_conditions": ["Illuminazione interna artificiale", "Pavimentazione industriale in cemento con segnaletica orizzontale"], "people": ["Un operatore seduto a una postazione di lavoro sulla destra", "Un conducente all'interno del carrello elevatore"], "objects": ["Contenitori metallici arancioni impilati", "Pallet e scatole di cartone", "Cassoni metallici sullo sfondo"], "machines": ["Carrello elevatore", "Presse industriali e macchinari di produzione sullo sfondo"], "observable_actions": ["Il carrello elevatore trasporta tre cassoni arancioni impilati ed esegue una manovra di retromarcia e svolta verso destra", "L'operatore sulla destra è seduto alla sua postazione di lavoro"], "visible_ppe": ["Non chiaramente identificabili a causa della distanza"], "notes_visibility_limitations": "La distanza della telecamera e la struttura del carrello elevatore limitano la visibilità dei dettagli e dei DPI dei lavoratori."}</t>
        </is>
      </c>
      <c r="K8" s="7" t="inlineStr">
        <is>
          <t>{"unsafe_behaviors": ["Manovra di retromarcia e svolta del carrello elevatore in prossimità di una postazione di lavoro attiva", "Trasporto di tre cassoni metallici impilati che potrebbero limitare la visibilità o la stabilità durante la manovra"], "vulnerable_elements": ["Operatore seduto alla postazione di lavoro sulla destra", "Conducente del carrello elevatore"], "risk_cues": {"S1_people_vehicle_interference": 0.5, "S2_visibility_attention_reduction": 0.5, "S3_non_compliant_behavior": 0.25, "S4_vehicle_infrastructure_interference": 0.5, "S5_storage_structural_instability": 0.5, "S6_access_to_moving_mechanical_parts": 0.0, "S7_manual_handling_heavy_unstable_loads": 0.0}, "cue_confidence": 0.75, "diagnostic_notes": "La manovra del carrello elevatore in retromarcia con un carico di tre cassoni impilati avviene vicino alla postazione dell'operatore, configurando un rischio moderato di interferenza (S1) e potenziale instabilità del carico (S5). La distanza limita la valutazione precisa dei DPI e dei comportamenti specifici."}</t>
        </is>
      </c>
      <c r="L8" s="7" t="inlineStr">
        <is>
          <t>{"causal_chain_plausible": true, "causal_chain_text": "La manovra di retromarcia e svolta del carrello elevatore con tre cassoni impilati riduce la visibilità del conducente e la stabilità del carico. Se il conducente non rileva la presenza dell'operatore seduto nelle vicinanze o se il carico si sbilancia durante la svolta, si può verificare una collisione o la caduta dei materiali verso la postazione di lavoro.", "near_miss_or_incident_scenario": "Collisione del carrello elevatore contro la postazione di lavoro dell'operatore o schiacciamento causato dalla caduta dei cassoni metallici instabili durante la svolta.", "contributing_factors": ["Manovra di retromarcia e svolta del carrello in prossimità di una postazione di lavoro attiva.", "Trasporto di tre cassoni metallici impilati che limita la visibilità e riduce la stabilità del carico.", "Presenza dell'operatore seduto all'interno del raggio d'azione del mezzo in movimento."]}</t>
        </is>
      </c>
      <c r="M8" s="7" t="n">
        <v>60</v>
      </c>
      <c r="N8" s="7" t="inlineStr">
        <is>
          <t>Il punteggio riflette un rischio significativo dovuto alla manovra di retromarcia del carrello con tre cassoni impilati vicino a una postazione di lavoro attiva. La ridotta visibilità del conducente e la potenziale instabilità del carico aumentano il pericolo di collisione o caduta di materiali sull'operatore.</t>
        </is>
      </c>
      <c r="O8" s="7" t="n">
        <v>60.26</v>
      </c>
      <c r="P8" s="10" t="inlineStr">
        <is>
          <t>arancione</t>
        </is>
      </c>
      <c r="Q8" s="7" t="n">
        <v>27</v>
      </c>
      <c r="R8" s="7" t="n">
        <v>27.02</v>
      </c>
      <c r="S8" s="8" t="inlineStr">
        <is>
          <t>giallo</t>
        </is>
      </c>
      <c r="T8" s="7" t="n">
        <v>0.75</v>
      </c>
      <c r="U8" s="7" t="inlineStr">
        <is>
          <t>La manovra del carrello elevatore in retromarcia con un carico di tre cassoni impilati avviene vicino alla postazione dell'operatore, configurando un rischio moderato di interferenza (S1) e potenziale instabilità del carico (S5). La distanza limita la valutazione precisa dei DPI e dei comportamenti specifici.</t>
        </is>
      </c>
      <c r="V8" s="7" t="n">
        <v>0.5</v>
      </c>
      <c r="W8" s="7" t="n">
        <v>0.5</v>
      </c>
      <c r="X8" s="7" t="n">
        <v>0.1109</v>
      </c>
      <c r="Y8" s="7" t="n">
        <v>5.545</v>
      </c>
      <c r="Z8" s="7" t="n">
        <v>20.54</v>
      </c>
      <c r="AA8" s="7" t="n">
        <v>0.5</v>
      </c>
      <c r="AB8" s="7" t="n">
        <v>0.8176</v>
      </c>
      <c r="AC8" s="7" t="n">
        <v>0.037</v>
      </c>
      <c r="AD8" s="7" t="n">
        <v>3.0251</v>
      </c>
      <c r="AE8" s="7" t="n">
        <v>11.2</v>
      </c>
      <c r="AF8" s="7" t="n">
        <v>0.25</v>
      </c>
      <c r="AG8" s="7" t="n">
        <v>0.2689</v>
      </c>
      <c r="AH8" s="7" t="n">
        <v>0.0549</v>
      </c>
      <c r="AI8" s="7" t="n">
        <v>1.4763</v>
      </c>
      <c r="AJ8" s="7" t="n">
        <v>5.47</v>
      </c>
      <c r="AK8" s="7" t="n">
        <v>0.5</v>
      </c>
      <c r="AL8" s="7" t="n">
        <v>0.7685</v>
      </c>
      <c r="AM8" s="7" t="n">
        <v>0.1538</v>
      </c>
      <c r="AN8" s="7" t="n">
        <v>11.8195</v>
      </c>
      <c r="AO8" s="7" t="n">
        <v>43.78</v>
      </c>
      <c r="AP8" s="7" t="n">
        <v>0.5</v>
      </c>
      <c r="AQ8" s="7" t="n">
        <v>0.1895</v>
      </c>
      <c r="AR8" s="7" t="n">
        <v>0.2228</v>
      </c>
      <c r="AS8" s="7" t="n">
        <v>4.2221</v>
      </c>
      <c r="AT8" s="7" t="n">
        <v>15.64</v>
      </c>
      <c r="AU8" s="7" t="n">
        <v>0</v>
      </c>
      <c r="AV8" s="7" t="n">
        <v>0.0266</v>
      </c>
      <c r="AW8" s="7" t="n">
        <v>0.3447</v>
      </c>
      <c r="AX8" s="7" t="n">
        <v>0.9169</v>
      </c>
      <c r="AY8" s="7" t="n">
        <v>3.4</v>
      </c>
      <c r="AZ8" s="7" t="n">
        <v>0</v>
      </c>
      <c r="BA8" s="7" t="n">
        <v>0</v>
      </c>
      <c r="BB8" s="7" t="n">
        <v>0.0759</v>
      </c>
      <c r="BC8" s="7" t="n">
        <v>0</v>
      </c>
      <c r="BD8" s="7" t="n">
        <v>0</v>
      </c>
    </row>
    <row r="9" ht="34" customHeight="1">
      <c r="A9" s="7" t="n">
        <v>7</v>
      </c>
      <c r="B9" s="7" t="n">
        <v>14</v>
      </c>
      <c r="C9" s="7" t="n">
        <v>18</v>
      </c>
      <c r="D9" s="7" t="n">
        <v>4</v>
      </c>
      <c r="E9" s="7" t="inlineStr">
        <is>
          <t>{"descrizione_scena": {"contesto": "Interno di uno stabilimento industriale metalmeccanico con macchinari pesanti e segnaletica a terra.", "macchinari": "Carrello elevatore in movimento, presse industriali sullo sfondo.", "persone": "Un operatore alla guida del carrello elevatore. Non si rilevano pedoni nelle immediate vicinanze.", "oggetti": "Cassoni metallici arancioni impilati sul carrello, pallet e attrezzature industriali."}, "analisi_operativa": {"azioni": "Il carrello elevatore sta movimentando un carico verticale di tre cassoni arancioni, effettuando una manovra di svolta o retromarcia.", "condizioni_ambientali": "Illuminazione artificiale interna sufficiente; pavimentazione industriale con macchie scure non meglio identificate (possibili residui o usura).", "limiti_visibilita": "La pila di cassoni sul carrello limita la visibilità anteriore del conducente. Angoli ciechi creati dai macchinari circostanti."}, "valutazione_sicurezza": {"dinamiche_rischiose": "La movimentazione di carichi alti riduce la stabilità del mezzo e ostruisce la visuale dell'operatore.", "sviluppi_plausibili": "Rischio di collisione con strutture fisse o ribaltamento del carico in caso di manovre brusche.", "fattori_contribuenti": "Altezza del carico impilato e presenza di ostacoli fissi nell'area di manovra.", "dpi": "L'operatore è protetto dalla cabina del carrello; non è possibile verificare l'uso di altri DPI individuali a causa della distanza."}}</t>
        </is>
      </c>
      <c r="F9" s="7" t="n">
        <v>65</v>
      </c>
      <c r="G9" s="7" t="inlineStr">
        <is>
          <t>Il punteggio di 65 riflette un rischio medio-alto dovuto alla movimentazione di un carico verticale instabile (tre cassoni impilati) che ostruisce la visibilità anteriore dell'operatore durante la manovra. Sebbene l'assenza di pedoni riduca il rischio di investimento immediato, la stabilità compromessa del mezzo e la presenza di angoli ciechi e ostacoli fissi configurano un concreto pericolo di collisione o ribaltamento del carico.</t>
        </is>
      </c>
      <c r="H9" s="7" t="n">
        <v>67.66</v>
      </c>
      <c r="I9" s="10" t="inlineStr">
        <is>
          <t>arancione</t>
        </is>
      </c>
      <c r="J9" s="7" t="inlineStr">
        <is>
          <t>{"scene_state": "Interno di un'officina meccanica industriale con macchinari e aree di stoccaggio.", "environmental_conditions": ["Illuminazione interna artificiale", "Pavimento industriale con linee di demarcazione gialle"], "people": ["Un operatore all'interno della cabina del carrello elevatore"], "objects": ["Contenitori metallici arancioni impilati", "Scatole di cartone su pallet a sinistra", "Cassoni e attrezzature industriali varie"], "machines": ["Carrello elevatore (muletto)", "Grandi presse industriali (gialle e blu) sullo sfondo"], "observable_actions": ["Il carrello elevatore si muove in retromarcia trasportando una pila di cassoni metallici arancioni"], "visible_ppe": ["Non identificabili con precisione a causa della distanza e della cabina del mezzo"], "notes_visibility_limitations": "La presenza della cabina del muletto e dei cassoni impilati limita la visibilità diretta dell'operatore."}</t>
        </is>
      </c>
      <c r="K9" s="7" t="inlineStr">
        <is>
          <t>{"unsafe_behaviors": [], "vulnerable_elements": ["Operatore del carrello elevatore"], "risk_cues": {"S1_people_vehicle_interference": 0.0, "S2_visibility_attention_reduction": 0.5, "S3_non_compliant_behavior": 0.0, "S4_vehicle_infrastructure_interference": 0.25, "S5_storage_structural_instability": 0.25, "S6_access_to_moving_mechanical_parts": 0.0, "S7_manual_handling_heavy_unstable_loads": 0.0}, "cue_confidence": 0.8, "diagnostic_notes": "Il carrello elevatore si muove in retromarcia trasportando cassoni metallici impilati; la cabina e il carico riducono parzialmente la visibilità dell'operatore (S2). Non si osservano pedoni nell'area di manovra (S1) né comportamenti non conformi evidenti (S3). La presenza di macchinari e materiali stoccati richiede attenzione per evitare interferenze (S4, S5)."}</t>
        </is>
      </c>
      <c r="L9" s="7" t="inlineStr">
        <is>
          <t>{"causal_chain_plausible": true, "causal_chain_text": "La retromarcia del carrello elevatore con visibilità parzialmente ridotta (S2) e la presenza di ostacoli fissi (S4) possono indurre un errore di manovra. L'operatore, non vedendo chiaramente l'area retrostante, rischia di urtare macchinari o strutture di stoccaggio, destabilizzando il carico (S5).", "near_miss_or_incident_scenario": "Collisione del carrello elevatore in retromarcia contro le presse industriali o i materiali stoccati, con possibile caduta dei cassoni metallici trasportati.", "contributing_factors": ["Visibilità limitata dell'operatore dovuta alla cabina e al carico", "Presenza di macchinari e materiali stoccati vicini alla traiettoria", "Manovra di retromarcia in spazi di lavoro ristretti"]}</t>
        </is>
      </c>
      <c r="M9" s="7" t="n">
        <v>35</v>
      </c>
      <c r="N9" s="7" t="inlineStr">
        <is>
          <t>Il rischio è moderato poiché il carrello elevatore esegue una manovra di retromarcia con visibilità parzialmente limitata in prossimità di macchinari e strutture. Non si rilevano pedoni nell'area o violazioni palesi, ma la manovra richiede massima cautela per prevenire urti o instabilità del carico.</t>
        </is>
      </c>
      <c r="O9" s="7" t="n">
        <v>45.1</v>
      </c>
      <c r="P9" s="8" t="inlineStr">
        <is>
          <t>giallo</t>
        </is>
      </c>
      <c r="Q9" s="7" t="n">
        <v>7.09</v>
      </c>
      <c r="R9" s="7" t="n">
        <v>15.06</v>
      </c>
      <c r="S9" s="9" t="inlineStr">
        <is>
          <t>verde</t>
        </is>
      </c>
      <c r="T9" s="7" t="n">
        <v>0.8</v>
      </c>
      <c r="U9" s="7" t="inlineStr">
        <is>
          <t>Il carrello elevatore si muove in retromarcia trasportando cassoni metallici impilati; la cabina e il carico riducono parzialmente la visibilità dell'operatore (S2). Non si osservano pedoni nell'area di manovra (S1) né comportamenti non conformi evidenti (S3). La presenza di macchinari e materiali stoccati richiede attenzione per evitare interferenze (S4, S5).</t>
        </is>
      </c>
      <c r="V9" s="7" t="n">
        <v>0</v>
      </c>
      <c r="W9" s="7" t="n">
        <v>0</v>
      </c>
      <c r="X9" s="7" t="n">
        <v>0.1109</v>
      </c>
      <c r="Y9" s="7" t="n">
        <v>0</v>
      </c>
      <c r="Z9" s="7" t="n">
        <v>0</v>
      </c>
      <c r="AA9" s="7" t="n">
        <v>0.5</v>
      </c>
      <c r="AB9" s="7" t="n">
        <v>0.8176</v>
      </c>
      <c r="AC9" s="7" t="n">
        <v>0.037</v>
      </c>
      <c r="AD9" s="7" t="n">
        <v>3.0251</v>
      </c>
      <c r="AE9" s="7" t="n">
        <v>42.67</v>
      </c>
      <c r="AF9" s="7" t="n">
        <v>0</v>
      </c>
      <c r="AG9" s="7" t="n">
        <v>0.0293</v>
      </c>
      <c r="AH9" s="7" t="n">
        <v>0.0549</v>
      </c>
      <c r="AI9" s="7" t="n">
        <v>0.1609</v>
      </c>
      <c r="AJ9" s="7" t="n">
        <v>2.27</v>
      </c>
      <c r="AK9" s="7" t="n">
        <v>0.25</v>
      </c>
      <c r="AL9" s="7" t="n">
        <v>0.1419</v>
      </c>
      <c r="AM9" s="7" t="n">
        <v>0.1538</v>
      </c>
      <c r="AN9" s="7" t="n">
        <v>2.1824</v>
      </c>
      <c r="AO9" s="7" t="n">
        <v>30.78</v>
      </c>
      <c r="AP9" s="7" t="n">
        <v>0.25</v>
      </c>
      <c r="AQ9" s="7" t="n">
        <v>0.0359</v>
      </c>
      <c r="AR9" s="7" t="n">
        <v>0.2228</v>
      </c>
      <c r="AS9" s="7" t="n">
        <v>0.7999000000000001</v>
      </c>
      <c r="AT9" s="7" t="n">
        <v>11.28</v>
      </c>
      <c r="AU9" s="7" t="n">
        <v>0</v>
      </c>
      <c r="AV9" s="7" t="n">
        <v>0.0266</v>
      </c>
      <c r="AW9" s="7" t="n">
        <v>0.3447</v>
      </c>
      <c r="AX9" s="7" t="n">
        <v>0.9169</v>
      </c>
      <c r="AY9" s="7" t="n">
        <v>12.93</v>
      </c>
      <c r="AZ9" s="7" t="n">
        <v>0</v>
      </c>
      <c r="BA9" s="7" t="n">
        <v>0</v>
      </c>
      <c r="BB9" s="7" t="n">
        <v>0.0759</v>
      </c>
      <c r="BC9" s="7" t="n">
        <v>0</v>
      </c>
      <c r="BD9" s="7" t="n">
        <v>0</v>
      </c>
    </row>
    <row r="10" ht="34" customHeight="1">
      <c r="A10" s="7" t="n">
        <v>8</v>
      </c>
      <c r="B10" s="7" t="n">
        <v>16</v>
      </c>
      <c r="C10" s="7" t="n">
        <v>20</v>
      </c>
      <c r="D10" s="7" t="n">
        <v>4</v>
      </c>
      <c r="E10" s="7" t="inlineStr">
        <is>
          <t>{"contesto_scena": {"descrizione_generale": "Area di produzione di uno stabilimento metalmeccanico con macchinari pesanti e zone di stoccaggio.", "condizioni_ambientali": "Illuminazione interna artificiale uniforme; pavimentazione industriale con linee di demarcazione gialle."}, "elementi_rilevati": {"persone": "Un operatore è parzialmente visibile sul lato destro, in prossimità del carrello elevatore.", "macchinari": "Grandi presse industriali verticali (colori giallo, blu e grigio) e un carrello elevatore attivo sul lato destro.", "oggetti": "Contenitori metallici arancioni impilati, cassoni blu, lamiere e attrezzature di lavoro sparse.", "dpi": "Presenza di DPI non verificabile con certezza a causa della distanza e delle ostruzioni visive."}, "dinamica_e_visibilita": {"azioni_osservabili": "Il carrello elevatore esegue manovre di movimentazione di una colonna di contenitori metallici arancioni.", "limiti_visibilita": "La visuale sull'operatore e sulle manovre del carrello elevatore è fortemente ostacolata dall'altezza dei contenitori arancioni in primo piano."}, "analisi_rischio": {"ragionamento_causale": "La movimentazione di carichi verticalmente sviluppati riduce la visibilità circostante e sposta il baricentro del mezzo.", "sviluppi_rischiosi_plausibili": "Rischio moderato di ribaltamento del carico o di collisione con elementi non visibili dietro la pila di contenitori durante la manovra."}}</t>
        </is>
      </c>
      <c r="F10" s="7" t="n">
        <v>65</v>
      </c>
      <c r="G10" s="7" t="inlineStr">
        <is>
          <t>Il punteggio di 65 è motivato dalla movimentazione attiva di carichi verticalmente sviluppati (contenitori metallici impilati) che limitano fortemente la visibilità del carrellista. La presenza di un operatore parzialmente visibile nelle immediate vicinanze della zona di manovra, unita all'impossibilità di verificare l'uso dei DPI e al rischio di instabilità del carico, configura una situazione di potenziale pericolo medio-alto per collisioni o schiacciamenti.</t>
        </is>
      </c>
      <c r="H10" s="7" t="n">
        <v>66.06</v>
      </c>
      <c r="I10" s="10" t="inlineStr">
        <is>
          <t>arancione</t>
        </is>
      </c>
      <c r="J10" s="7" t="inlineStr">
        <is>
          <t>{"scene_state": "Interno di un'officina industriale con macchinari pesanti, aree di stoccaggio e un carrello elevatore in movimento.", "environmental_conditions": ["Illuminazione artificiale interna", "Pavimentazione industriale in cemento con linee di sicurezza gialle"], "people": ["Un operatore parzialmente visibile sul lato destro, adiacente al carrello elevatore."], "objects": ["Contenitori metallici arancioni impilati", "Pallet in legno e metallo", "Carrello rosso", "Contenitori di plastica blu", "Componenti metallici lavorati"], "machines": ["Presse industriali verticali (gialle e blu)", "Carrello elevatore (muletto) sul lato destro"], "observable_actions": ["Il carrello elevatore sul lato destro sta movimentando una pila di contenitori metallici arancioni."], "visible_ppe": ["Non chiaramente identificabili a causa della distanza e delle ostruzioni visive."], "notes_visibility_limitations": "L'operatore e parte del carrello elevatore sono parzialmente occlusi dai grandi contenitori arancioni impilati in primo piano a destra."}</t>
        </is>
      </c>
      <c r="K10" s="7" t="inlineStr">
        <is>
          <t>{"unsafe_behaviors": ["Presenza dell'operatore a distanza di sicurezza insufficiente dal carrello elevatore in movimento", "Movimentazione di carichi impilati che possono limitare la visibilità del conducente"], "vulnerable_elements": ["Operatore a terra parzialmente visibile adiacente al carrello elevatore"], "risk_cues": {"S1_people_vehicle_interference": 0.75, "S2_visibility_attention_reduction": 0.75, "S3_non_compliant_behavior": 0.5, "S4_vehicle_infrastructure_interference": 0.5, "S5_storage_structural_instability": 0.5, "S6_access_to_moving_mechanical_parts": 0.0, "S7_manual_handling_heavy_unstable_loads": 0.0}, "cue_confidence": 0.8, "diagnostic_notes": "Si rileva una forte evidenza di interferenza uomo-mezzo (S1) dovuta alla presenza dell'operatore a terra nelle immediate vicinanze del carrello elevatore in manovra. La visibilità nell'area è significativamente ridotta (S2) a causa dell'ostruzione visiva causata dai grandi contenitori metallici arancioni impilati in primo piano, che occludono parzialmente sia l'operatore che il mezzo. Questo posizionamento e la movimentazione di carichi in quota introducono un rischio moderato di instabilità del carico (S5) e di potenziale interferenza con le infrastrutture circostanti (S4)."}</t>
        </is>
      </c>
      <c r="L10" s="7" t="inlineStr">
        <is>
          <t>{"causal_chain_plausible": true, "causal_chain_text": "La ridotta visibilità causata dai contenitori arancioni impilati impedisce al conducente del carrello elevatore di avvistare tempestivamente l'operatore a terra situato nelle immediate vicinanze. La mancanza di una distanza di sicurezza adeguata durante la movimentazione dei carichi crea una traiettoria di collisione diretta tra il mezzo in movimento e il lavoratore.", "near_miss_or_incident_scenario": "Investimento del lavoratore a terra da parte del carrello elevatore in manovra o schiacciamento dello stesso dovuto alla caduta accidentale dei contenitori metallici movimentati a causa della visibilità ostruita.", "contributing_factors": ["Presenza dell'operatore a terra a distanza non di sicurezza dal mezzo in movimento.", "Ostruzione visiva significativa causata dai grandi contenitori metallici impilati in primo piano.", "Movimentazione di carichi ingombranti che limitano il campo visivo del carrellista."]}</t>
        </is>
      </c>
      <c r="M10" s="7" t="n">
        <v>78</v>
      </c>
      <c r="N10" s="7" t="inlineStr">
        <is>
          <t>Il punteggio riflette un rischio elevato dovuto alla pericolosa vicinanza tra l'operatore a terra e il carrello elevatore in movimento, aggravata dalla grave ostruzione visiva causata dai contenitori impilati. Questa combinazione crea un imminente pericolo di investimento o schiacciamento dovuto alla potenziale caduta del carico.</t>
        </is>
      </c>
      <c r="O10" s="7" t="n">
        <v>75.59</v>
      </c>
      <c r="P10" s="11" t="inlineStr">
        <is>
          <t>rosso</t>
        </is>
      </c>
      <c r="Q10" s="7" t="n">
        <v>33.25</v>
      </c>
      <c r="R10" s="7" t="n">
        <v>32.51</v>
      </c>
      <c r="S10" s="8" t="inlineStr">
        <is>
          <t>giallo</t>
        </is>
      </c>
      <c r="T10" s="7" t="n">
        <v>0.8</v>
      </c>
      <c r="U10" s="7" t="inlineStr">
        <is>
          <t>Si rileva una forte evidenza di interferenza uomo-mezzo (S1) dovuta alla presenza dell'operatore a terra nelle immediate vicinanze del carrello elevatore in manovra. La visibilità nell'area è significativamente ridotta (S2) a causa dell'ostruzione visiva causata dai grandi contenitori metallici arancioni impilati in primo piano, che occludono parzialmente sia l'operatore che il mezzo. Questo posizionamento e la movimentazione di carichi in quota introducono un rischio moderato di instabilità del carico (S5) e di potenziale interferenza con le infrastrutture circostanti (S4).</t>
        </is>
      </c>
      <c r="V10" s="7" t="n">
        <v>0.75</v>
      </c>
      <c r="W10" s="7" t="n">
        <v>0.75</v>
      </c>
      <c r="X10" s="7" t="n">
        <v>0.1109</v>
      </c>
      <c r="Y10" s="7" t="n">
        <v>8.317500000000001</v>
      </c>
      <c r="Z10" s="7" t="n">
        <v>25.02</v>
      </c>
      <c r="AA10" s="7" t="n">
        <v>0.75</v>
      </c>
      <c r="AB10" s="7" t="n">
        <v>0.9415</v>
      </c>
      <c r="AC10" s="7" t="n">
        <v>0.037</v>
      </c>
      <c r="AD10" s="7" t="n">
        <v>3.4835</v>
      </c>
      <c r="AE10" s="7" t="n">
        <v>10.48</v>
      </c>
      <c r="AF10" s="7" t="n">
        <v>0.5</v>
      </c>
      <c r="AG10" s="7" t="n">
        <v>0.8176</v>
      </c>
      <c r="AH10" s="7" t="n">
        <v>0.0549</v>
      </c>
      <c r="AI10" s="7" t="n">
        <v>4.4886</v>
      </c>
      <c r="AJ10" s="7" t="n">
        <v>13.5</v>
      </c>
      <c r="AK10" s="7" t="n">
        <v>0.5</v>
      </c>
      <c r="AL10" s="7" t="n">
        <v>0.7685</v>
      </c>
      <c r="AM10" s="7" t="n">
        <v>0.1538</v>
      </c>
      <c r="AN10" s="7" t="n">
        <v>11.8195</v>
      </c>
      <c r="AO10" s="7" t="n">
        <v>35.55</v>
      </c>
      <c r="AP10" s="7" t="n">
        <v>0.5</v>
      </c>
      <c r="AQ10" s="7" t="n">
        <v>0.1895</v>
      </c>
      <c r="AR10" s="7" t="n">
        <v>0.2228</v>
      </c>
      <c r="AS10" s="7" t="n">
        <v>4.2221</v>
      </c>
      <c r="AT10" s="7" t="n">
        <v>12.7</v>
      </c>
      <c r="AU10" s="7" t="n">
        <v>0</v>
      </c>
      <c r="AV10" s="7" t="n">
        <v>0.0266</v>
      </c>
      <c r="AW10" s="7" t="n">
        <v>0.3447</v>
      </c>
      <c r="AX10" s="7" t="n">
        <v>0.9169</v>
      </c>
      <c r="AY10" s="7" t="n">
        <v>2.76</v>
      </c>
      <c r="AZ10" s="7" t="n">
        <v>0</v>
      </c>
      <c r="BA10" s="7" t="n">
        <v>0</v>
      </c>
      <c r="BB10" s="7" t="n">
        <v>0.0759</v>
      </c>
      <c r="BC10" s="7" t="n">
        <v>0</v>
      </c>
      <c r="BD10" s="7" t="n">
        <v>0</v>
      </c>
    </row>
    <row r="11" ht="34" customHeight="1">
      <c r="A11" s="7" t="n">
        <v>9</v>
      </c>
      <c r="B11" s="7" t="n">
        <v>18</v>
      </c>
      <c r="C11" s="7" t="n">
        <v>22</v>
      </c>
      <c r="D11" s="7" t="n">
        <v>4</v>
      </c>
      <c r="E11" s="7" t="inlineStr">
        <is>
          <t>{"descrizione_scena": "Area di produzione industriale con macchinari pesanti e transito di carrelli elevatori.", "contesto": "Logistica interna e movimentazione materiali in un'officina metalmeccanica.", "persone": [{"ruolo": "Operatore del carrello elevatore", "visibilita": "Parzialmente ostruita dalla struttura del mezzo e dal carico."}, {"ruolo": "Operatore a terra", "posizione": "Seduto alla postazione di lavoro sulla destra", "attivita": "Monitoraggio o lavoro di controllo."}], "macchinari_e_oggetti": {"macchinari": ["Carrello elevatore (muletto)", "Presse industriali sullo sfondo"], "oggetti": ["Tre cassoni metallici arancioni impilati", "Contenitori metallici grigi", "Postazione di lavoro con sedia"]}, "azioni_osservate": "Il carrello elevatore esegue una manovra di svolta e arretramento trasportando una pila di tre cassoni arancioni di grandi dimensioni.", "condizioni_ambientali": {"illuminazione": "Sufficiente, di tipo artificiale.", "segnaletica": "Linee gialle di demarcazione a terra visibili ma parzialmente usurate."}, "limiti_visibilita": "Il carico elevato (tre cassoni impilati) riduce significativamente la visibilità dell'operatore del muletto nella direzione di marcia e di svolta.", "analisi_rischio": {"dinamica_in_corso": "Movimentazione di un carico verticale potenzialmente instabile e ingombrante in prossimità di una postazione di lavoro occupata.", "sviluppi_rischiosi": ["Perdita di stabilità del carico con conseguente caduta dei cassoni arancioni.", "Collisione del muletto o del carico sporgente con la postazione di lavoro dell'operatore seduto a destra a causa della visibilità ridotta."], "fattori_contribuenti": ["Altezza elevata del carico impilato che ostruisce la visuale.", "Prossimità della postazione di lavoro fissa alla zona di transito e manovra del carrello."]}, "dpi": "Non è possibile verificare con certezza l'uso di DPI specifici (es. scarpe antinfortunistiche, protezioni acustiche) a causa della distanza della telecamera."}</t>
        </is>
      </c>
      <c r="F11" s="7" t="n">
        <v>85</v>
      </c>
      <c r="G11" s="7" t="inlineStr">
        <is>
          <t>Il punteggio di 85 riflette un rischio molto elevato dovuto alla movimentazione di un carico instabile e ingombrante (tre cassoni impilati) che ostruisce gravemente la visuale dell'operatore del carrello elevatore durante una manovra di svolta e retromarcia. La presenza di un operatore a terra seduto in una postazione di lavoro adiacente all'area di manovra, combinata con la visibilità ridotta e la potenziale perdita di stabilità del carico, configura un pericolo imminente di collisione o schiacciamento.</t>
        </is>
      </c>
      <c r="H11" s="7" t="n">
        <v>82.42</v>
      </c>
      <c r="I11" s="11" t="inlineStr">
        <is>
          <t>rosso</t>
        </is>
      </c>
      <c r="J11" s="7" t="inlineStr">
        <is>
          <t>{"scene_state": "Interno di un'officina industriale con macchinari e area di transito.", "environmental_conditions": ["Illuminazione artificiale interna", "Pavimentazione industriale con linee di segnaletica gialle"], "people": ["Un operatore seduto a una postazione di lavoro sulla destra"], "objects": ["Pila di contenitori metallici arancioni", "Pallet e scatole su scaffali", "Contenitori metallici grigi e blu"], "machines": ["Carrello elevatore in movimento", "Presse industriali e macchinari di produzione sullo sfondo"], "observable_actions": ["Un carrello elevatore trasporta una pila di grandi contenitori arancioni muovendosi da destra verso il centro dell'inquadratura", "Un operatore rimane seduto alla propria postazione sulla destra"], "visible_ppe": ["Non chiaramente distinguibili a causa della distanza"], "notes_visibility_limitations": "Il carico voluminoso trasportato dal carrello elevatore copre parzialmente la visuale della parte destra della scena durante il transito."}</t>
        </is>
      </c>
      <c r="K11" s="7" t="inlineStr">
        <is>
          <t>{"unsafe_behaviors": ["Movimentazione di un carico voluminoso che limita parzialmente la visibilità dell'operatore del carrello elevatore"], "vulnerable_elements": ["Operatore seduto alla postazione di lavoro sulla destra"], "risk_cues": {"S1_people_vehicle_interference": 0.5, "S2_visibility_attention_reduction": 0.75, "S3_non_compliant_behavior": 0.25, "S4_vehicle_infrastructure_interference": 0.5, "S5_storage_structural_instability": 0.5, "S6_access_to_moving_mechanical_parts": 0.0, "S7_manual_handling_heavy_unstable_loads": 0.0}, "cue_confidence": 0.8, "diagnostic_notes": "Il transito del carrello elevatore con un carico voluminoso di contenitori metallici arancioni riduce la visibilità nell'area di manovra, in particolare verso la destra della scena dove staziona un operatore alla propria postazione. Sebbene vi sia segnaletica orizzontale, la vicinanza tra il mezzo e la postazione di lavoro e la potenziale instabilità del carico impilato generano rischi moderati di interferenza e collisione."}</t>
        </is>
      </c>
      <c r="L11" s="7" t="inlineStr">
        <is>
          <t>{"causal_chain_plausible": true, "causal_chain_text": "La movimentazione di un carico voluminoso riduce la visibilità del carrellista. Durante il transito vicino alla postazione di lavoro, la ridotta visuale e la potenziale instabilità dei contenitori impilati possono causare una collisione o la caduta del carico sull'operatore seduto.", "near_miss_or_incident_scenario": "Il carrello elevatore urta la postazione di lavoro o perde parte del carico metallico instabile, investendo o schiacciando l'operatore seduto nelle immediate vicinanze.", "contributing_factors": ["Visuale del conducente ostruita dal carico voluminoso.", "Vicinanza tra la postazione di lavoro e l'area di transito del mezzo.", "Potenziale instabilità dei contenitori metallici impilati."]}</t>
        </is>
      </c>
      <c r="M11" s="7" t="n">
        <v>65</v>
      </c>
      <c r="N11" s="7" t="inlineStr">
        <is>
          <t>Il punteggio riflette un rischio significativo dovuto alla ridotta visibilità del carrellista causata dal carico voluminoso, unito alla presenza di un operatore seduto vicino alla traiettoria di transito. La potenziale instabilità dei contenitori metallici impilati aumenta la probabilità di collisione o caduta di materiali sulla postazione.</t>
        </is>
      </c>
      <c r="O11" s="7" t="n">
        <v>69.23999999999999</v>
      </c>
      <c r="P11" s="10" t="inlineStr">
        <is>
          <t>arancione</t>
        </is>
      </c>
      <c r="Q11" s="7" t="n">
        <v>27.46</v>
      </c>
      <c r="R11" s="7" t="n">
        <v>29.48</v>
      </c>
      <c r="S11" s="8" t="inlineStr">
        <is>
          <t>giallo</t>
        </is>
      </c>
      <c r="T11" s="7" t="n">
        <v>0.8</v>
      </c>
      <c r="U11" s="7" t="inlineStr">
        <is>
          <t>Il transito del carrello elevatore con un carico voluminoso di contenitori metallici arancioni riduce la visibilità nell'area di manovra, in particolare verso la destra della scena dove staziona un operatore alla propria postazione. Sebbene vi sia segnaletica orizzontale, la vicinanza tra il mezzo e la postazione di lavoro e la potenziale instabilità del carico impilato generano rischi moderati di interferenza e collisione.</t>
        </is>
      </c>
      <c r="V11" s="7" t="n">
        <v>0.5</v>
      </c>
      <c r="W11" s="7" t="n">
        <v>0.5</v>
      </c>
      <c r="X11" s="7" t="n">
        <v>0.1109</v>
      </c>
      <c r="Y11" s="7" t="n">
        <v>5.545</v>
      </c>
      <c r="Z11" s="7" t="n">
        <v>20.19</v>
      </c>
      <c r="AA11" s="7" t="n">
        <v>0.75</v>
      </c>
      <c r="AB11" s="7" t="n">
        <v>0.9415</v>
      </c>
      <c r="AC11" s="7" t="n">
        <v>0.037</v>
      </c>
      <c r="AD11" s="7" t="n">
        <v>3.4835</v>
      </c>
      <c r="AE11" s="7" t="n">
        <v>12.69</v>
      </c>
      <c r="AF11" s="7" t="n">
        <v>0.25</v>
      </c>
      <c r="AG11" s="7" t="n">
        <v>0.2689</v>
      </c>
      <c r="AH11" s="7" t="n">
        <v>0.0549</v>
      </c>
      <c r="AI11" s="7" t="n">
        <v>1.4763</v>
      </c>
      <c r="AJ11" s="7" t="n">
        <v>5.38</v>
      </c>
      <c r="AK11" s="7" t="n">
        <v>0.5</v>
      </c>
      <c r="AL11" s="7" t="n">
        <v>0.7685</v>
      </c>
      <c r="AM11" s="7" t="n">
        <v>0.1538</v>
      </c>
      <c r="AN11" s="7" t="n">
        <v>11.8195</v>
      </c>
      <c r="AO11" s="7" t="n">
        <v>43.04</v>
      </c>
      <c r="AP11" s="7" t="n">
        <v>0.5</v>
      </c>
      <c r="AQ11" s="7" t="n">
        <v>0.1895</v>
      </c>
      <c r="AR11" s="7" t="n">
        <v>0.2228</v>
      </c>
      <c r="AS11" s="7" t="n">
        <v>4.2221</v>
      </c>
      <c r="AT11" s="7" t="n">
        <v>15.38</v>
      </c>
      <c r="AU11" s="7" t="n">
        <v>0</v>
      </c>
      <c r="AV11" s="7" t="n">
        <v>0.0266</v>
      </c>
      <c r="AW11" s="7" t="n">
        <v>0.3447</v>
      </c>
      <c r="AX11" s="7" t="n">
        <v>0.9169</v>
      </c>
      <c r="AY11" s="7" t="n">
        <v>3.34</v>
      </c>
      <c r="AZ11" s="7" t="n">
        <v>0</v>
      </c>
      <c r="BA11" s="7" t="n">
        <v>0</v>
      </c>
      <c r="BB11" s="7" t="n">
        <v>0.0759</v>
      </c>
      <c r="BC11" s="7" t="n">
        <v>0</v>
      </c>
      <c r="BD11" s="7" t="n">
        <v>0</v>
      </c>
    </row>
    <row r="12" ht="34" customHeight="1">
      <c r="A12" s="7" t="n">
        <v>10</v>
      </c>
      <c r="B12" s="7" t="n">
        <v>20</v>
      </c>
      <c r="C12" s="7" t="n">
        <v>24</v>
      </c>
      <c r="D12" s="7" t="n">
        <v>4</v>
      </c>
      <c r="E12" s="7" t="inlineStr">
        <is>
          <t>{"descrizione_generale": "Area di produzione industriale con macchinari pesanti e transito di un carrello elevatore.", "contesto": "Logistica interna e manifattura metallica.", "persone_presenti": [{"ruolo": "Operatore seduto", "posizione": "Postazione di lavoro sulla destra", "dpi": "Non chiaramente identificabili per la distanza"}], "macchinari_e_oggetti": {"macchinari": ["Carrello elevatore in movimento", "Presse industriali verticali"], "oggetti": ["Pila di cassoni metallici arancioni", "Pallet e attrezzature di lavoro"]}, "azioni_osservabili": "Il carrello elevatore trasporta una pila instabile o molto alta di cassoni arancioni vicino a una postazione occupata.", "condizioni_ambientali": {"illuminazione": "Standard industriale", "limiti_visibilita": "La visuale anteriore del carrellista è parzialmente ostruita dall'altezza del carico trasportato."}, "analisi_sicurezza": {"ragionamento_causale": "Il trasporto di carichi che superano l'altezza degli occhi del conducente riduce la visibilità e aumenta il rischio di collisione.", "sviluppi_rischiosi": "Possibile urto contro la postazione di lavoro adiacente o investimento dell'operatore seduto nelle vicinanze.", "fattori_contribuenti": "Altezza del carico e prossimità della traiettoria del carrello alle aree di lavoro fisse."}}</t>
        </is>
      </c>
      <c r="F12" s="7" t="n">
        <v>85</v>
      </c>
      <c r="G12" s="7" t="inlineStr">
        <is>
          <t>Il carrello elevatore trasporta un carico instabile e sufficientemente alto da ostruire la visuale anteriore del conducente, muovendosi in prossimità di una postazione di lavoro occupata da un operatore seduto. La combinazione di visibilità ridotta, instabilità del carico e vicinanza al personale aumenta drasticamente il rischio di collisione o investimento.</t>
        </is>
      </c>
      <c r="H12" s="7" t="n">
        <v>83.97</v>
      </c>
      <c r="I12" s="11" t="inlineStr">
        <is>
          <t>rosso</t>
        </is>
      </c>
      <c r="J12" s="7" t="inlineStr">
        <is>
          <t>{"scene_state": "Interno di un capannone industriale attivo e ben illuminato.", "environmental_conditions": ["Illuminazione artificiale interna", "Pavimentazione industriale con segnaletica gialla"], "people": ["Un operatore seduto a una postazione di lavoro sulla destra"], "objects": ["Pila di contenitori metallici arancioni", "Scatole su scaffali a sinistra", "Pallet metallici"], "machines": ["Carrello elevatore in movimento", "Presse industriali gialle e blu sullo sfondo", "Armadi elettrici"], "observable_actions": ["Un carrello elevatore trasporta e posiziona una pila di contenitori metallici arancioni al centro della scena", "Un operatore lavora seduto alla sua postazione sulla destra"], "visible_ppe": ["Non chiaramente distinguibili a causa della distanza"], "notes_visibility_limitations": "Il carrello elevatore è parzialmente nascosto dal carico di contenitori arancioni che trasporta. L'operatore è visibile solo di spalle."}</t>
        </is>
      </c>
      <c r="K12" s="7" t="inlineStr">
        <is>
          <t>{"unsafe_behaviors": ["Conduzione del carrello elevatore con visibilità anteriore limitata dal carico trasportato"], "vulnerable_elements": ["Operatore seduto alla postazione di lavoro sulla destra", "Infrastrutture e scaffalature nell'area di manovra"], "risk_cues": {"S1_people_vehicle_interference": 0.5, "S2_visibility_attention_reduction": 0.75, "S3_non_compliant_behavior": 0.5, "S4_vehicle_infrastructure_interference": 0.25, "S5_storage_structural_instability": 0.5, "S6_access_to_moving_mechanical_parts": 0.0, "S7_manual_handling_heavy_unstable_loads": 0.0}, "cue_confidence": 0.8, "diagnostic_notes": "La criticità principale risiede nella riduzione della visibilità del carrellista (S2), in quanto il carrello elevatore è parzialmente nascosto dal carico voluminoso di contenitori metallici arancioni che trasporta e posiziona. Questa condizione può configurare un comportamento non conforme (S3) se la manovra non viene eseguita con le dovute cautele (es. marcia indietro). Si rileva una moderata interferenza spaziale (S1) con l'operatore seduto nelle vicinanze e un potenziale rischio di instabilità del carico (S5) durante le fasi di movimentazione e impilamento dei contenitori."}</t>
        </is>
      </c>
      <c r="L12" s="7" t="inlineStr">
        <is>
          <t>{"causal_chain_plausible": true, "causal_chain_text": "La visibilità anteriore del carrellista è ostruita dal carico voluminoso di contenitori metallici. Avanzando con visuale ridotta in prossimità di una postazione occupata, il conducente rischia di non avvedersi della presenza dell'operatore o di ostacoli fissi, portando a un potenziale impatto.", "near_miss_or_incident_scenario": "Il carrello elevatore urta l'operatore seduto alla postazione di lavoro sulla destra o impatta contro le scaffalature limitrofe a causa della cecità visiva anteriore causata dal carico.", "contributing_factors": ["Visibilità anteriore del conducente fortemente limitata dall'altezza dei contenitori arancioni trasportati.", "Presenza di un operatore seduto di spalle e vulnerabile vicino all'area di manovra.", "Movimentazione di carichi ingombranti in un'area di lavoro condivisa senza separazione fisica."]}</t>
        </is>
      </c>
      <c r="M12" s="7" t="n">
        <v>65</v>
      </c>
      <c r="N12" s="7" t="inlineStr">
        <is>
          <t>Il punteggio riflette un rischio significativo dovuto alla movimentazione di un carico voluminoso che ostruisce la visuale anteriore del carrellista in prossimità di un operatore seduto di spalle. Questa ridotta visibilità, unita alla mancanza di barriere fisiche di separazione, aumenta notevolmente la probabilità di un investimento accidentale o di un impatto con le infrastrutture.</t>
        </is>
      </c>
      <c r="O12" s="7" t="n">
        <v>66.7</v>
      </c>
      <c r="P12" s="10" t="inlineStr">
        <is>
          <t>arancione</t>
        </is>
      </c>
      <c r="Q12" s="7" t="n">
        <v>20.84</v>
      </c>
      <c r="R12" s="7" t="n">
        <v>24.3</v>
      </c>
      <c r="S12" s="8" t="inlineStr">
        <is>
          <t>giallo</t>
        </is>
      </c>
      <c r="T12" s="7" t="n">
        <v>0.8</v>
      </c>
      <c r="U12" s="7" t="inlineStr">
        <is>
          <t>La criticità principale risiede nella riduzione della visibilità del carrellista (S2), in quanto il carrello elevatore è parzialmente nascosto dal carico voluminoso di contenitori metallici arancioni che trasporta e posiziona. Questa condizione può configurare un comportamento non conforme (S3) se la manovra non viene eseguita con le dovute cautele (es. marcia indietro). Si rileva una moderata interferenza spaziale (S1) con l'operatore seduto nelle vicinanze e un potenziale rischio di instabilità del carico (S5) durante le fasi di movimentazione e impilamento dei contenitori.</t>
        </is>
      </c>
      <c r="V12" s="7" t="n">
        <v>0.5</v>
      </c>
      <c r="W12" s="7" t="n">
        <v>0.5</v>
      </c>
      <c r="X12" s="7" t="n">
        <v>0.1109</v>
      </c>
      <c r="Y12" s="7" t="n">
        <v>5.545</v>
      </c>
      <c r="Z12" s="7" t="n">
        <v>26.61</v>
      </c>
      <c r="AA12" s="7" t="n">
        <v>0.75</v>
      </c>
      <c r="AB12" s="7" t="n">
        <v>0.9415</v>
      </c>
      <c r="AC12" s="7" t="n">
        <v>0.037</v>
      </c>
      <c r="AD12" s="7" t="n">
        <v>3.4835</v>
      </c>
      <c r="AE12" s="7" t="n">
        <v>16.72</v>
      </c>
      <c r="AF12" s="7" t="n">
        <v>0.5</v>
      </c>
      <c r="AG12" s="7" t="n">
        <v>0.8176</v>
      </c>
      <c r="AH12" s="7" t="n">
        <v>0.0549</v>
      </c>
      <c r="AI12" s="7" t="n">
        <v>4.4886</v>
      </c>
      <c r="AJ12" s="7" t="n">
        <v>21.54</v>
      </c>
      <c r="AK12" s="7" t="n">
        <v>0.25</v>
      </c>
      <c r="AL12" s="7" t="n">
        <v>0.1419</v>
      </c>
      <c r="AM12" s="7" t="n">
        <v>0.1538</v>
      </c>
      <c r="AN12" s="7" t="n">
        <v>2.1824</v>
      </c>
      <c r="AO12" s="7" t="n">
        <v>10.47</v>
      </c>
      <c r="AP12" s="7" t="n">
        <v>0.5</v>
      </c>
      <c r="AQ12" s="7" t="n">
        <v>0.1895</v>
      </c>
      <c r="AR12" s="7" t="n">
        <v>0.2228</v>
      </c>
      <c r="AS12" s="7" t="n">
        <v>4.2221</v>
      </c>
      <c r="AT12" s="7" t="n">
        <v>20.26</v>
      </c>
      <c r="AU12" s="7" t="n">
        <v>0</v>
      </c>
      <c r="AV12" s="7" t="n">
        <v>0.0266</v>
      </c>
      <c r="AW12" s="7" t="n">
        <v>0.3447</v>
      </c>
      <c r="AX12" s="7" t="n">
        <v>0.9169</v>
      </c>
      <c r="AY12" s="7" t="n">
        <v>4.4</v>
      </c>
      <c r="AZ12" s="7" t="n">
        <v>0</v>
      </c>
      <c r="BA12" s="7" t="n">
        <v>0</v>
      </c>
      <c r="BB12" s="7" t="n">
        <v>0.0759</v>
      </c>
      <c r="BC12" s="7" t="n">
        <v>0</v>
      </c>
      <c r="BD12" s="7" t="n">
        <v>0</v>
      </c>
    </row>
    <row r="13" ht="34" customHeight="1">
      <c r="A13" s="7" t="n">
        <v>11</v>
      </c>
      <c r="B13" s="7" t="n">
        <v>22</v>
      </c>
      <c r="C13" s="7" t="n">
        <v>26</v>
      </c>
      <c r="D13" s="7" t="n">
        <v>4</v>
      </c>
      <c r="E13" s="7" t="inlineStr">
        <is>
          <t>{"analisi_scena": {"contesto": "Stabilimento industriale con macchinari per stampaggio o lavorazione metalli.", "descrizione_generale": "Movimentazione di carichi tramite carrello elevatore in un'area di produzione attiva."}, "elementi_rilevati": {"persone": [{"ruolo": "Operatore seduto", "posizione": "Postazione di lavoro sulla destra", "dpi_visibili": "Non chiaramente identificabili a causa della distanza"}], "macchinari_e_oggetti": [{"tipo": "Carrello elevatore", "stato": "In movimento, parzialmente occultato dal carico"}, {"tipo": "Contenitori metallici arancioni", "stato": "Impilati in tre unità, trasportati dal carrello"}, {"tipo": "Presse industriali", "stato": "Sullo sfondo, statiche o in funzione"}]}, "dinamiche_e_rischi": {"azioni_osservate": "Il carrello elevatore sposta una pila di tre cassoni arancioni procedendo in avanti.", "limiti_visibilita": "L'altezza del carico ostruisce quasi completamente la visuale anteriore del conducente e occulta il mezzo stesso.", "fattori_contribuenti": "Layout di fabbrica complesso con spazi di manovra ridotti e presenza di personale nelle vicinanze.", "sviluppi_rischiosi": "Rischio moderato di collisione (valutazione compressa: 4/10) con ostacoli o con l'operatore seduto a destra a causa della visibilità ridotta del conducente."}}</t>
        </is>
      </c>
      <c r="F13" s="7" t="n">
        <v>55</v>
      </c>
      <c r="G13" s="7" t="inlineStr">
        <is>
          <t>Il carrello elevatore procede in avanti nonostante il carico di tre cassoni metallici ostruisca quasi completamente la visuale anteriore del conducente. Questa condotta, contraria alle norme di sicurezza che impongono la guida in retromarcia in caso di visibilità ridotta, aumenta significativamente il rischio di collisione con l'operatore presente sulla destra e con le strutture circostanti in un'area di manovra ristretta.</t>
        </is>
      </c>
      <c r="H13" s="7" t="n">
        <v>66.59</v>
      </c>
      <c r="I13" s="10" t="inlineStr">
        <is>
          <t>arancione</t>
        </is>
      </c>
      <c r="J13" s="7" t="inlineStr">
        <is>
          <t>{"scene_state": "Interno di un'officina meccanica industriale con macchinari di produzione e aree di stoccaggio.", "environmental_conditions": ["Illuminazione interna artificiale", "Pavimentazione industriale in cemento"], "people": ["Un operatore seduto presso una postazione di lavoro sul lato destro"], "objects": ["Tre grandi contenitori metallici arancioni impilati", "Scatole e componenti su scaffalature a sinistra", "Contenitori metallici di vari colori (blu, grigi)"], "machines": ["Carrello elevatore (in movimento)", "Grandi presse industriali (gialle e blu)", "Attrezzature di produzione"], "observable_actions": ["Un carrello elevatore trasporta una pila di tre contenitori metallici arancioni, muovendosi all'interno dell'officina."], "visible_ppe": ["Non chiaramente distinguibili sull'operatore seduto a causa della distanza"], "notes_visibility_limitations": "Il carrello elevatore è in gran parte coperto alla vista dal carico voluminoso di contenitori arancioni che sta movimentando."}</t>
        </is>
      </c>
      <c r="K13" s="7" t="inlineStr">
        <is>
          <t>{"unsafe_behaviors": ["Conduzione del carrello elevatore con visibilità anteriore ostruita dal carico voluminoso"], "vulnerable_elements": ["Operatore seduto alla postazione di lavoro", "Infrastrutture e macchinari dell'officina"], "risk_cues": {"S1_people_vehicle_interference": 0.75, "S2_visibility_attention_reduction": 1.0, "S3_non_compliant_behavior": 0.75, "S4_vehicle_infrastructure_interference": 0.5, "S5_storage_structural_instability": 0.5, "S6_access_to_moving_mechanical_parts": 0.0, "S7_manual_handling_heavy_unstable_loads": 0.0}, "cue_confidence": 0.85, "diagnostic_notes": "La movimentazione di tre contenitori metallici impilati ostruisce gravemente la visibilità anteriore del conducente del carrello elevatore (S2), generando un rischio elevato di interferenza con l'operatore presente (S1) e con le infrastrutture (S4). Tale modalità di trasporto rappresenta un comportamento non conforme (S3) in quanto riduce la sicurezza di manovra."}</t>
        </is>
      </c>
      <c r="L13" s="7" t="inlineStr">
        <is>
          <t>{"causal_chain_plausible": true, "causal_chain_text": "Il trasporto di tre contenitori metallici impilati ostruisce completamente la visuale anteriore del conducente del carrello elevatore. Muovendosi senza visibilità lungo il percorso dell'officina, il conducente non è in grado di percepire la presenza dell'operatore seduto alla postazione o degli ostacoli strutturali, portando a una collisione imminente.", "near_miss_or_incident_scenario": "Il carrello elevatore investe l'operatore seduto alla postazione di lavoro sul lato destro o collide violentemente con le presse industriali a causa della totale mancanza di visibilità anteriore.", "contributing_factors": ["Ostruzione della visibilità anteriore del conducente causata dall'altezza del carico trasportato", "Presenza di un operatore seduto in prossimità dell'area di manovra del carrello elevatore", "Mancato utilizzo della marcia indietro per la movimentazione di carichi che limitano la visuale"]}</t>
        </is>
      </c>
      <c r="M13" s="7" t="n">
        <v>85</v>
      </c>
      <c r="N13" s="7" t="inlineStr">
        <is>
          <t>La movimentazione di un carico voluminoso che ostruisce completamente la visibilità anteriore del conducente espone l'operatore presente a un rischio imminente di investimento. Questa condotta non conforme richiede l'arresto immediato del mezzo o la conduzione in retromarcia per prevenire gravi incidenti.</t>
        </is>
      </c>
      <c r="O13" s="7" t="n">
        <v>82.68000000000001</v>
      </c>
      <c r="P13" s="11" t="inlineStr">
        <is>
          <t>rosso</t>
        </is>
      </c>
      <c r="Q13" s="7" t="n">
        <v>34.37</v>
      </c>
      <c r="R13" s="7" t="n">
        <v>33.72</v>
      </c>
      <c r="S13" s="8" t="inlineStr">
        <is>
          <t>giallo</t>
        </is>
      </c>
      <c r="T13" s="7" t="n">
        <v>0.85</v>
      </c>
      <c r="U13" s="7" t="inlineStr">
        <is>
          <t>La movimentazione di tre contenitori metallici impilati ostruisce gravemente la visibilità anteriore del conducente del carrello elevatore (S2), generando un rischio elevato di interferenza con l'operatore presente (S1) e con le infrastrutture (S4). Tale modalità di trasporto rappresenta un comportamento non conforme (S3) in quanto riduce la sicurezza di manovra.</t>
        </is>
      </c>
      <c r="V13" s="7" t="n">
        <v>0.75</v>
      </c>
      <c r="W13" s="7" t="n">
        <v>0.75</v>
      </c>
      <c r="X13" s="7" t="n">
        <v>0.1109</v>
      </c>
      <c r="Y13" s="7" t="n">
        <v>8.317500000000001</v>
      </c>
      <c r="Z13" s="7" t="n">
        <v>24.2</v>
      </c>
      <c r="AA13" s="7" t="n">
        <v>1</v>
      </c>
      <c r="AB13" s="7" t="n">
        <v>1</v>
      </c>
      <c r="AC13" s="7" t="n">
        <v>0.037</v>
      </c>
      <c r="AD13" s="7" t="n">
        <v>3.7</v>
      </c>
      <c r="AE13" s="7" t="n">
        <v>10.77</v>
      </c>
      <c r="AF13" s="7" t="n">
        <v>0.75</v>
      </c>
      <c r="AG13" s="7" t="n">
        <v>0.982</v>
      </c>
      <c r="AH13" s="7" t="n">
        <v>0.0549</v>
      </c>
      <c r="AI13" s="7" t="n">
        <v>5.3912</v>
      </c>
      <c r="AJ13" s="7" t="n">
        <v>15.69</v>
      </c>
      <c r="AK13" s="7" t="n">
        <v>0.5</v>
      </c>
      <c r="AL13" s="7" t="n">
        <v>0.7685</v>
      </c>
      <c r="AM13" s="7" t="n">
        <v>0.1538</v>
      </c>
      <c r="AN13" s="7" t="n">
        <v>11.8195</v>
      </c>
      <c r="AO13" s="7" t="n">
        <v>34.39</v>
      </c>
      <c r="AP13" s="7" t="n">
        <v>0.5</v>
      </c>
      <c r="AQ13" s="7" t="n">
        <v>0.1895</v>
      </c>
      <c r="AR13" s="7" t="n">
        <v>0.2228</v>
      </c>
      <c r="AS13" s="7" t="n">
        <v>4.2221</v>
      </c>
      <c r="AT13" s="7" t="n">
        <v>12.28</v>
      </c>
      <c r="AU13" s="7" t="n">
        <v>0</v>
      </c>
      <c r="AV13" s="7" t="n">
        <v>0.0266</v>
      </c>
      <c r="AW13" s="7" t="n">
        <v>0.3447</v>
      </c>
      <c r="AX13" s="7" t="n">
        <v>0.9169</v>
      </c>
      <c r="AY13" s="7" t="n">
        <v>2.67</v>
      </c>
      <c r="AZ13" s="7" t="n">
        <v>0</v>
      </c>
      <c r="BA13" s="7" t="n">
        <v>0</v>
      </c>
      <c r="BB13" s="7" t="n">
        <v>0.0759</v>
      </c>
      <c r="BC13" s="7" t="n">
        <v>0</v>
      </c>
      <c r="BD13" s="7" t="n">
        <v>0</v>
      </c>
    </row>
    <row r="14" ht="34" customHeight="1">
      <c r="A14" s="7" t="n">
        <v>12</v>
      </c>
      <c r="B14" s="7" t="n">
        <v>24</v>
      </c>
      <c r="C14" s="7" t="n">
        <v>28</v>
      </c>
      <c r="D14" s="7" t="n">
        <v>4</v>
      </c>
      <c r="E14" s="7" t="inlineStr">
        <is>
          <t>{"analisi_temporale": {"inizio_s": 24.0, "fine_s": 28.0, "durata_s": 4.0}, "scena_e_contesto": {"descrizione_generale": "Area di transito e lavorazione all'interno di uno stabilimento industriale.", "contesto": "Reparto produttivo metalmeccanico con presenza di macchinari e stoccaggio materiali."}, "soggetti_e_oggetti": {"persone": [{"ruolo": "Operatore alla postazione", "posizione": "Seduto sul lato destro dello schermo", "dpi": "Indumenti da lavoro scuri; altri DPI non sono chiaramente distinguibili a causa della distanza."}], "macchinari": ["Carrello elevatore cabinato", "Presse industriali e postazioni di lavoro fisse"], "oggetti": ["Tre contenitori metallici arancioni impilati", "Pallet e scaffalature metalliche"]}, "dinamica_e_azioni": {"azione_principale": "Il carrello elevatore movimenta la pila di tre cassoni arancioni effettuando una manovra di svolta.", "condizioni_ambientali": "Illuminazione artificiale interna standard, pavimentazione piana con segnaletica orizzontale gialla."}, "analisi_sicurezza": {"limiti_visibilita": "L'altezza dei tre cassoni impilati riduce significativamente la visibilità anteriore dell'operatore del carrello elevatore.", "fattori_contribuenti": "Presenza di un operatore seduto nelle immediate vicinanze della traiettoria di manovra del mezzo.", "sviluppi_rischiosi_plausibili": "Possibile perdita di stabilità del carico alto durante la svolta o collisione accidentale con la postazione adiacente a causa della visibilità limitata.", "livello_rischio_stimato": "Moderato (valutazione compressa: 3 su 5)"}}</t>
        </is>
      </c>
      <c r="F14" s="7" t="n">
        <v>60</v>
      </c>
      <c r="G14" s="7" t="inlineStr">
        <is>
          <t>Il punteggio di 60 riflette un rischio moderato-alto. La movimentazione di tre cassoni metallici impilati riduce drasticamente la visibilità anteriore del carrellista durante una manovra di svolta. La presenza di un operatore seduto nelle immediate vicinanze della traiettoria aumenta il rischio di collisione o di investimento in caso di perdita di stabilità del carico.</t>
        </is>
      </c>
      <c r="H14" s="7" t="n">
        <v>63.89</v>
      </c>
      <c r="I14" s="10" t="inlineStr">
        <is>
          <t>arancione</t>
        </is>
      </c>
      <c r="J14" s="7" t="inlineStr">
        <is>
          <t>{"scene_state": "Ambiente industriale attivo con macchinari e transito di carrelli elevatori.", "environmental_conditions": ["Illuminazione interna artificiale", "Pavimentazione industriale con segnaletica orizzontale gialla"], "people": ["Un operatore seduto a una postazione di lavoro sulla destra", "Un operatore alla guida del carrello elevatore"], "objects": ["Contenitori metallici arancioni impilati", "Scatole di cartone su scaffali", "Pallet e attrezzature varie"], "machines": ["Carrello elevatore in movimento", "Presse industriali e macchinari di produzione sullo sfondo"], "observable_actions": ["Il carrello elevatore si sposta trasportando tre contenitori metallici arancioni impilati", "L'operatore sulla destra rimane seduto svolgendo attività alla sua postazione"], "visible_ppe": ["Non chiaramente identificabili a causa della distanza"], "notes_visibility_limitations": "La distanza della telecamera e l'inquadratura dall'alto limitano la visibilità dei dettagli sui DPI e sui volti degli operatori."}</t>
        </is>
      </c>
      <c r="K14" s="7" t="inlineStr">
        <is>
          <t>{"unsafe_behaviors": ["Trasporto di un carico elevato (tre contenitori metallici impilati) che può limitare significativamente la visibilità anteriore del conducente del carrello elevatore."], "vulnerable_elements": ["Operatore alla guida del carrello elevatore", "Operatore seduto alla postazione di lavoro sulla destra"], "risk_cues": {"S1_people_vehicle_interference": 0.25, "S2_visibility_attention_reduction": 0.75, "S3_non_compliant_behavior": 0.5, "S4_vehicle_infrastructure_interference": 0.25, "S5_storage_structural_instability": 0.5, "S6_access_to_moving_mechanical_parts": 0.0, "S7_manual_handling_heavy_unstable_loads": 0.0}, "cue_confidence": 0.8, "diagnostic_notes": "Il trasporto di tre contenitori metallici impilati sul carrello elevatore rappresenta un rischio concreto di riduzione della visibilità anteriore per il conducente (S2) e di potenziale instabilità del carico durante il movimento (S5). Sebbene l'operatore sulla destra sia seduto alla sua postazione, la condivisione dello spazio operativo con un mezzo in movimento e con visibilità potenzialmente ridotta configura un rischio di interferenza (S1). La distanza della telecamera limita la valutazione dettagliata dei DPI."}</t>
        </is>
      </c>
      <c r="L14" s="7" t="inlineStr">
        <is>
          <t>{"causal_chain_plausible": true, "causal_chain_text": "Il trasporto di tre contenitori metallici impilati riduce la visibilità anteriore del conducente. Procedendo in avanti con la visuale ostruita, il conducente rischia di non vedere l'operatore seduto alla postazione di lavoro o eventuali ostacoli, con conseguente rischio di investimento o collisione.", "near_miss_or_incident_scenario": "Investimento dell'operatore alla postazione di destra o collisione con le strutture a causa della visibilità ridotta del conducente del carrello elevatore.", "contributing_factors": ["Carico eccessivamente alto che ostruisce la visuale anteriore", "Presenza di operatori a terra nelle vicinanze della traiettoria del mezzo", "Potenziale instabilità del carico composto da tre contenitori impilati"]}</t>
        </is>
      </c>
      <c r="M14" s="7" t="n">
        <v>60</v>
      </c>
      <c r="N14" s="7" t="inlineStr">
        <is>
          <t>Il trasporto di tre contenitori metallici impilati riduce significativamente la visibilità anteriore del conducente, aumentando il rischio di collisione con l'operatore presente nell'area. Inoltre, l'altezza del carico elevato comporta un potenziale pericolo di instabilità e caduta dei materiali durante il transito.</t>
        </is>
      </c>
      <c r="O14" s="7" t="n">
        <v>69.06999999999999</v>
      </c>
      <c r="P14" s="10" t="inlineStr">
        <is>
          <t>arancione</t>
        </is>
      </c>
      <c r="Q14" s="7" t="n">
        <v>18.07</v>
      </c>
      <c r="R14" s="7" t="n">
        <v>24.33</v>
      </c>
      <c r="S14" s="8" t="inlineStr">
        <is>
          <t>giallo</t>
        </is>
      </c>
      <c r="T14" s="7" t="n">
        <v>0.8</v>
      </c>
      <c r="U14" s="7" t="inlineStr">
        <is>
          <t>Il trasporto di tre contenitori metallici impilati sul carrello elevatore rappresenta un rischio concreto di riduzione della visibilità anteriore per il conducente (S2) e di potenziale instabilità del carico durante il movimento (S5). Sebbene l'operatore sulla destra sia seduto alla sua postazione, la condivisione dello spazio operativo con un mezzo in movimento e con visibilità potenzialmente ridotta configura un rischio di interferenza (S1). La distanza della telecamera limita la valutazione dettagliata dei DPI.</t>
        </is>
      </c>
      <c r="V14" s="7" t="n">
        <v>0.25</v>
      </c>
      <c r="W14" s="7" t="n">
        <v>0.25</v>
      </c>
      <c r="X14" s="7" t="n">
        <v>0.1109</v>
      </c>
      <c r="Y14" s="7" t="n">
        <v>2.7725</v>
      </c>
      <c r="Z14" s="7" t="n">
        <v>15.34</v>
      </c>
      <c r="AA14" s="7" t="n">
        <v>0.75</v>
      </c>
      <c r="AB14" s="7" t="n">
        <v>0.9415</v>
      </c>
      <c r="AC14" s="7" t="n">
        <v>0.037</v>
      </c>
      <c r="AD14" s="7" t="n">
        <v>3.4835</v>
      </c>
      <c r="AE14" s="7" t="n">
        <v>19.28</v>
      </c>
      <c r="AF14" s="7" t="n">
        <v>0.5</v>
      </c>
      <c r="AG14" s="7" t="n">
        <v>0.8176</v>
      </c>
      <c r="AH14" s="7" t="n">
        <v>0.0549</v>
      </c>
      <c r="AI14" s="7" t="n">
        <v>4.4886</v>
      </c>
      <c r="AJ14" s="7" t="n">
        <v>24.84</v>
      </c>
      <c r="AK14" s="7" t="n">
        <v>0.25</v>
      </c>
      <c r="AL14" s="7" t="n">
        <v>0.1419</v>
      </c>
      <c r="AM14" s="7" t="n">
        <v>0.1538</v>
      </c>
      <c r="AN14" s="7" t="n">
        <v>2.1824</v>
      </c>
      <c r="AO14" s="7" t="n">
        <v>12.08</v>
      </c>
      <c r="AP14" s="7" t="n">
        <v>0.5</v>
      </c>
      <c r="AQ14" s="7" t="n">
        <v>0.1895</v>
      </c>
      <c r="AR14" s="7" t="n">
        <v>0.2228</v>
      </c>
      <c r="AS14" s="7" t="n">
        <v>4.2221</v>
      </c>
      <c r="AT14" s="7" t="n">
        <v>23.37</v>
      </c>
      <c r="AU14" s="7" t="n">
        <v>0</v>
      </c>
      <c r="AV14" s="7" t="n">
        <v>0.0266</v>
      </c>
      <c r="AW14" s="7" t="n">
        <v>0.3447</v>
      </c>
      <c r="AX14" s="7" t="n">
        <v>0.9169</v>
      </c>
      <c r="AY14" s="7" t="n">
        <v>5.07</v>
      </c>
      <c r="AZ14" s="7" t="n">
        <v>0</v>
      </c>
      <c r="BA14" s="7" t="n">
        <v>0</v>
      </c>
      <c r="BB14" s="7" t="n">
        <v>0.0759</v>
      </c>
      <c r="BC14" s="7" t="n">
        <v>0</v>
      </c>
      <c r="BD14" s="7" t="n">
        <v>0</v>
      </c>
    </row>
    <row r="15" ht="34" customHeight="1">
      <c r="A15" s="7" t="n">
        <v>13</v>
      </c>
      <c r="B15" s="7" t="n">
        <v>26</v>
      </c>
      <c r="C15" s="7" t="n">
        <v>30</v>
      </c>
      <c r="D15" s="7" t="n">
        <v>4</v>
      </c>
      <c r="E15" s="7" t="inlineStr">
        <is>
          <t>{"analisi_scena": {"contesto": "Stabilimento industriale con macchinari pesanti e linee di transito segnate sul pavimento.", "condizioni_ambientali": "Illuminazione interna artificiale sufficiente, pavimentazione piana con segnaletica orizzontale parzialmente usurata."}, "elementi_rilevati": {"macchinari": ["Carrello elevatore in movimento", "Presse industriali verticali (gialle e blu)", "Attrezzature di produzione fisse"], "persone": ["Operatore seduto alla postazione di lavoro sulla destra", "Pedone con giacca rossa che cammina sullo sfondo (secondi finali)"], "oggetti": ["Tre cassoni metallici arancioni impilati trasportati dal carrello", "Pallet e contenitori di stoccaggio"], "dpi": "Presenza di abbigliamento da lavoro standard; la distanza impedisce di verificare l'uso di piccoli DPI (es. tappi, occhiali)."}, "dinamica_e_rischi": {"azioni_osservate": "Il carrello elevatore trasporta un carico elevato di cassoni arancioni, muovendosi verso sinistra fino a uscire dal campo visivo.", "limiti_visibilita": "Il carico impilato sul carrello limita significativamente la visuale anteriore dell'operatore alla guida.", "ragionamento_prudenziale": "La movimentazione di carichi alti che ostruiscono la visuale richiede estrema cautela o la guida in retromarcia per evitare collisioni.", "sviluppi_rischiosi": "Rischio moderato di investimento di pedoni o collisione con ostacoli fissi a causa della visibilità ridotta del conducente durante il trasporto del carico impilato."}}</t>
        </is>
      </c>
      <c r="F15" s="7" t="n">
        <v>70</v>
      </c>
      <c r="G15" s="7" t="inlineStr">
        <is>
          <t>Il carrello elevatore trasporta un carico di cassoni metallici impilati che ostruisce significativamente la visuale anteriore del conducente. Sebbene non vi sia una collisione imminente, la presenza di pedoni e operatori nell'area, unita alla mancata guida in retromarcia per compensare la perdita di visibilità, rappresenta un rischio elevato di investimento o collisione.</t>
        </is>
      </c>
      <c r="H15" s="7" t="n">
        <v>70.06</v>
      </c>
      <c r="I15" s="10" t="inlineStr">
        <is>
          <t>arancione</t>
        </is>
      </c>
      <c r="J15" s="7" t="inlineStr">
        <is>
          <t>{"scene_state": "Interno di un'officina meccanica industriale con macchinari di stampaggio e corsie di transito.", "environmental_conditions": ["Illuminazione interna artificiale", "Pavimentazione industriale grigia con linee di demarcazione gialle"], "people": ["Un operatore seduto davanti a una postazione di lavoro sulla destra", "Un pedone con giacca rossa che cammina sullo sfondo a destra", "Un operatore alla guida del carrello elevatore"], "objects": ["Cassoni metallici arancioni impilati", "Scatole di cartone su scaffalature a sinistra", "Contenitori e fusti metallici blu"], "machines": ["Carrello elevatore cabinato", "Grandi presse industriali verticali (colori giallo, blu e grigio)"], "observable_actions": ["Il carrello elevatore trasporta tre cassoni arancioni impilati muovendosi in retromarcia e svoltando verso sinistra", "Il pedone sullo sfondo cammina da destra verso sinistra"], "visible_ppe": ["Non identificabili con precisione a causa della distanza della telecamera"], "notes_visibility_limitations": "La visuale dall'alto e la distanza riducono la visibilità dei dettagli sui volti e sui dispositivi di protezione individuale."}</t>
        </is>
      </c>
      <c r="K15" s="7" t="inlineStr">
        <is>
          <t>{"unsafe_behaviors": ["Manovra di retromarcia e svolta con tre cassoni metallici impilati, che limita la visibilità del conducente e aumenta il rischio di instabilità del carico."], "vulnerable_elements": ["Pedone che cammina sullo sfondo", "Operatore seduto alla postazione di lavoro sulla destra"], "risk_cues": {"S1_people_vehicle_interference": 0.5, "S2_visibility_attention_reduction": 0.75, "S3_non_compliant_behavior": 0.25, "S4_vehicle_infrastructure_interference": 0.5, "S5_storage_structural_instability": 0.5, "S6_access_to_moving_mechanical_parts": 0.0, "S7_manual_handling_heavy_unstable_loads": 0.0}, "cue_confidence": 0.8, "diagnostic_notes": "La manovra del carrello elevatore in retromarcia con svolta, trasportando tre cassoni impilati, evidenzia un rischio significativo di visibilità ridotta (S2) e potenziale instabilità del carico (S5). La compresenza di un pedone e di un operatore seduto nelle vicinanze configura un rischio moderato di interferenza uomo-mezzo (S1), sebbene parzialmente regolato dalle linee di demarcazione a terra."}</t>
        </is>
      </c>
      <c r="L15" s="7" t="inlineStr">
        <is>
          <t>{"causal_chain_plausible": true, "causal_chain_text": "Il trasporto di tre cassoni impilati riduce la visibilità del conducente durante la retromarcia e la svolta. L'instabilità del carico, unita alle forze dinamiche della manovra, può causare la caduta dei cassoni o la perdita di controllo del carrello, interferendo con il pedone o l'operatore vicino.", "near_miss_or_incident_scenario": "Caduta del carico instabile (cassoni arancioni) durante la svolta in retromarcia, con rischio di investimento o schiacciamento del pedone o dell'operatore alla postazione.", "contributing_factors": ["Altezza e instabilità del carico dovuto all'impilamento di tre cassoni", "Esecuzione di una manovra complessa (retromarcia con svolta) con visibilità ridotta", "Presenza di personale a piedi e seduto nelle immediate vicinanze dell'area di manovra"]}</t>
        </is>
      </c>
      <c r="M15" s="7" t="n">
        <v>65</v>
      </c>
      <c r="N15" s="7" t="inlineStr">
        <is>
          <t>Il punteggio riflette un rischio significativo dovuto alla movimentazione di tre cassoni impilati in retromarcia e svolta, che riduce drasticamente la visibilità e aumenta l'instabilità del carico. La presenza di un pedone e di un operatore nelle vicinanze aggrava il potenziale impatto in caso di caduta del carico o collisione.</t>
        </is>
      </c>
      <c r="O15" s="7" t="n">
        <v>67.88</v>
      </c>
      <c r="P15" s="10" t="inlineStr">
        <is>
          <t>arancione</t>
        </is>
      </c>
      <c r="Q15" s="7" t="n">
        <v>27.46</v>
      </c>
      <c r="R15" s="7" t="n">
        <v>28.56</v>
      </c>
      <c r="S15" s="8" t="inlineStr">
        <is>
          <t>giallo</t>
        </is>
      </c>
      <c r="T15" s="7" t="n">
        <v>0.8</v>
      </c>
      <c r="U15" s="7" t="inlineStr">
        <is>
          <t>La manovra del carrello elevatore in retromarcia con svolta, trasportando tre cassoni impilati, evidenzia un rischio significativo di visibilità ridotta (S2) e potenziale instabilità del carico (S5). La compresenza di un pedone e di un operatore seduto nelle vicinanze configura un rischio moderato di interferenza uomo-mezzo (S1), sebbene parzialmente regolato dalle linee di demarcazione a terra.</t>
        </is>
      </c>
      <c r="V15" s="7" t="n">
        <v>0.5</v>
      </c>
      <c r="W15" s="7" t="n">
        <v>0.5</v>
      </c>
      <c r="X15" s="7" t="n">
        <v>0.1109</v>
      </c>
      <c r="Y15" s="7" t="n">
        <v>5.545</v>
      </c>
      <c r="Z15" s="7" t="n">
        <v>20.19</v>
      </c>
      <c r="AA15" s="7" t="n">
        <v>0.75</v>
      </c>
      <c r="AB15" s="7" t="n">
        <v>0.9415</v>
      </c>
      <c r="AC15" s="7" t="n">
        <v>0.037</v>
      </c>
      <c r="AD15" s="7" t="n">
        <v>3.4835</v>
      </c>
      <c r="AE15" s="7" t="n">
        <v>12.69</v>
      </c>
      <c r="AF15" s="7" t="n">
        <v>0.25</v>
      </c>
      <c r="AG15" s="7" t="n">
        <v>0.2689</v>
      </c>
      <c r="AH15" s="7" t="n">
        <v>0.0549</v>
      </c>
      <c r="AI15" s="7" t="n">
        <v>1.4763</v>
      </c>
      <c r="AJ15" s="7" t="n">
        <v>5.38</v>
      </c>
      <c r="AK15" s="7" t="n">
        <v>0.5</v>
      </c>
      <c r="AL15" s="7" t="n">
        <v>0.7685</v>
      </c>
      <c r="AM15" s="7" t="n">
        <v>0.1538</v>
      </c>
      <c r="AN15" s="7" t="n">
        <v>11.8195</v>
      </c>
      <c r="AO15" s="7" t="n">
        <v>43.04</v>
      </c>
      <c r="AP15" s="7" t="n">
        <v>0.5</v>
      </c>
      <c r="AQ15" s="7" t="n">
        <v>0.1895</v>
      </c>
      <c r="AR15" s="7" t="n">
        <v>0.2228</v>
      </c>
      <c r="AS15" s="7" t="n">
        <v>4.2221</v>
      </c>
      <c r="AT15" s="7" t="n">
        <v>15.38</v>
      </c>
      <c r="AU15" s="7" t="n">
        <v>0</v>
      </c>
      <c r="AV15" s="7" t="n">
        <v>0.0266</v>
      </c>
      <c r="AW15" s="7" t="n">
        <v>0.3447</v>
      </c>
      <c r="AX15" s="7" t="n">
        <v>0.9169</v>
      </c>
      <c r="AY15" s="7" t="n">
        <v>3.34</v>
      </c>
      <c r="AZ15" s="7" t="n">
        <v>0</v>
      </c>
      <c r="BA15" s="7" t="n">
        <v>0</v>
      </c>
      <c r="BB15" s="7" t="n">
        <v>0.0759</v>
      </c>
      <c r="BC15" s="7" t="n">
        <v>0</v>
      </c>
      <c r="BD15" s="7" t="n">
        <v>0</v>
      </c>
    </row>
    <row r="16" ht="34" customHeight="1">
      <c r="A16" s="7" t="n">
        <v>14</v>
      </c>
      <c r="B16" s="7" t="n">
        <v>28</v>
      </c>
      <c r="C16" s="7" t="n">
        <v>32</v>
      </c>
      <c r="D16" s="7" t="n">
        <v>4</v>
      </c>
      <c r="E16" s="7" t="inlineStr">
        <is>
          <t>{"metadati": {"intervallo_temporale": "28.0s - 32.0s", "durata": "4.0s"}, "scena_e_contesto": {"descrizione": "Interno di uno stabilimento industriale metalmeccanico con presse e attrezzature per la lavorazione della lamiera.", "condizioni_ambientali": "Illuminazione artificiale uniforme, pavimentazione con segni di usura e linee di demarcazione parzialmente visibili."}, "soggetti_e_attivita": {"operatore_destra": "Seduto davanti a una pressa industriale, apparentemente intento a monitorare o eseguire lavorazioni.", "pedone_sfondo": "Soggetto con giacca rossa che cammina nell'area di transito sullo sfondo."}, "elementi_rilevati": {"macchinari": "Presse verticali di grandi dimensioni (gialle e blu), sistemi di stoccaggio e carrelli.", "oggetti": "Contenitori metallici, pallet, bobine e attrezzature varie disposte nell'area di lavoro."}, "analisi_sicurezza": {"dpi_osservabili": "Non è possibile confermare con certezza l'uso di DPI specifici (es. scarpe di sicurezza, tappi) a causa della distanza e della risoluzione.", "limiti_visivi": "La distanza della telecamera crea occlusioni parziali e limita la valutazione dettagliata delle azioni dei soggetti.", "dinamiche_rischio": "Il transito di pedoni vicino a zone di lavoro attivo comporta rischi di interferenza. La presenza di materiali a terra richiede attenzione per evitare inciampi."}}</t>
        </is>
      </c>
      <c r="F16" s="7" t="n">
        <v>35</v>
      </c>
      <c r="G16" s="7" t="inlineStr">
        <is>
          <t>Il punteggio di 35 indica un rischio moderato. Non si registrano pericoli imminenti o comportamenti palesemente non sicuri, tuttavia la presenza di un pedone in transito vicino a zone di lavoro attivo e la segnalazione di materiali a terra (potenziale rischio inciampo) richiedono vigilanza. L'impossibilità di verificare i DPI a causa della distanza aggiunge un lieve fattore di incertezza.</t>
        </is>
      </c>
      <c r="H16" s="7" t="n">
        <v>49.02</v>
      </c>
      <c r="I16" s="10" t="inlineStr">
        <is>
          <t>arancione</t>
        </is>
      </c>
      <c r="J16" s="7" t="inlineStr">
        <is>
          <t>{"scene_state": "Interno di un'officina industriale con macchinari pesanti, aree di stoccaggio e corsie di transito.", "environmental_conditions": ["Illuminazione artificiale interna", "Pavimentazione industriale in cemento con segnaletica gialla"], "people": ["Un operatore seduto davanti a una postazione di lavoro sulla destra", "Una persona con giacca rossa che cammina sullo sfondo a destra"], "objects": ["Contenitori metallici", "Scaffalature arancioni", "Carrelli", "Pallet e materiali di produzione"], "machines": ["Grandi presse industriali (gialle, blu e grigie)"], "observable_actions": ["L'operatore seduto esegue attività alla postazione", "La persona sullo sfondo cammina nell'area di transito"], "visible_ppe": ["Non chiaramente identificabili a causa della distanza"], "notes_visibility_limitations": "La distanza della telecamera e l'angolazione elevata limitano la visibilità dei dettagli sui DPI e sui volti delle persone."}</t>
        </is>
      </c>
      <c r="K16" s="7" t="inlineStr">
        <is>
          <t>{"unsafe_behaviors": [], "vulnerable_elements": ["Operatore alla postazione di lavoro sulla destra", "Pedone in giacca rossa nell'area di transito sullo sfondo"],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0.7, "diagnostic_notes": "La scena mostra un normale svolgimento delle attività industriali. Non si evidenziano situazioni di rischio immediato o comportamenti non conformi. Si segnala la presenza di scaffalature e materiali stoccati (S5) che, pur non mostrando segni di instabilità, richiedono vigilanza periodica. La distanza e l'altezza della telecamera non consentono di verificare l'uso effettivo dei DPI individuali."}</t>
        </is>
      </c>
      <c r="L16" s="7" t="inlineStr">
        <is>
          <t>{"causal_chain_plausible": false, "causal_chain_text": "Non si riscontrano catene causali plausibili che possano condurre a un incidente, in quanto le attività si svolgono regolarmente senza interferenze critiche o comportamenti non conformi rilevabili.", "near_miss_or_incident_scenario": "Nessuno scenario di incidente o near miss è attualmente prevedibile sulla base degli elementi osservati.", "contributing_factors": []}</t>
        </is>
      </c>
      <c r="M16" s="7" t="n">
        <v>15</v>
      </c>
      <c r="N16" s="7" t="inlineStr">
        <is>
          <t>Il livello di rischio è basso poiché le attività si svolgono regolarmente senza comportamenti non conformi o interferenze pericolose. L'unica nota di attenzione riguarda il monitoraggio periodico delle scaffalature e dei materiali stoccati.</t>
        </is>
      </c>
      <c r="O16" s="7" t="n">
        <v>36.15</v>
      </c>
      <c r="P16" s="8" t="inlineStr">
        <is>
          <t>giallo</t>
        </is>
      </c>
      <c r="Q16" s="7" t="n">
        <v>2</v>
      </c>
      <c r="R16" s="7" t="n">
        <v>12.62</v>
      </c>
      <c r="S16" s="9" t="inlineStr">
        <is>
          <t>verde</t>
        </is>
      </c>
      <c r="T16" s="7" t="n">
        <v>0.7</v>
      </c>
      <c r="U16" s="7" t="inlineStr">
        <is>
          <t>La scena mostra un normale svolgimento delle attività industriali. Non si evidenziano situazioni di rischio immediato o comportamenti non conformi. Si segnala la presenza di scaffalature e materiali stoccati (S5) che, pur non mostrando segni di instabilità, richiedono vigilanza periodica. La distanza e l'altezza della telecamera non consentono di verificare l'uso effettivo dei DPI individuali.</t>
        </is>
      </c>
      <c r="V16" s="7" t="n">
        <v>0</v>
      </c>
      <c r="W16" s="7" t="n">
        <v>0</v>
      </c>
      <c r="X16" s="7" t="n">
        <v>0.1109</v>
      </c>
      <c r="Y16" s="7" t="n">
        <v>0</v>
      </c>
      <c r="Z16" s="7" t="n">
        <v>0</v>
      </c>
      <c r="AA16" s="7" t="n">
        <v>0</v>
      </c>
      <c r="AB16" s="7" t="n">
        <v>0</v>
      </c>
      <c r="AC16" s="7" t="n">
        <v>0.037</v>
      </c>
      <c r="AD16" s="7" t="n">
        <v>0</v>
      </c>
      <c r="AE16" s="7" t="n">
        <v>0</v>
      </c>
      <c r="AF16" s="7" t="n">
        <v>0</v>
      </c>
      <c r="AG16" s="7" t="n">
        <v>0.0293</v>
      </c>
      <c r="AH16" s="7" t="n">
        <v>0.0549</v>
      </c>
      <c r="AI16" s="7" t="n">
        <v>0.1609</v>
      </c>
      <c r="AJ16" s="7" t="n">
        <v>8.039999999999999</v>
      </c>
      <c r="AK16" s="7" t="n">
        <v>0</v>
      </c>
      <c r="AL16" s="7" t="n">
        <v>0.008200000000000001</v>
      </c>
      <c r="AM16" s="7" t="n">
        <v>0.1538</v>
      </c>
      <c r="AN16" s="7" t="n">
        <v>0.1261</v>
      </c>
      <c r="AO16" s="7" t="n">
        <v>6.3</v>
      </c>
      <c r="AP16" s="7" t="n">
        <v>0.25</v>
      </c>
      <c r="AQ16" s="7" t="n">
        <v>0.0359</v>
      </c>
      <c r="AR16" s="7" t="n">
        <v>0.2228</v>
      </c>
      <c r="AS16" s="7" t="n">
        <v>0.7999000000000001</v>
      </c>
      <c r="AT16" s="7" t="n">
        <v>40</v>
      </c>
      <c r="AU16" s="7" t="n">
        <v>0</v>
      </c>
      <c r="AV16" s="7" t="n">
        <v>0.0266</v>
      </c>
      <c r="AW16" s="7" t="n">
        <v>0.3447</v>
      </c>
      <c r="AX16" s="7" t="n">
        <v>0.9169</v>
      </c>
      <c r="AY16" s="7" t="n">
        <v>45.84</v>
      </c>
      <c r="AZ16" s="7" t="n">
        <v>0</v>
      </c>
      <c r="BA16" s="7" t="n">
        <v>0</v>
      </c>
      <c r="BB16" s="7" t="n">
        <v>0.0759</v>
      </c>
      <c r="BC16" s="7" t="n">
        <v>0</v>
      </c>
      <c r="BD16" s="7" t="n">
        <v>0</v>
      </c>
    </row>
    <row r="17" ht="34" customHeight="1">
      <c r="A17" s="7" t="n">
        <v>15</v>
      </c>
      <c r="B17" s="7" t="n">
        <v>30</v>
      </c>
      <c r="C17" s="7" t="n">
        <v>34</v>
      </c>
      <c r="D17" s="7" t="n">
        <v>4</v>
      </c>
      <c r="E17" s="7" t="inlineStr">
        <is>
          <t>{"scena_e_contesto": {"descrizione": "Officina metalmeccanica con macchinari industriali pesanti, presse e aree di stoccaggio.", "condizioni_ambientali": "Illuminazione interna sufficiente, pavimentazione industriale con segnaletica parzialmente visibile."}, "elementi_rilevati": {"persone": [{"ruolo": "Operatore seduto", "posizione": "Lato destro, vicino alla pressa blu e gialla", "azione": "Monitoraggio o comando del macchinario", "dpi": "Non chiaramente verificabili a causa della distanza"}, {"ruolo": "Pedone", "posizione": "Sfondo a destra, cammina in maglietta rossa", "azione": "Transito nell'area di lavoro", "dpi": "Non identificabili"}], "macchinari_e_oggetti": ["Grandi presse industriali (gialle, blu, grigie)", "Scaffalature metalliche e contenitori di stoccaggio", "Carrello elevatore/transpallet sullo sfondo a sinistra"]}, "analisi_sicurezza": {"limiti_visibilita": "Inquadratura grandangolare dall'alto; dettagli sui DPI e piccoli ostacoli a terra sono difficili da valutare con precisione.", "fattori_rischio_osservabili": "Presenza di un pedone in transito vicino a zone operative e macchinari pesanti in funzione.", "sviluppi_rischiosi_plausibili": "Rischio moderato di interferenza tra pedone e aree di movimento macchine, o inciampo su materiali stoccati vicino alle linee di transito.", "valutazione_prudenziale": "La situazione appare stabile, ma la compresenza di attività manuali e transito pedonale richiede costante separazione delle aree."}}</t>
        </is>
      </c>
      <c r="F17" s="7" t="n">
        <v>30</v>
      </c>
      <c r="G17" s="7" t="inlineStr">
        <is>
          <t>Il punteggio di 30 indica un livello di rischio moderato. La scena è complessivamente stabile, ma la presenza di un pedone in transito vicino a macchinari industriali pesanti in funzione, unita all'impossibilità di verificare l'uso dei DPI a causa della distanza, rappresenta un potenziale fattore di rischio che richiede una costante separazione delle aree di lavoro-pedoni.</t>
        </is>
      </c>
      <c r="H17" s="7" t="n">
        <v>37.61</v>
      </c>
      <c r="I17" s="8" t="inlineStr">
        <is>
          <t>giallo</t>
        </is>
      </c>
      <c r="J17" s="7" t="inlineStr">
        <is>
          <t>{"scene_state": "Interno di un'officina meccanica industriale con macchinari pesanti e aree di stoccaggio.", "environmental_conditions": ["Illuminazione artificiale interna", "Pavimentazione industriale in cemento con linee di demarcazione gialle"], "people": ["Un operatore seduto davanti a una pressa industriale sul lato destro", "Un lavoratore con maglia rossa che cammina sullo sfondo a destra"], "objects": ["Contenitori metallici e cassoni", "Scaffalature metalliche con materiali", "Carrello manuale rosso", "Pallet in legno"], "machines": ["Presse industriali verticali (gialle, blu e bianche)", "Carrello elevatore visibile sullo sfondo a sinistra"], "observable_actions": ["L'operatore seduto è intento a lavorare presso la propria postazione", "Il lavoratore sullo sfondo si sposta camminando"], "visible_ppe": ["Non chiaramente distinguibili a causa della distanza di ripresa"], "notes_visibility_limitations": "La prospettiva grandangolare e la distanza della telecamera limitano la visibilità dei dettagli sui DPI e sui volti delle persone."}</t>
        </is>
      </c>
      <c r="K17" s="7" t="inlineStr">
        <is>
          <t>{"unsafe_behaviors": [], "vulnerable_elements": ["Operatore alla pressa industriale", "Lavoratore che cammina sullo sfondo"], "risk_cues": {"S1_people_vehicle_interference": 0.25, "S2_visibility_attention_reduction": 0.25, "S3_non_compliant_behavior": 0.0, "S4_vehicle_infrastructure_interference": 0.0, "S5_storage_structural_instability": 0.25, "S6_access_to_moving_mechanical_parts": 0.5, "S7_manual_handling_heavy_unstable_loads": 0.0}, "cue_confidence": 0.7, "diagnostic_notes": "L'operatore lavora presso una pressa verticale (S6) e un carrello elevatore è presente sullo sfondo (S1), configurando rischi potenziali ma senza evidenze di violazioni o pericoli immediati. La distanza limita la valutazione dei DPI."}</t>
        </is>
      </c>
      <c r="L17" s="7" t="inlineStr">
        <is>
          <t>{"causal_chain_plausible": true, "causal_chain_text": "L'operatore lavora in prossimità della pressa verticale. Una distrazione o un posizionamento errato delle mani, unito alla potenziale mancanza di barriere protettive adeguate, può causare il contatto accidentale con gli organi in movimento.", "near_miss_or_incident_scenario": "Schiacciamento o intrappolamento degli arti superiori dell'operatore all'interno della pressa verticale durante la fase operativa.", "contributing_factors": ["Lavoro a ridosso di organi meccanici in movimento (pressa verticale)", "Presenza di un carrello elevatore e di un pedone in movimento nello sfondo, potenziale fonte di distrazione", "Distanza di ripresa che impedisce la verifica dell'effettiva presenza di barriere di sicurezza e dell'uso dei DPI"]}</t>
        </is>
      </c>
      <c r="M17" s="7" t="n">
        <v>40</v>
      </c>
      <c r="N17" s="7" t="inlineStr">
        <is>
          <t>Il rischio è moderato poiché l'operatore lavora in prossimità di una pressa verticale attiva, sebbene non si rilevino comportamenti non conformi o pericoli imminenti. La distanza di ripresa limita la visibilità, impedendo la verifica dell'uso dei DPI e della presenza di barriere di sicurezza adeguate.</t>
        </is>
      </c>
      <c r="O17" s="7" t="n">
        <v>44.71</v>
      </c>
      <c r="P17" s="8" t="inlineStr">
        <is>
          <t>giallo</t>
        </is>
      </c>
      <c r="Q17" s="7" t="n">
        <v>37.52</v>
      </c>
      <c r="R17" s="7" t="n">
        <v>36.44</v>
      </c>
      <c r="S17" s="8" t="inlineStr">
        <is>
          <t>giallo</t>
        </is>
      </c>
      <c r="T17" s="7" t="n">
        <v>0.7</v>
      </c>
      <c r="U17" s="7" t="inlineStr">
        <is>
          <t>L'operatore lavora presso una pressa verticale (S6) e un carrello elevatore è presente sullo sfondo (S1), configurando rischi potenziali ma senza evidenze di violazioni o pericoli immediati. La distanza limita la valutazione dei DPI.</t>
        </is>
      </c>
      <c r="V17" s="7" t="n">
        <v>0.25</v>
      </c>
      <c r="W17" s="7" t="n">
        <v>0.25</v>
      </c>
      <c r="X17" s="7" t="n">
        <v>0.1109</v>
      </c>
      <c r="Y17" s="7" t="n">
        <v>2.7725</v>
      </c>
      <c r="Z17" s="7" t="n">
        <v>7.39</v>
      </c>
      <c r="AA17" s="7" t="n">
        <v>0.25</v>
      </c>
      <c r="AB17" s="7" t="n">
        <v>0.5553</v>
      </c>
      <c r="AC17" s="7" t="n">
        <v>0.037</v>
      </c>
      <c r="AD17" s="7" t="n">
        <v>2.0546</v>
      </c>
      <c r="AE17" s="7" t="n">
        <v>5.48</v>
      </c>
      <c r="AF17" s="7" t="n">
        <v>0</v>
      </c>
      <c r="AG17" s="7" t="n">
        <v>0.0293</v>
      </c>
      <c r="AH17" s="7" t="n">
        <v>0.0549</v>
      </c>
      <c r="AI17" s="7" t="n">
        <v>0.1609</v>
      </c>
      <c r="AJ17" s="7" t="n">
        <v>0.43</v>
      </c>
      <c r="AK17" s="7" t="n">
        <v>0</v>
      </c>
      <c r="AL17" s="7" t="n">
        <v>0.008200000000000001</v>
      </c>
      <c r="AM17" s="7" t="n">
        <v>0.1538</v>
      </c>
      <c r="AN17" s="7" t="n">
        <v>0.1261</v>
      </c>
      <c r="AO17" s="7" t="n">
        <v>0.34</v>
      </c>
      <c r="AP17" s="7" t="n">
        <v>0.25</v>
      </c>
      <c r="AQ17" s="7" t="n">
        <v>0.0359</v>
      </c>
      <c r="AR17" s="7" t="n">
        <v>0.2228</v>
      </c>
      <c r="AS17" s="7" t="n">
        <v>0.7999000000000001</v>
      </c>
      <c r="AT17" s="7" t="n">
        <v>2.13</v>
      </c>
      <c r="AU17" s="7" t="n">
        <v>0.5</v>
      </c>
      <c r="AV17" s="7" t="n">
        <v>0.9167999999999999</v>
      </c>
      <c r="AW17" s="7" t="n">
        <v>0.3447</v>
      </c>
      <c r="AX17" s="7" t="n">
        <v>31.6021</v>
      </c>
      <c r="AY17" s="7" t="n">
        <v>84.23</v>
      </c>
      <c r="AZ17" s="7" t="n">
        <v>0</v>
      </c>
      <c r="BA17" s="7" t="n">
        <v>0</v>
      </c>
      <c r="BB17" s="7" t="n">
        <v>0.0759</v>
      </c>
      <c r="BC17" s="7" t="n">
        <v>0</v>
      </c>
      <c r="BD17" s="7" t="n">
        <v>0</v>
      </c>
    </row>
    <row r="18" ht="34" customHeight="1">
      <c r="A18" s="7" t="n">
        <v>16</v>
      </c>
      <c r="B18" s="7" t="n">
        <v>32</v>
      </c>
      <c r="C18" s="7" t="n">
        <v>34</v>
      </c>
      <c r="D18" s="7" t="n">
        <v>2</v>
      </c>
      <c r="E18" s="7" t="inlineStr">
        <is>
          <t>{"analisi_temporale": {"inizio_s": 32.0, "fine_s": 34.0, "durata_s": 2.0}, "descrizione_scena": {"contesto": "Interno di uno stabilimento industriale metalmeccanico con macchinari pesanti per lo stampaggio o lavorazione della lamiera.", "condizioni_ambientali": "Illuminazione artificiale interna uniforme, pavimentazione industriale in cemento con segnaletica orizzontale di sicurezza (linee gialle)."}, "soggetti_e_attrezzature": {"personale": [{"ruolo": "Operatore", "posizione": "Seduto su una sedia davanti alla pressa industriale sul lato destro della scena.", "attivita": "Monitoraggio o controllo del macchinario.", "dpi_rilevabili": "Abbigliamento da lavoro scuro. La distanza della telecamera impedisce di verificare con certezza l'uso di DPI specifici come scarpe antinfortunistiche o tappi auricolari."}], "macchinari_principali": ["Presse verticali industriali (colori giallo, blu e grigio)", "Carrello elevatore visibile sullo sfondo a sinistra", "Contenitori metallici e ceste per lo stoccaggio di componenti"]}, "analisi_sicurezza": {"limiti_osservativi": "La risoluzione e la distanza della telecamera limitano la visibilità dei dettagli sui comandi dei macchinari e sui DPI dell'operatore.", "fattori_rischio_potenziali": "L'operatore lavora in prossimità di una pressa attiva. La presenza di materiali e ostacoli vicino alle linee di transito gialle potrebbe limitare lo spazio di manovra sicuro.", "sviluppi_rischiosi_plausibili": "Rischio moderato di schiacciamento degli arti superiori durante l'interazione con la pressa o affaticamento ergonomico dovuto alla postura seduta prolungata."}}</t>
        </is>
      </c>
      <c r="F18" s="7" t="n">
        <v>35</v>
      </c>
      <c r="G18" s="7" t="inlineStr">
        <is>
          <t>Il punteggio di 35 indica un rischio moderato. L'operatore lavora vicino a una pressa industriale attiva, configurando un rischio intrinseco di schiacciamento degli arti superiori e affaticamento ergonomico dovuto alla postura. Inoltre, la presenza di ostacoli vicino alle linee di transito e l'impossibilità di verificare i DPI specifici aumentano la necessità di vigilanza, pur in assenza di pericoli imminenti.</t>
        </is>
      </c>
      <c r="H18" s="7" t="n">
        <v>37.29</v>
      </c>
      <c r="I18" s="8" t="inlineStr">
        <is>
          <t>giallo</t>
        </is>
      </c>
      <c r="J18" s="7" t="inlineStr">
        <is>
          <t>{"scene_state": "Officina industriale con macchinari per lo stampaggio e aree di stoccaggio.", "environmental_conditions": ["Illuminazione interna artificiale", "Pavimentazione in cemento con linee di demarcazione gialle"], "people": ["Un operatore seduto davanti a una pressa industriale sulla destra"], "objects": ["Contenitori metallici", "Pallet in legno", "Scatole di cartone", "Carrello rosso", "Componenti metallici"], "machines": ["Presse industriali verticali (gialle e blu)", "Carrello elevatore (sullo sfondo a sinistra)"], "observable_actions": ["L'operatore è seduto e sembra interagire con il macchinario di fronte a sé"], "visible_ppe": ["Abbigliamento da lavoro scuro (ulteriori DPI non sono chiaramente distinguibili a causa della distanza)"], "notes_visibility_limitations": "La telecamera è posizionata in alto e a distanza, limitando la visibilità dei dettagli minuti e dei DPI specifici dell'operatore."}</t>
        </is>
      </c>
      <c r="K18" s="7" t="inlineStr">
        <is>
          <t>{"unsafe_behaviors": ["Possibile mancato utilizzo di DPI specifici per la protezione delle mani o dell'udito, non chiaramente distinguibili a causa della distanza"], "vulnerable_elements": ["Operatore seduto davanti alla pressa industriale"], "risk_cues": {"S1_people_vehicle_interference": 0.25, "S2_visibility_attention_reduction": 0.5, "S3_non_compliant_behavior": 0.25, "S4_vehicle_infrastructure_interference": 0.0, "S5_storage_structural_instability": 0.0, "S6_access_to_moving_mechanical_parts": 0.5, "S7_manual_handling_heavy_unstable_loads": 0.0}, "cue_confidence": 0.7, "diagnostic_notes": "L'operatore è concentrato sull'interazione con la pressa, riducendo la sua attenzione verso l'ambiente circostante (S2). L'interazione con il macchinario comporta un potenziale rischio di accesso a organi in movimento (S6). Un carrello elevatore è presente sullo sfondo ma non interagisce direttamente con l'operatore (S1). La distanza della telecamera limita la verifica dei DPI (S3)."}</t>
        </is>
      </c>
      <c r="L18" s="7" t="inlineStr">
        <is>
          <t>{"causal_chain_plausible": true, "causal_chain_text": "L'operatore è concentrato sull'interazione ravvicinata con la pressa verticale, riducendo la propria attenzione situazionale. In caso di distrazione o movimento errato, la prossimità agli organi meccanici in movimento della pressa, unita alla mancata certezza sull'uso di DPI idonei, può causare un contatto accidentale pericoloso.", "near_miss_or_incident_scenario": "Schiacciamento o intrappolamento degli arti superiori dell'operatore all'interno della pressa industriale durante la fase di lavorazione.", "contributing_factors": ["Interazione diretta e ravvicinata con organi meccanici in movimento", "Riduzione dell'attenzione dell'operatore focalizzato sul macchinario", "Impossibilità di verificare l'effettivo utilizzo di DPI specifici per le mani"]}</t>
        </is>
      </c>
      <c r="M18" s="7" t="n">
        <v>45</v>
      </c>
      <c r="N18" s="7" t="inlineStr">
        <is>
          <t>Il rischio è moderato poiché l'operatore lavora a stretto contatto con una pressa verticale attiva, riducendo la propria attenzione situazionale. Inoltre, la distanza della telecamera non consente di verificare l'effettivo utilizzo dei DPI protettivi per le mani.</t>
        </is>
      </c>
      <c r="O18" s="7" t="n">
        <v>46.13</v>
      </c>
      <c r="P18" s="8" t="inlineStr">
        <is>
          <t>giallo</t>
        </is>
      </c>
      <c r="Q18" s="7" t="n">
        <v>39</v>
      </c>
      <c r="R18" s="7" t="n">
        <v>38.35</v>
      </c>
      <c r="S18" s="8" t="inlineStr">
        <is>
          <t>giallo</t>
        </is>
      </c>
      <c r="T18" s="7" t="n">
        <v>0.7</v>
      </c>
      <c r="U18" s="7" t="inlineStr">
        <is>
          <t>L'operatore è concentrato sull'interazione con la pressa, riducendo la sua attenzione verso l'ambiente circostante (S2). L'interazione con il macchinario comporta un potenziale rischio di accesso a organi in movimento (S6). Un carrello elevatore è presente sullo sfondo ma non interagisce direttamente con l'operatore (S1). La distanza della telecamera limita la verifica dei DPI (S3).</t>
        </is>
      </c>
      <c r="V18" s="7" t="n">
        <v>0.25</v>
      </c>
      <c r="W18" s="7" t="n">
        <v>0.25</v>
      </c>
      <c r="X18" s="7" t="n">
        <v>0.1109</v>
      </c>
      <c r="Y18" s="7" t="n">
        <v>2.7725</v>
      </c>
      <c r="Z18" s="7" t="n">
        <v>7.11</v>
      </c>
      <c r="AA18" s="7" t="n">
        <v>0.5</v>
      </c>
      <c r="AB18" s="7" t="n">
        <v>0.8176</v>
      </c>
      <c r="AC18" s="7" t="n">
        <v>0.037</v>
      </c>
      <c r="AD18" s="7" t="n">
        <v>3.0251</v>
      </c>
      <c r="AE18" s="7" t="n">
        <v>7.76</v>
      </c>
      <c r="AF18" s="7" t="n">
        <v>0.25</v>
      </c>
      <c r="AG18" s="7" t="n">
        <v>0.2689</v>
      </c>
      <c r="AH18" s="7" t="n">
        <v>0.0549</v>
      </c>
      <c r="AI18" s="7" t="n">
        <v>1.4763</v>
      </c>
      <c r="AJ18" s="7" t="n">
        <v>3.79</v>
      </c>
      <c r="AK18" s="7" t="n">
        <v>0</v>
      </c>
      <c r="AL18" s="7" t="n">
        <v>0.008200000000000001</v>
      </c>
      <c r="AM18" s="7" t="n">
        <v>0.1538</v>
      </c>
      <c r="AN18" s="7" t="n">
        <v>0.1261</v>
      </c>
      <c r="AO18" s="7" t="n">
        <v>0.32</v>
      </c>
      <c r="AP18" s="7" t="n">
        <v>0</v>
      </c>
      <c r="AQ18" s="7" t="n">
        <v>0</v>
      </c>
      <c r="AR18" s="7" t="n">
        <v>0.2228</v>
      </c>
      <c r="AS18" s="7" t="n">
        <v>0</v>
      </c>
      <c r="AT18" s="7" t="n">
        <v>0</v>
      </c>
      <c r="AU18" s="7" t="n">
        <v>0.5</v>
      </c>
      <c r="AV18" s="7" t="n">
        <v>0.9167999999999999</v>
      </c>
      <c r="AW18" s="7" t="n">
        <v>0.3447</v>
      </c>
      <c r="AX18" s="7" t="n">
        <v>31.6021</v>
      </c>
      <c r="AY18" s="7" t="n">
        <v>81.03</v>
      </c>
      <c r="AZ18" s="7" t="n">
        <v>0</v>
      </c>
      <c r="BA18" s="7" t="n">
        <v>0</v>
      </c>
      <c r="BB18" s="7" t="n">
        <v>0.0759</v>
      </c>
      <c r="BC18" s="7" t="n">
        <v>0</v>
      </c>
      <c r="BD18" s="7"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1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7" customWidth="1" min="10" max="10"/>
    <col width="7" customWidth="1" min="11" max="11"/>
    <col width="7" customWidth="1" min="12" max="12"/>
    <col width="8" customWidth="1" min="13" max="13"/>
    <col width="8" customWidth="1" min="14" max="14"/>
    <col width="8" customWidth="1" min="15" max="15"/>
    <col width="8" customWidth="1" min="16" max="16"/>
    <col width="8" customWidth="1" min="17" max="17"/>
    <col width="8" customWidth="1" min="18" max="18"/>
    <col width="10" customWidth="1" min="19" max="19"/>
    <col width="10" customWidth="1" min="20" max="20"/>
    <col width="10" customWidth="1" min="21" max="21"/>
    <col width="11" customWidth="1" min="22" max="22"/>
    <col width="9" customWidth="1" min="23" max="23"/>
  </cols>
  <sheetData>
    <row r="1" ht="16" customHeight="1">
      <c r="A1" s="2" t="inlineStr">
        <is>
          <t>window_id</t>
        </is>
      </c>
      <c r="B1" s="2" t="inlineStr">
        <is>
          <t>start_time_s</t>
        </is>
      </c>
      <c r="C1" s="2" t="inlineStr">
        <is>
          <t>end_time_s</t>
        </is>
      </c>
      <c r="D1" s="3" t="inlineStr">
        <is>
          <t>instantaneous_risk_score_vlm_free</t>
        </is>
      </c>
      <c r="E1" s="4" t="inlineStr">
        <is>
          <t>instantaneous_risk_score_vlm</t>
        </is>
      </c>
      <c r="F1" s="5" t="inlineStr">
        <is>
          <t>instantaneous_risk_score_ahp</t>
        </is>
      </c>
      <c r="G1" s="3" t="inlineStr">
        <is>
          <t>dynamic_risk_score_vlm_free</t>
        </is>
      </c>
      <c r="H1" s="4" t="inlineStr">
        <is>
          <t>dynamic_risk_score_vlm</t>
        </is>
      </c>
      <c r="I1" s="5" t="inlineStr">
        <is>
          <t>dynamic_risk_score_ahp</t>
        </is>
      </c>
      <c r="J1" s="3" t="inlineStr">
        <is>
          <t>traffic_light_color_vlm_free</t>
        </is>
      </c>
      <c r="K1" s="4" t="inlineStr">
        <is>
          <t>traffic_light_color_vlm</t>
        </is>
      </c>
      <c r="L1" s="5" t="inlineStr">
        <is>
          <t>traffic_light_color_ahp</t>
        </is>
      </c>
      <c r="M1" s="12" t="inlineStr">
        <is>
          <t>diff_inst_free_vs_guided</t>
        </is>
      </c>
      <c r="N1" s="12" t="inlineStr">
        <is>
          <t>diff_inst_free_vs_ahp</t>
        </is>
      </c>
      <c r="O1" s="12" t="inlineStr">
        <is>
          <t>diff_inst_guided_vs_ahp</t>
        </is>
      </c>
      <c r="P1" s="12" t="inlineStr">
        <is>
          <t>diff_dyn_free_vs_guided</t>
        </is>
      </c>
      <c r="Q1" s="12" t="inlineStr">
        <is>
          <t>diff_dyn_free_vs_ahp</t>
        </is>
      </c>
      <c r="R1" s="12" t="inlineStr">
        <is>
          <t>diff_dyn_guided_vs_ahp</t>
        </is>
      </c>
      <c r="S1" s="13" t="inlineStr">
        <is>
          <t>traffic_light_agreement_free_guided</t>
        </is>
      </c>
      <c r="T1" s="13" t="inlineStr">
        <is>
          <t>traffic_light_agreement_free_ahp</t>
        </is>
      </c>
      <c r="U1" s="13" t="inlineStr">
        <is>
          <t>traffic_light_agreement_guided_ahp</t>
        </is>
      </c>
      <c r="V1" s="13" t="inlineStr">
        <is>
          <t>three_way_traffic_agreement</t>
        </is>
      </c>
      <c r="W1" s="14" t="inlineStr">
        <is>
          <t>mean_dynamic_score_3_branches</t>
        </is>
      </c>
    </row>
    <row r="2" ht="34" customHeight="1">
      <c r="A2" s="7" t="n">
        <v>0</v>
      </c>
      <c r="B2" s="7" t="n">
        <v>0</v>
      </c>
      <c r="C2" s="7" t="n">
        <v>4</v>
      </c>
      <c r="D2" s="7" t="n">
        <v>35</v>
      </c>
      <c r="E2" s="7" t="n">
        <v>40</v>
      </c>
      <c r="F2" s="7" t="n">
        <v>35.26</v>
      </c>
      <c r="G2" s="7" t="n">
        <v>35</v>
      </c>
      <c r="H2" s="7" t="n">
        <v>40</v>
      </c>
      <c r="I2" s="7" t="n">
        <v>35.26</v>
      </c>
      <c r="J2" s="8" t="inlineStr">
        <is>
          <t>giallo</t>
        </is>
      </c>
      <c r="K2" s="8" t="inlineStr">
        <is>
          <t>giallo</t>
        </is>
      </c>
      <c r="L2" s="8" t="inlineStr">
        <is>
          <t>giallo</t>
        </is>
      </c>
      <c r="M2" s="7" t="n">
        <v>5</v>
      </c>
      <c r="N2" s="7" t="n">
        <v>0.26</v>
      </c>
      <c r="O2" s="7" t="n">
        <v>4.74</v>
      </c>
      <c r="P2" s="7" t="n">
        <v>5</v>
      </c>
      <c r="Q2" s="7" t="n">
        <v>0.26</v>
      </c>
      <c r="R2" s="7" t="n">
        <v>4.74</v>
      </c>
      <c r="S2" s="9" t="inlineStr">
        <is>
          <t>accordo</t>
        </is>
      </c>
      <c r="T2" s="9" t="inlineStr">
        <is>
          <t>accordo</t>
        </is>
      </c>
      <c r="U2" s="9" t="inlineStr">
        <is>
          <t>accordo</t>
        </is>
      </c>
      <c r="V2" s="15" t="inlineStr">
        <is>
          <t>accordo_totale</t>
        </is>
      </c>
      <c r="W2" s="7" t="n">
        <v>36.75</v>
      </c>
    </row>
    <row r="3" ht="34" customHeight="1">
      <c r="A3" s="7" t="n">
        <v>1</v>
      </c>
      <c r="B3" s="7" t="n">
        <v>2</v>
      </c>
      <c r="C3" s="7" t="n">
        <v>6</v>
      </c>
      <c r="D3" s="7" t="n">
        <v>20</v>
      </c>
      <c r="E3" s="7" t="n">
        <v>40</v>
      </c>
      <c r="F3" s="7" t="n">
        <v>37.03</v>
      </c>
      <c r="G3" s="7" t="n">
        <v>26</v>
      </c>
      <c r="H3" s="7" t="n">
        <v>40</v>
      </c>
      <c r="I3" s="7" t="n">
        <v>36.76</v>
      </c>
      <c r="J3" s="8" t="inlineStr">
        <is>
          <t>giallo</t>
        </is>
      </c>
      <c r="K3" s="8" t="inlineStr">
        <is>
          <t>giallo</t>
        </is>
      </c>
      <c r="L3" s="8" t="inlineStr">
        <is>
          <t>giallo</t>
        </is>
      </c>
      <c r="M3" s="7" t="n">
        <v>20</v>
      </c>
      <c r="N3" s="7" t="n">
        <v>17.03</v>
      </c>
      <c r="O3" s="7" t="n">
        <v>2.97</v>
      </c>
      <c r="P3" s="7" t="n">
        <v>14</v>
      </c>
      <c r="Q3" s="7" t="n">
        <v>10.76</v>
      </c>
      <c r="R3" s="7" t="n">
        <v>3.24</v>
      </c>
      <c r="S3" s="9" t="inlineStr">
        <is>
          <t>accordo</t>
        </is>
      </c>
      <c r="T3" s="9" t="inlineStr">
        <is>
          <t>accordo</t>
        </is>
      </c>
      <c r="U3" s="9" t="inlineStr">
        <is>
          <t>accordo</t>
        </is>
      </c>
      <c r="V3" s="15" t="inlineStr">
        <is>
          <t>accordo_totale</t>
        </is>
      </c>
      <c r="W3" s="7" t="n">
        <v>34.25</v>
      </c>
    </row>
    <row r="4" ht="34" customHeight="1">
      <c r="A4" s="7" t="n">
        <v>2</v>
      </c>
      <c r="B4" s="7" t="n">
        <v>4</v>
      </c>
      <c r="C4" s="7" t="n">
        <v>8</v>
      </c>
      <c r="D4" s="7" t="n">
        <v>25</v>
      </c>
      <c r="E4" s="7" t="n">
        <v>15</v>
      </c>
      <c r="F4" s="7" t="n">
        <v>8.09</v>
      </c>
      <c r="G4" s="7" t="n">
        <v>26.65</v>
      </c>
      <c r="H4" s="7" t="n">
        <v>25</v>
      </c>
      <c r="I4" s="7" t="n">
        <v>19.56</v>
      </c>
      <c r="J4" s="8" t="inlineStr">
        <is>
          <t>giallo</t>
        </is>
      </c>
      <c r="K4" s="8" t="inlineStr">
        <is>
          <t>giallo</t>
        </is>
      </c>
      <c r="L4" s="9" t="inlineStr">
        <is>
          <t>verde</t>
        </is>
      </c>
      <c r="M4" s="7" t="n">
        <v>10</v>
      </c>
      <c r="N4" s="7" t="n">
        <v>16.91</v>
      </c>
      <c r="O4" s="7" t="n">
        <v>6.91</v>
      </c>
      <c r="P4" s="7" t="n">
        <v>1.65</v>
      </c>
      <c r="Q4" s="7" t="n">
        <v>7.09</v>
      </c>
      <c r="R4" s="7" t="n">
        <v>5.44</v>
      </c>
      <c r="S4" s="9" t="inlineStr">
        <is>
          <t>accordo</t>
        </is>
      </c>
      <c r="T4" s="11" t="inlineStr">
        <is>
          <t>disaccordo</t>
        </is>
      </c>
      <c r="U4" s="11" t="inlineStr">
        <is>
          <t>disaccordo</t>
        </is>
      </c>
      <c r="V4" s="11" t="inlineStr">
        <is>
          <t>disaccordo</t>
        </is>
      </c>
      <c r="W4" s="7" t="n">
        <v>23.74</v>
      </c>
    </row>
    <row r="5" ht="34" customHeight="1">
      <c r="A5" s="7" t="n">
        <v>3</v>
      </c>
      <c r="B5" s="7" t="n">
        <v>6</v>
      </c>
      <c r="C5" s="7" t="n">
        <v>10</v>
      </c>
      <c r="D5" s="7" t="n">
        <v>40</v>
      </c>
      <c r="E5" s="7" t="n">
        <v>35</v>
      </c>
      <c r="F5" s="7" t="n">
        <v>40.09</v>
      </c>
      <c r="G5" s="7" t="n">
        <v>38.41</v>
      </c>
      <c r="H5" s="7" t="n">
        <v>36</v>
      </c>
      <c r="I5" s="7" t="n">
        <v>39.88</v>
      </c>
      <c r="J5" s="8" t="inlineStr">
        <is>
          <t>giallo</t>
        </is>
      </c>
      <c r="K5" s="8" t="inlineStr">
        <is>
          <t>giallo</t>
        </is>
      </c>
      <c r="L5" s="8" t="inlineStr">
        <is>
          <t>giallo</t>
        </is>
      </c>
      <c r="M5" s="7" t="n">
        <v>5</v>
      </c>
      <c r="N5" s="7" t="n">
        <v>0.09</v>
      </c>
      <c r="O5" s="7" t="n">
        <v>5.09</v>
      </c>
      <c r="P5" s="7" t="n">
        <v>2.41</v>
      </c>
      <c r="Q5" s="7" t="n">
        <v>1.47</v>
      </c>
      <c r="R5" s="7" t="n">
        <v>3.88</v>
      </c>
      <c r="S5" s="9" t="inlineStr">
        <is>
          <t>accordo</t>
        </is>
      </c>
      <c r="T5" s="9" t="inlineStr">
        <is>
          <t>accordo</t>
        </is>
      </c>
      <c r="U5" s="9" t="inlineStr">
        <is>
          <t>accordo</t>
        </is>
      </c>
      <c r="V5" s="15" t="inlineStr">
        <is>
          <t>accordo_totale</t>
        </is>
      </c>
      <c r="W5" s="7" t="n">
        <v>38.1</v>
      </c>
    </row>
    <row r="6" ht="34" customHeight="1">
      <c r="A6" s="7" t="n">
        <v>4</v>
      </c>
      <c r="B6" s="7" t="n">
        <v>8</v>
      </c>
      <c r="C6" s="7" t="n">
        <v>12</v>
      </c>
      <c r="D6" s="7" t="n">
        <v>80</v>
      </c>
      <c r="E6" s="7" t="n">
        <v>35</v>
      </c>
      <c r="F6" s="7" t="n">
        <v>11.66</v>
      </c>
      <c r="G6" s="7" t="n">
        <v>73.36</v>
      </c>
      <c r="H6" s="7" t="n">
        <v>35.4</v>
      </c>
      <c r="I6" s="7" t="n">
        <v>22.95</v>
      </c>
      <c r="J6" s="10" t="inlineStr">
        <is>
          <t>arancione</t>
        </is>
      </c>
      <c r="K6" s="8" t="inlineStr">
        <is>
          <t>giallo</t>
        </is>
      </c>
      <c r="L6" s="9" t="inlineStr">
        <is>
          <t>verde</t>
        </is>
      </c>
      <c r="M6" s="7" t="n">
        <v>45</v>
      </c>
      <c r="N6" s="7" t="n">
        <v>68.34</v>
      </c>
      <c r="O6" s="7" t="n">
        <v>23.34</v>
      </c>
      <c r="P6" s="7" t="n">
        <v>37.96</v>
      </c>
      <c r="Q6" s="7" t="n">
        <v>50.41</v>
      </c>
      <c r="R6" s="7" t="n">
        <v>12.45</v>
      </c>
      <c r="S6" s="11" t="inlineStr">
        <is>
          <t>disaccordo</t>
        </is>
      </c>
      <c r="T6" s="11" t="inlineStr">
        <is>
          <t>disaccordo</t>
        </is>
      </c>
      <c r="U6" s="11" t="inlineStr">
        <is>
          <t>disaccordo</t>
        </is>
      </c>
      <c r="V6" s="11" t="inlineStr">
        <is>
          <t>disaccordo</t>
        </is>
      </c>
      <c r="W6" s="7" t="n">
        <v>43.9</v>
      </c>
    </row>
    <row r="7" ht="34" customHeight="1">
      <c r="A7" s="7" t="n">
        <v>5</v>
      </c>
      <c r="B7" s="7" t="n">
        <v>10</v>
      </c>
      <c r="C7" s="7" t="n">
        <v>14</v>
      </c>
      <c r="D7" s="7" t="n">
        <v>85</v>
      </c>
      <c r="E7" s="7" t="n">
        <v>65</v>
      </c>
      <c r="F7" s="7" t="n">
        <v>17.42</v>
      </c>
      <c r="G7" s="7" t="n">
        <v>81.59</v>
      </c>
      <c r="H7" s="7" t="n">
        <v>60.66</v>
      </c>
      <c r="I7" s="7" t="n">
        <v>21.07</v>
      </c>
      <c r="J7" s="11" t="inlineStr">
        <is>
          <t>rosso</t>
        </is>
      </c>
      <c r="K7" s="10" t="inlineStr">
        <is>
          <t>arancione</t>
        </is>
      </c>
      <c r="L7" s="9" t="inlineStr">
        <is>
          <t>verde</t>
        </is>
      </c>
      <c r="M7" s="7" t="n">
        <v>20</v>
      </c>
      <c r="N7" s="7" t="n">
        <v>67.58</v>
      </c>
      <c r="O7" s="7" t="n">
        <v>47.58</v>
      </c>
      <c r="P7" s="7" t="n">
        <v>20.93</v>
      </c>
      <c r="Q7" s="7" t="n">
        <v>60.52</v>
      </c>
      <c r="R7" s="7" t="n">
        <v>39.59</v>
      </c>
      <c r="S7" s="11" t="inlineStr">
        <is>
          <t>disaccordo</t>
        </is>
      </c>
      <c r="T7" s="11" t="inlineStr">
        <is>
          <t>disaccordo</t>
        </is>
      </c>
      <c r="U7" s="11" t="inlineStr">
        <is>
          <t>disaccordo</t>
        </is>
      </c>
      <c r="V7" s="11" t="inlineStr">
        <is>
          <t>disaccordo</t>
        </is>
      </c>
      <c r="W7" s="7" t="n">
        <v>54.44</v>
      </c>
    </row>
    <row r="8" ht="34" customHeight="1">
      <c r="A8" s="7" t="n">
        <v>6</v>
      </c>
      <c r="B8" s="7" t="n">
        <v>12</v>
      </c>
      <c r="C8" s="7" t="n">
        <v>16</v>
      </c>
      <c r="D8" s="7" t="n">
        <v>65</v>
      </c>
      <c r="E8" s="7" t="n">
        <v>60</v>
      </c>
      <c r="F8" s="7" t="n">
        <v>27</v>
      </c>
      <c r="G8" s="7" t="n">
        <v>71.64</v>
      </c>
      <c r="H8" s="7" t="n">
        <v>60.26</v>
      </c>
      <c r="I8" s="7" t="n">
        <v>27.02</v>
      </c>
      <c r="J8" s="10" t="inlineStr">
        <is>
          <t>arancione</t>
        </is>
      </c>
      <c r="K8" s="10" t="inlineStr">
        <is>
          <t>arancione</t>
        </is>
      </c>
      <c r="L8" s="8" t="inlineStr">
        <is>
          <t>giallo</t>
        </is>
      </c>
      <c r="M8" s="7" t="n">
        <v>5</v>
      </c>
      <c r="N8" s="7" t="n">
        <v>38</v>
      </c>
      <c r="O8" s="7" t="n">
        <v>33</v>
      </c>
      <c r="P8" s="7" t="n">
        <v>11.38</v>
      </c>
      <c r="Q8" s="7" t="n">
        <v>44.62</v>
      </c>
      <c r="R8" s="7" t="n">
        <v>33.24</v>
      </c>
      <c r="S8" s="9" t="inlineStr">
        <is>
          <t>accordo</t>
        </is>
      </c>
      <c r="T8" s="11" t="inlineStr">
        <is>
          <t>disaccordo</t>
        </is>
      </c>
      <c r="U8" s="11" t="inlineStr">
        <is>
          <t>disaccordo</t>
        </is>
      </c>
      <c r="V8" s="11" t="inlineStr">
        <is>
          <t>disaccordo</t>
        </is>
      </c>
      <c r="W8" s="7" t="n">
        <v>52.97</v>
      </c>
    </row>
    <row r="9" ht="34" customHeight="1">
      <c r="A9" s="7" t="n">
        <v>7</v>
      </c>
      <c r="B9" s="7" t="n">
        <v>14</v>
      </c>
      <c r="C9" s="7" t="n">
        <v>18</v>
      </c>
      <c r="D9" s="7" t="n">
        <v>65</v>
      </c>
      <c r="E9" s="7" t="n">
        <v>35</v>
      </c>
      <c r="F9" s="7" t="n">
        <v>7.09</v>
      </c>
      <c r="G9" s="7" t="n">
        <v>67.66</v>
      </c>
      <c r="H9" s="7" t="n">
        <v>45.1</v>
      </c>
      <c r="I9" s="7" t="n">
        <v>15.06</v>
      </c>
      <c r="J9" s="10" t="inlineStr">
        <is>
          <t>arancione</t>
        </is>
      </c>
      <c r="K9" s="8" t="inlineStr">
        <is>
          <t>giallo</t>
        </is>
      </c>
      <c r="L9" s="9" t="inlineStr">
        <is>
          <t>verde</t>
        </is>
      </c>
      <c r="M9" s="7" t="n">
        <v>30</v>
      </c>
      <c r="N9" s="7" t="n">
        <v>57.91</v>
      </c>
      <c r="O9" s="7" t="n">
        <v>27.91</v>
      </c>
      <c r="P9" s="7" t="n">
        <v>22.56</v>
      </c>
      <c r="Q9" s="7" t="n">
        <v>52.6</v>
      </c>
      <c r="R9" s="7" t="n">
        <v>30.04</v>
      </c>
      <c r="S9" s="11" t="inlineStr">
        <is>
          <t>disaccordo</t>
        </is>
      </c>
      <c r="T9" s="11" t="inlineStr">
        <is>
          <t>disaccordo</t>
        </is>
      </c>
      <c r="U9" s="11" t="inlineStr">
        <is>
          <t>disaccordo</t>
        </is>
      </c>
      <c r="V9" s="11" t="inlineStr">
        <is>
          <t>disaccordo</t>
        </is>
      </c>
      <c r="W9" s="7" t="n">
        <v>42.61</v>
      </c>
    </row>
    <row r="10" ht="34" customHeight="1">
      <c r="A10" s="7" t="n">
        <v>8</v>
      </c>
      <c r="B10" s="7" t="n">
        <v>16</v>
      </c>
      <c r="C10" s="7" t="n">
        <v>20</v>
      </c>
      <c r="D10" s="7" t="n">
        <v>65</v>
      </c>
      <c r="E10" s="7" t="n">
        <v>78</v>
      </c>
      <c r="F10" s="7" t="n">
        <v>33.25</v>
      </c>
      <c r="G10" s="7" t="n">
        <v>66.06</v>
      </c>
      <c r="H10" s="7" t="n">
        <v>75.59</v>
      </c>
      <c r="I10" s="7" t="n">
        <v>32.51</v>
      </c>
      <c r="J10" s="10" t="inlineStr">
        <is>
          <t>arancione</t>
        </is>
      </c>
      <c r="K10" s="11" t="inlineStr">
        <is>
          <t>rosso</t>
        </is>
      </c>
      <c r="L10" s="8" t="inlineStr">
        <is>
          <t>giallo</t>
        </is>
      </c>
      <c r="M10" s="7" t="n">
        <v>13</v>
      </c>
      <c r="N10" s="7" t="n">
        <v>31.75</v>
      </c>
      <c r="O10" s="7" t="n">
        <v>44.75</v>
      </c>
      <c r="P10" s="7" t="n">
        <v>9.529999999999999</v>
      </c>
      <c r="Q10" s="7" t="n">
        <v>33.55</v>
      </c>
      <c r="R10" s="7" t="n">
        <v>43.08</v>
      </c>
      <c r="S10" s="11" t="inlineStr">
        <is>
          <t>disaccordo</t>
        </is>
      </c>
      <c r="T10" s="11" t="inlineStr">
        <is>
          <t>disaccordo</t>
        </is>
      </c>
      <c r="U10" s="11" t="inlineStr">
        <is>
          <t>disaccordo</t>
        </is>
      </c>
      <c r="V10" s="11" t="inlineStr">
        <is>
          <t>disaccordo</t>
        </is>
      </c>
      <c r="W10" s="7" t="n">
        <v>58.05</v>
      </c>
    </row>
    <row r="11" ht="34" customHeight="1">
      <c r="A11" s="7" t="n">
        <v>9</v>
      </c>
      <c r="B11" s="7" t="n">
        <v>18</v>
      </c>
      <c r="C11" s="7" t="n">
        <v>22</v>
      </c>
      <c r="D11" s="7" t="n">
        <v>85</v>
      </c>
      <c r="E11" s="7" t="n">
        <v>65</v>
      </c>
      <c r="F11" s="7" t="n">
        <v>27.46</v>
      </c>
      <c r="G11" s="7" t="n">
        <v>82.42</v>
      </c>
      <c r="H11" s="7" t="n">
        <v>69.23999999999999</v>
      </c>
      <c r="I11" s="7" t="n">
        <v>29.48</v>
      </c>
      <c r="J11" s="11" t="inlineStr">
        <is>
          <t>rosso</t>
        </is>
      </c>
      <c r="K11" s="10" t="inlineStr">
        <is>
          <t>arancione</t>
        </is>
      </c>
      <c r="L11" s="8" t="inlineStr">
        <is>
          <t>giallo</t>
        </is>
      </c>
      <c r="M11" s="7" t="n">
        <v>20</v>
      </c>
      <c r="N11" s="7" t="n">
        <v>57.54</v>
      </c>
      <c r="O11" s="7" t="n">
        <v>37.54</v>
      </c>
      <c r="P11" s="7" t="n">
        <v>13.18</v>
      </c>
      <c r="Q11" s="7" t="n">
        <v>52.94</v>
      </c>
      <c r="R11" s="7" t="n">
        <v>39.76</v>
      </c>
      <c r="S11" s="11" t="inlineStr">
        <is>
          <t>disaccordo</t>
        </is>
      </c>
      <c r="T11" s="11" t="inlineStr">
        <is>
          <t>disaccordo</t>
        </is>
      </c>
      <c r="U11" s="11" t="inlineStr">
        <is>
          <t>disaccordo</t>
        </is>
      </c>
      <c r="V11" s="11" t="inlineStr">
        <is>
          <t>disaccordo</t>
        </is>
      </c>
      <c r="W11" s="7" t="n">
        <v>60.38</v>
      </c>
    </row>
    <row r="12" ht="34" customHeight="1">
      <c r="A12" s="7" t="n">
        <v>10</v>
      </c>
      <c r="B12" s="7" t="n">
        <v>20</v>
      </c>
      <c r="C12" s="7" t="n">
        <v>24</v>
      </c>
      <c r="D12" s="7" t="n">
        <v>85</v>
      </c>
      <c r="E12" s="7" t="n">
        <v>65</v>
      </c>
      <c r="F12" s="7" t="n">
        <v>20.84</v>
      </c>
      <c r="G12" s="7" t="n">
        <v>83.97</v>
      </c>
      <c r="H12" s="7" t="n">
        <v>66.7</v>
      </c>
      <c r="I12" s="7" t="n">
        <v>24.3</v>
      </c>
      <c r="J12" s="11" t="inlineStr">
        <is>
          <t>rosso</t>
        </is>
      </c>
      <c r="K12" s="10" t="inlineStr">
        <is>
          <t>arancione</t>
        </is>
      </c>
      <c r="L12" s="8" t="inlineStr">
        <is>
          <t>giallo</t>
        </is>
      </c>
      <c r="M12" s="7" t="n">
        <v>20</v>
      </c>
      <c r="N12" s="7" t="n">
        <v>64.16</v>
      </c>
      <c r="O12" s="7" t="n">
        <v>44.16</v>
      </c>
      <c r="P12" s="7" t="n">
        <v>17.27</v>
      </c>
      <c r="Q12" s="7" t="n">
        <v>59.67</v>
      </c>
      <c r="R12" s="7" t="n">
        <v>42.4</v>
      </c>
      <c r="S12" s="11" t="inlineStr">
        <is>
          <t>disaccordo</t>
        </is>
      </c>
      <c r="T12" s="11" t="inlineStr">
        <is>
          <t>disaccordo</t>
        </is>
      </c>
      <c r="U12" s="11" t="inlineStr">
        <is>
          <t>disaccordo</t>
        </is>
      </c>
      <c r="V12" s="11" t="inlineStr">
        <is>
          <t>disaccordo</t>
        </is>
      </c>
      <c r="W12" s="7" t="n">
        <v>58.32</v>
      </c>
    </row>
    <row r="13" ht="34" customHeight="1">
      <c r="A13" s="7" t="n">
        <v>11</v>
      </c>
      <c r="B13" s="7" t="n">
        <v>22</v>
      </c>
      <c r="C13" s="7" t="n">
        <v>26</v>
      </c>
      <c r="D13" s="7" t="n">
        <v>55</v>
      </c>
      <c r="E13" s="7" t="n">
        <v>85</v>
      </c>
      <c r="F13" s="7" t="n">
        <v>34.37</v>
      </c>
      <c r="G13" s="7" t="n">
        <v>66.59</v>
      </c>
      <c r="H13" s="7" t="n">
        <v>82.68000000000001</v>
      </c>
      <c r="I13" s="7" t="n">
        <v>33.72</v>
      </c>
      <c r="J13" s="10" t="inlineStr">
        <is>
          <t>arancione</t>
        </is>
      </c>
      <c r="K13" s="11" t="inlineStr">
        <is>
          <t>rosso</t>
        </is>
      </c>
      <c r="L13" s="8" t="inlineStr">
        <is>
          <t>giallo</t>
        </is>
      </c>
      <c r="M13" s="7" t="n">
        <v>30</v>
      </c>
      <c r="N13" s="7" t="n">
        <v>20.63</v>
      </c>
      <c r="O13" s="7" t="n">
        <v>50.63</v>
      </c>
      <c r="P13" s="7" t="n">
        <v>16.09</v>
      </c>
      <c r="Q13" s="7" t="n">
        <v>32.87</v>
      </c>
      <c r="R13" s="7" t="n">
        <v>48.96</v>
      </c>
      <c r="S13" s="11" t="inlineStr">
        <is>
          <t>disaccordo</t>
        </is>
      </c>
      <c r="T13" s="11" t="inlineStr">
        <is>
          <t>disaccordo</t>
        </is>
      </c>
      <c r="U13" s="11" t="inlineStr">
        <is>
          <t>disaccordo</t>
        </is>
      </c>
      <c r="V13" s="11" t="inlineStr">
        <is>
          <t>disaccordo</t>
        </is>
      </c>
      <c r="W13" s="7" t="n">
        <v>61</v>
      </c>
    </row>
    <row r="14" ht="34" customHeight="1">
      <c r="A14" s="7" t="n">
        <v>12</v>
      </c>
      <c r="B14" s="7" t="n">
        <v>24</v>
      </c>
      <c r="C14" s="7" t="n">
        <v>28</v>
      </c>
      <c r="D14" s="7" t="n">
        <v>60</v>
      </c>
      <c r="E14" s="7" t="n">
        <v>60</v>
      </c>
      <c r="F14" s="7" t="n">
        <v>18.07</v>
      </c>
      <c r="G14" s="7" t="n">
        <v>63.89</v>
      </c>
      <c r="H14" s="7" t="n">
        <v>69.06999999999999</v>
      </c>
      <c r="I14" s="7" t="n">
        <v>24.33</v>
      </c>
      <c r="J14" s="10" t="inlineStr">
        <is>
          <t>arancione</t>
        </is>
      </c>
      <c r="K14" s="10" t="inlineStr">
        <is>
          <t>arancione</t>
        </is>
      </c>
      <c r="L14" s="8" t="inlineStr">
        <is>
          <t>giallo</t>
        </is>
      </c>
      <c r="M14" s="7" t="n">
        <v>0</v>
      </c>
      <c r="N14" s="7" t="n">
        <v>41.93</v>
      </c>
      <c r="O14" s="7" t="n">
        <v>41.93</v>
      </c>
      <c r="P14" s="7" t="n">
        <v>5.18</v>
      </c>
      <c r="Q14" s="7" t="n">
        <v>39.56</v>
      </c>
      <c r="R14" s="7" t="n">
        <v>44.74</v>
      </c>
      <c r="S14" s="9" t="inlineStr">
        <is>
          <t>accordo</t>
        </is>
      </c>
      <c r="T14" s="11" t="inlineStr">
        <is>
          <t>disaccordo</t>
        </is>
      </c>
      <c r="U14" s="11" t="inlineStr">
        <is>
          <t>disaccordo</t>
        </is>
      </c>
      <c r="V14" s="11" t="inlineStr">
        <is>
          <t>disaccordo</t>
        </is>
      </c>
      <c r="W14" s="7" t="n">
        <v>52.43</v>
      </c>
    </row>
    <row r="15" ht="34" customHeight="1">
      <c r="A15" s="7" t="n">
        <v>13</v>
      </c>
      <c r="B15" s="7" t="n">
        <v>26</v>
      </c>
      <c r="C15" s="7" t="n">
        <v>30</v>
      </c>
      <c r="D15" s="7" t="n">
        <v>70</v>
      </c>
      <c r="E15" s="7" t="n">
        <v>65</v>
      </c>
      <c r="F15" s="7" t="n">
        <v>27.46</v>
      </c>
      <c r="G15" s="7" t="n">
        <v>70.06</v>
      </c>
      <c r="H15" s="7" t="n">
        <v>67.88</v>
      </c>
      <c r="I15" s="7" t="n">
        <v>28.56</v>
      </c>
      <c r="J15" s="10" t="inlineStr">
        <is>
          <t>arancione</t>
        </is>
      </c>
      <c r="K15" s="10" t="inlineStr">
        <is>
          <t>arancione</t>
        </is>
      </c>
      <c r="L15" s="8" t="inlineStr">
        <is>
          <t>giallo</t>
        </is>
      </c>
      <c r="M15" s="7" t="n">
        <v>5</v>
      </c>
      <c r="N15" s="7" t="n">
        <v>42.54</v>
      </c>
      <c r="O15" s="7" t="n">
        <v>37.54</v>
      </c>
      <c r="P15" s="7" t="n">
        <v>2.18</v>
      </c>
      <c r="Q15" s="7" t="n">
        <v>41.5</v>
      </c>
      <c r="R15" s="7" t="n">
        <v>39.32</v>
      </c>
      <c r="S15" s="9" t="inlineStr">
        <is>
          <t>accordo</t>
        </is>
      </c>
      <c r="T15" s="11" t="inlineStr">
        <is>
          <t>disaccordo</t>
        </is>
      </c>
      <c r="U15" s="11" t="inlineStr">
        <is>
          <t>disaccordo</t>
        </is>
      </c>
      <c r="V15" s="11" t="inlineStr">
        <is>
          <t>disaccordo</t>
        </is>
      </c>
      <c r="W15" s="7" t="n">
        <v>55.5</v>
      </c>
    </row>
    <row r="16" ht="34" customHeight="1">
      <c r="A16" s="7" t="n">
        <v>14</v>
      </c>
      <c r="B16" s="7" t="n">
        <v>28</v>
      </c>
      <c r="C16" s="7" t="n">
        <v>32</v>
      </c>
      <c r="D16" s="7" t="n">
        <v>35</v>
      </c>
      <c r="E16" s="7" t="n">
        <v>15</v>
      </c>
      <c r="F16" s="7" t="n">
        <v>2</v>
      </c>
      <c r="G16" s="7" t="n">
        <v>49.02</v>
      </c>
      <c r="H16" s="7" t="n">
        <v>36.15</v>
      </c>
      <c r="I16" s="7" t="n">
        <v>12.62</v>
      </c>
      <c r="J16" s="10" t="inlineStr">
        <is>
          <t>arancione</t>
        </is>
      </c>
      <c r="K16" s="8" t="inlineStr">
        <is>
          <t>giallo</t>
        </is>
      </c>
      <c r="L16" s="9" t="inlineStr">
        <is>
          <t>verde</t>
        </is>
      </c>
      <c r="M16" s="7" t="n">
        <v>20</v>
      </c>
      <c r="N16" s="7" t="n">
        <v>33</v>
      </c>
      <c r="O16" s="7" t="n">
        <v>13</v>
      </c>
      <c r="P16" s="7" t="n">
        <v>12.87</v>
      </c>
      <c r="Q16" s="7" t="n">
        <v>36.4</v>
      </c>
      <c r="R16" s="7" t="n">
        <v>23.53</v>
      </c>
      <c r="S16" s="11" t="inlineStr">
        <is>
          <t>disaccordo</t>
        </is>
      </c>
      <c r="T16" s="11" t="inlineStr">
        <is>
          <t>disaccordo</t>
        </is>
      </c>
      <c r="U16" s="11" t="inlineStr">
        <is>
          <t>disaccordo</t>
        </is>
      </c>
      <c r="V16" s="11" t="inlineStr">
        <is>
          <t>disaccordo</t>
        </is>
      </c>
      <c r="W16" s="7" t="n">
        <v>32.6</v>
      </c>
    </row>
    <row r="17" ht="34" customHeight="1">
      <c r="A17" s="7" t="n">
        <v>15</v>
      </c>
      <c r="B17" s="7" t="n">
        <v>30</v>
      </c>
      <c r="C17" s="7" t="n">
        <v>34</v>
      </c>
      <c r="D17" s="7" t="n">
        <v>30</v>
      </c>
      <c r="E17" s="7" t="n">
        <v>40</v>
      </c>
      <c r="F17" s="7" t="n">
        <v>37.52</v>
      </c>
      <c r="G17" s="7" t="n">
        <v>37.61</v>
      </c>
      <c r="H17" s="7" t="n">
        <v>44.71</v>
      </c>
      <c r="I17" s="7" t="n">
        <v>36.44</v>
      </c>
      <c r="J17" s="8" t="inlineStr">
        <is>
          <t>giallo</t>
        </is>
      </c>
      <c r="K17" s="8" t="inlineStr">
        <is>
          <t>giallo</t>
        </is>
      </c>
      <c r="L17" s="8" t="inlineStr">
        <is>
          <t>giallo</t>
        </is>
      </c>
      <c r="M17" s="7" t="n">
        <v>10</v>
      </c>
      <c r="N17" s="7" t="n">
        <v>7.52</v>
      </c>
      <c r="O17" s="7" t="n">
        <v>2.48</v>
      </c>
      <c r="P17" s="7" t="n">
        <v>7.1</v>
      </c>
      <c r="Q17" s="7" t="n">
        <v>1.17</v>
      </c>
      <c r="R17" s="7" t="n">
        <v>8.27</v>
      </c>
      <c r="S17" s="9" t="inlineStr">
        <is>
          <t>accordo</t>
        </is>
      </c>
      <c r="T17" s="9" t="inlineStr">
        <is>
          <t>accordo</t>
        </is>
      </c>
      <c r="U17" s="9" t="inlineStr">
        <is>
          <t>accordo</t>
        </is>
      </c>
      <c r="V17" s="15" t="inlineStr">
        <is>
          <t>accordo_totale</t>
        </is>
      </c>
      <c r="W17" s="7" t="n">
        <v>39.59</v>
      </c>
    </row>
    <row r="18" ht="34" customHeight="1">
      <c r="A18" s="7" t="n">
        <v>16</v>
      </c>
      <c r="B18" s="7" t="n">
        <v>32</v>
      </c>
      <c r="C18" s="7" t="n">
        <v>34</v>
      </c>
      <c r="D18" s="7" t="n">
        <v>35</v>
      </c>
      <c r="E18" s="7" t="n">
        <v>45</v>
      </c>
      <c r="F18" s="7" t="n">
        <v>39</v>
      </c>
      <c r="G18" s="7" t="n">
        <v>37.29</v>
      </c>
      <c r="H18" s="7" t="n">
        <v>46.13</v>
      </c>
      <c r="I18" s="7" t="n">
        <v>38.35</v>
      </c>
      <c r="J18" s="8" t="inlineStr">
        <is>
          <t>giallo</t>
        </is>
      </c>
      <c r="K18" s="8" t="inlineStr">
        <is>
          <t>giallo</t>
        </is>
      </c>
      <c r="L18" s="8" t="inlineStr">
        <is>
          <t>giallo</t>
        </is>
      </c>
      <c r="M18" s="7" t="n">
        <v>10</v>
      </c>
      <c r="N18" s="7" t="n">
        <v>4</v>
      </c>
      <c r="O18" s="7" t="n">
        <v>6</v>
      </c>
      <c r="P18" s="7" t="n">
        <v>8.84</v>
      </c>
      <c r="Q18" s="7" t="n">
        <v>1.06</v>
      </c>
      <c r="R18" s="7" t="n">
        <v>7.78</v>
      </c>
      <c r="S18" s="9" t="inlineStr">
        <is>
          <t>accordo</t>
        </is>
      </c>
      <c r="T18" s="9" t="inlineStr">
        <is>
          <t>accordo</t>
        </is>
      </c>
      <c r="U18" s="9" t="inlineStr">
        <is>
          <t>accordo</t>
        </is>
      </c>
      <c r="V18" s="15" t="inlineStr">
        <is>
          <t>accordo_totale</t>
        </is>
      </c>
      <c r="W18" s="7" t="n">
        <v>40.59</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1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8" customWidth="1" min="5" max="5"/>
    <col width="16" customWidth="1" min="6" max="6"/>
    <col width="8" customWidth="1" min="7" max="7"/>
    <col width="7" customWidth="1" min="8" max="8"/>
  </cols>
  <sheetData>
    <row r="1" ht="16" customHeight="1">
      <c r="A1" s="2" t="inlineStr">
        <is>
          <t>window_id</t>
        </is>
      </c>
      <c r="B1" s="2" t="inlineStr">
        <is>
          <t>start_time_s</t>
        </is>
      </c>
      <c r="C1" s="2" t="inlineStr">
        <is>
          <t>end_time_s</t>
        </is>
      </c>
      <c r="D1" s="3" t="inlineStr">
        <is>
          <t>free_scene_json</t>
        </is>
      </c>
      <c r="E1" s="3" t="inlineStr">
        <is>
          <t>instantaneous_risk_score_vlm_free</t>
        </is>
      </c>
      <c r="F1" s="3" t="inlineStr">
        <is>
          <t>score_rationale_vlm_free</t>
        </is>
      </c>
      <c r="G1" s="3" t="inlineStr">
        <is>
          <t>dynamic_risk_score_vlm_free</t>
        </is>
      </c>
      <c r="H1" s="3" t="inlineStr">
        <is>
          <t>traffic_light_color_vlm_free</t>
        </is>
      </c>
    </row>
    <row r="2" ht="34" customHeight="1">
      <c r="A2" s="7" t="n">
        <v>0</v>
      </c>
      <c r="B2" s="7" t="n">
        <v>0</v>
      </c>
      <c r="C2" s="7" t="n">
        <v>4</v>
      </c>
      <c r="D2" s="7" t="inlineStr">
        <is>
          <t>{"descrizione_generale": "Interno di un reparto industriale per la lavorazione dei metalli, caratterizzato dalla presenza di macchinari pesanti e postazioni di lavoro.", "contesto_industriale": "Officina di stampaggio lamiere o carpenteria metallica con presse verticali e aree di stoccaggio temporaneo.", "persone_presenti": [{"ruolo": "Operatore", "posizione": "Seduto sul lato destro della scena, di fronte a una pressa industriale", "azione": "Monitoraggio o conduzione del macchinario"}], "macchinari_e_oggetti": {"macchinari": ["Presse meccaniche verticali di grandi dimensioni", "Scaffalature industriali"], "oggetti": ["Contenitori metallici per pezzi", "Carrello di servizio rosso", "Pallet in legno e lamiere", "Barriere di protezione gialle"]}, "condizioni_ambientali": {"illuminazione": "Luce artificiale uniforme tipica da capannone", "pulizia_aree": "Pavimentazione sgombra nella zona centrale di transito, presenza di strisce gialle di delimitazione parzialmente usurate"}, "limiti_visibilita": "La distanza della telecamera e l'altezza dell'inquadratura limitano la visibilità dei dettagli del viso dell'operatore e dei comandi specifici della macchina.", "analisi_sicurezza": {"dpi_rilevati": "Abbigliamento da lavoro scuro. L'uso di DPI specifici come scarpe antinfortunistiche, guanti o tappi antirumore non è verificabile con certezza a causa della distanza.", "ragionamento_causale_e_rischi": "L'operatore lavora in prossimità di una pressa attiva. Un potenziale rischio è legato all'ergonomia della seduta e al rischio di schiacciamento degli arti superiori se i sistemi di sicurezza della pressa non fossero perfettamente efficienti.", "fattori_contribuenti": "Presenza di materiali e carrelli vicino alle postazioni che potrebbero limitare lo spazio di manovra in caso di emergenza."}}</t>
        </is>
      </c>
      <c r="E2" s="7" t="n">
        <v>35</v>
      </c>
      <c r="F2" s="7" t="inlineStr">
        <is>
          <t>Il punteggio di 35 riflette un rischio moderato e intrinseco legato alla presenza di presse verticali attive. Non si rilevano pericoli imminenti o violazioni evidenti, e sono presenti barriere di protezione. Tuttavia, la distanza impedisce la verifica dell'uso di DPI specifici (guanti, scarpe antinfortunistiche) e si segnalano potenziali criticità ergonomiche e ingombri localizzati (carrelli/materiali) vicino alla postazione di lavoro.</t>
        </is>
      </c>
      <c r="G2" s="7" t="n">
        <v>35</v>
      </c>
      <c r="H2" s="8" t="inlineStr">
        <is>
          <t>giallo</t>
        </is>
      </c>
    </row>
    <row r="3" ht="34" customHeight="1">
      <c r="A3" s="7" t="n">
        <v>1</v>
      </c>
      <c r="B3" s="7" t="n">
        <v>2</v>
      </c>
      <c r="C3" s="7" t="n">
        <v>6</v>
      </c>
      <c r="D3" s="7" t="inlineStr">
        <is>
          <t>{"descrizione_generale": "La scena mostra l'interno di un'officina metalmeccanica o reparto stampaggio industriale con diverse presse di grandi dimensioni e attrezzature di produzione.", "contesto_industriale": "Reparto produttivo con macchinari pesanti per la lavorazione della lamiera, disposti lungo i lati di un'ampia area di transito delimitata da linee gialle di sicurezza sul pavimento.", "persone_presenti": [{"ruolo": "Operatore", "posizione": "Seduto davanti alla pressa sul lato destro dell'inquadratura", "attivita": "Monitoraggio o controllo del macchinario"}], "macchinari_e_oggetti": ["Presse industriali verticali (colori giallo, blu, bianco)", "Carrello rosso mobile", "Contenitori metallici e bancali", "Rulli trasportatori in primo piano a sinistra"], "condizioni_ambientali": {"illuminazione": "Naturale/artificiale mista, con riflessi di luce solare sul pavimento a sinistra", "stato_pavimentazione": "Pavimento industriale in cemento, apparentemente asciutto, con segnaletica orizzontale gialla parzialmente visibile"}, "limitazioni_visive": "La distanza della telecamera non permette di verificare con precisione l'uso di DPI specifici (es. tappi per le orecchie, occhiali di protezione) o i dettagli delle mani dell'operatore.", "analisi_sicurezza": {"dinamiche_correnti": "L'operatore è in posizione seduta e stabile. Non si osservano movimenti bruschi o situazioni di pericolo immediato.", "rischi_potenziali": ["Rischio ergonomico legato alla postura seduta prolungata durante l'uso del macchinario", "Rischio di schiacciamento o cesoiamento intrinseco all'uso di presse verticali in caso di bypass dei sistemi di sicurezza (non evidenziato ma strutturale)", "Inciampo dovuto alla presenza di piccoli oggetti o carrelli nelle aree di passaggio"], "dpi_rilevabili": "Non chiaramente identificabili a causa della distanza e della risoluzione dell'immagine."}}</t>
        </is>
      </c>
      <c r="E3" s="7" t="n">
        <v>20</v>
      </c>
      <c r="F3" s="7" t="inlineStr">
        <is>
          <t>Il punteggio di 20 indica una situazione di normale operatività con rischi minimi immediati. L'operatore è in posizione stabile e non si osservano comportamenti non sicuri. Il rischio è limitato a fattori intrinseci dell'ambiente industriale (presse, ergonomia, possibili inciampi) e alla mancata verifica visiva dei DPI dovuta alla distanza.</t>
        </is>
      </c>
      <c r="G3" s="7" t="n">
        <v>26</v>
      </c>
      <c r="H3" s="8" t="inlineStr">
        <is>
          <t>giallo</t>
        </is>
      </c>
    </row>
    <row r="4" ht="34" customHeight="1">
      <c r="A4" s="7" t="n">
        <v>2</v>
      </c>
      <c r="B4" s="7" t="n">
        <v>4</v>
      </c>
      <c r="C4" s="7" t="n">
        <v>8</v>
      </c>
      <c r="D4" s="7" t="inlineStr">
        <is>
          <t>{"analisi_temporale": {"inizio_s": 4.0, "fine_s": 8.0, "durata_s": 4.0}, "descrizione_scena": {"contesto": "Officina metalmeccanica con presse industriali e area di stoccaggio.", "elementi_visivi": "Macchinari pesanti per stampaggio, carrello elevatore sullo sfondo a sinistra, postazione di lavoro a destra con operatore seduto.", "condizioni_ambientali": "Illuminazione interna sufficiente, segnaletica orizzontale gialla visibile sul pavimento."}, "soggetti_e_attivita": {"personale": [{"ruolo": "Operatore pressa", "posizione": "Destra, seduto alla postazione", "attivita": "Monitoraggio o lavorazione presso la pressa", "dpi": "Presenza di DPI non chiaramente verificabile a causa della distanza e della risoluzione."}], "macchinari_in_movimento": {"tipo": "Carrello elevatore", "posizione": "Sfondo a sinistra", "attivita": "Transito lento nell'area di stoccaggio"}}, "analisi_sicurezza": {"fattori_contribuenti": "Coesistenza di mezzi di movimentazione e aree di lavoro nello stesso capannone.", "rischi_potenziali": "Rischio di investimento se il muletto devia dalle corsie; rischio di schiacciamento per l'operatore vicino alla pressa.", "misure_osservate": "Linee di demarcazione gialle a terra per definire le aree di transito."}}</t>
        </is>
      </c>
      <c r="E4" s="7" t="n">
        <v>25</v>
      </c>
      <c r="F4" s="7" t="inlineStr">
        <is>
          <t>Il punteggio di 25 indica un livello di rischio basso ma non nullo. Sebbene vi sia la compresenza di un carrello elevatore in movimento e di un operatore nello stesso capannone, il mezzo transita a bassa velocità in un'area separata (sfondo) e sono presenti linee gialle di demarcazione a terra per mitigare il rischio di interferenza. La parziale visibilità dei DPI dell'operatore impone comunque una soglia minima di attenzione.</t>
        </is>
      </c>
      <c r="G4" s="7" t="n">
        <v>26.65</v>
      </c>
      <c r="H4" s="8" t="inlineStr">
        <is>
          <t>giallo</t>
        </is>
      </c>
    </row>
    <row r="5" ht="34" customHeight="1">
      <c r="A5" s="7" t="n">
        <v>3</v>
      </c>
      <c r="B5" s="7" t="n">
        <v>6</v>
      </c>
      <c r="C5" s="7" t="n">
        <v>10</v>
      </c>
      <c r="D5" s="7" t="inlineStr">
        <is>
          <t>{"descrizione_scena": {"contesto": "Officina metalmeccanica con presse industriali e area di transito.", "condizioni_ambientali": "Illuminazione artificiale interna, pavimentazione in cemento con segnaletica gialla."}, "elementi_rilevati": {"persone": [{"ruolo": "Operatore seduto", "posizione": "Destra, vicino alla pressa blu/gialla", "dpi": "Non chiaramente distinguibili a causa della distanza"}, {"ruolo": "Operatore muletto", "posizione": "Sfondo a sinistra, all'interno della cabina"}], "macchinari": ["Presse verticali industriali (gialle e blu)", "Carrello elevatore (muletto) in movimento sullo sfondo"], "oggetti": ["Contenitori metallici", "Carrello rosso", "Pallet e scatole di cartone a sinistra"]}, "analisi_dinamica": {"azioni": "Il muletto esegue manovre di retromarcia sullo sfondo. L'operatore a destra è statico alla sua postazione.", "limiti_visibilita": "La distanza e l'angolazione della telecamera limitano la visibilità dei dettagli sui DPI e sui comandi dei macchinari."}, "valutazione_rischi": {"ragionamento_causale": "La compresenza di mezzi in movimento (muletto) e aree di stoccaggio richiede costante attenzione alle traiettorie.", "sviluppi_rischiosi": "Possibile interferenza tra il muletto in manovra e pedoni non visibili o carichi instabili nelle vicinanze.", "fattori_contribuenti": "Spazi di manovra ristretti sullo sfondo dovuti alla presenza di materiali stoccati."}}</t>
        </is>
      </c>
      <c r="E5" s="7" t="n">
        <v>40</v>
      </c>
      <c r="F5" s="7" t="inlineStr">
        <is>
          <t>Il punteggio riflette un rischio moderato dovuto alla presenza di un carrello elevatore in movimento (retromarcia) in un'area di transito con spazi di manovra potenzialmente ristretti e presenza di materiali stoccati. Sebbene non vi siano pericoli immediati o collisioni imminenti, la compresenza di macchinari in movimento e operatori richiede elevata vigilanza, specialmente a causa della visibilità limitata sui DPI e delle possibili interferenze con pedoni o carichi.</t>
        </is>
      </c>
      <c r="G5" s="7" t="n">
        <v>38.41</v>
      </c>
      <c r="H5" s="8" t="inlineStr">
        <is>
          <t>giallo</t>
        </is>
      </c>
    </row>
    <row r="6" ht="34" customHeight="1">
      <c r="A6" s="7" t="n">
        <v>4</v>
      </c>
      <c r="B6" s="7" t="n">
        <v>8</v>
      </c>
      <c r="C6" s="7" t="n">
        <v>12</v>
      </c>
      <c r="D6" s="7" t="inlineStr">
        <is>
          <t>{"descrizione_scena": {"contesto": "Officina metalmeccanica con presse industriali e area di transito interna.", "condizioni_ambientali": "Illuminazione artificiale interna, pavimentazione industriale con segnaletica orizzontale parzialmente visibile."}, "soggetti_e_macchinari": {"personale": [{"ruolo": "Operatore seduto", "posizione": "Lato destro, presso una pressa", "dpi": "Non chiaramente distinguibili a causa della distanza"}, {"ruolo": "Operatore carrello elevatore", "posizione": "Alla guida del mezzo in movimento"}], "macchinari": ["Presse industriali verticali (gialle e blu)", "Carrello elevatore in movimento con carico frontale"]}, "dinamica_e_azioni": {"descrizione": "Un carrello elevatore attraversa l'area di lavoro trasportando un carico elevato di casse arancioni impilate, muovendosi da sinistra verso il centro-destra."}, "analisi_sicurezza": {"limiti_visibilita": "Il carico elevato sulle forche del carrello ostruisce parzialmente la visuale anteriore del conducente.", "rischi_potenziali": "Rischio di collisione con l'operatore seduto o con ostacoli non visibili a causa della visuale ridotta; potenziale instabilità del carico impilato in caso di manovre brusche.", "fattori_contribuenti": "Altezza del carico trasportato, presenza di personale nelle immediate vicinanze della traiettoria del mezzo."}}</t>
        </is>
      </c>
      <c r="E6" s="7" t="n">
        <v>80</v>
      </c>
      <c r="F6" s="7" t="inlineStr">
        <is>
          <t>Il punteggio di 80 è giustificato dall'elevato rischio di collisione e instabilità. La movimentazione di un carico voluminoso che ostruisce la visuale anteriore del conducente, in presenza di un operatore seduto nelle immediate vicinanze della traiettoria del carrello elevatore, rappresenta una grave violazione delle procedure di sicurezza logistica.</t>
        </is>
      </c>
      <c r="G6" s="7" t="n">
        <v>73.36</v>
      </c>
      <c r="H6" s="10" t="inlineStr">
        <is>
          <t>arancione</t>
        </is>
      </c>
    </row>
    <row r="7" ht="34" customHeight="1">
      <c r="A7" s="7" t="n">
        <v>5</v>
      </c>
      <c r="B7" s="7" t="n">
        <v>10</v>
      </c>
      <c r="C7" s="7" t="n">
        <v>14</v>
      </c>
      <c r="D7" s="7" t="inlineStr">
        <is>
          <t>{"analisi_scena": {"contesto": "Stabilimento industriale metalmeccanico con macchinari pesanti e corsie di transito.", "persone_presenti": [{"ruolo": "Operatore seduto", "posizione": "Postazione di lavoro sul lato destro", "dpi": "Abbigliamento da lavoro, altri DPI non chiaramente visibili per la distanza"}], "macchinari_oggetti": {"principali": ["Carrello elevatore", "Presse industriali", "Cassoni metallici arancioni impilati", "Pallet"], "stato": "Carrello elevatore in movimento con carico elevato"}, "dinamica_osservata": {"azione": "Il carrello elevatore trasporta tre cassoni arancioni impilati, muovendosi da sinistra verso destra.", "condizioni_ambientali": "Illuminazione interna sufficiente, segnaletica orizzontale di sicurezza parzialmente usurata."}, "analisi_sicurezza": {"limiti_visibilita": "Il carico elevato posizionato sulle forche ostruisce significativamente la visuale anteriore del conducente del muletto.", "fattori_rischio": ["Altezza eccessiva del carico che limita la visibilità anteriore", "Prossimità del percorso del muletto alla postazione dell'operatore seduto"], "sviluppi_rischiosi_plausibili": "Rischio di investimento del lavoratore seduto o collisione con strutture fisse a causa della visibilità ridotta del conducente."}}}</t>
        </is>
      </c>
      <c r="E7" s="7" t="n">
        <v>85</v>
      </c>
      <c r="F7" s="7" t="inlineStr">
        <is>
          <t>Il punteggio di 85 riflette un rischio molto elevato. Il carrello elevatore si muove con un carico impilato che ostruisce gravemente la visuale anteriore del conducente in prossimità di un operatore seduto. La mancata visibilità e la vicinanza al lavoratore generano un pericolo imminente di investimento o collisione.</t>
        </is>
      </c>
      <c r="G7" s="7" t="n">
        <v>81.59</v>
      </c>
      <c r="H7" s="11" t="inlineStr">
        <is>
          <t>rosso</t>
        </is>
      </c>
    </row>
    <row r="8" ht="34" customHeight="1">
      <c r="A8" s="7" t="n">
        <v>6</v>
      </c>
      <c r="B8" s="7" t="n">
        <v>12</v>
      </c>
      <c r="C8" s="7" t="n">
        <v>16</v>
      </c>
      <c r="D8" s="7" t="inlineStr">
        <is>
          <t>{"descrizione_scena": "Area interna di uno stabilimento industriale con macchinari pesanti e transito di mezzi di movimentazione.", "contesto": "Logistica interna e produzione metalmeccanica.", "persone": [{"ruolo": "Operatore statico", "posizione": "Seduto presso la postazione di lavoro sul lato destro", "dpi": "Non chiaramente distinguibili a causa della distanza e della risoluzione"}], "macchinari_e_oggetti": {"movimentazione": "Carrello elevatore cabinato in transito", "carico": "Tre contenitori metallici arancioni impilati sulle forche", "fissi": "Presse industriali, scaffalature, transenne e materiale stoccato sullo sfondo"}, "azioni_osservabili": "Il carrello elevatore esegue una manovra di svolta in retromarcia trasportando il carico impilato.", "condizioni_ambientali": "Illuminazione artificiale tipica da capannone, pavimentazione piana con linee di demarcazione parzialmente usurate.", "limiti_visibilita": "La presenza del carico impilato riduce la visibilità anteriore del conducente, che tuttavia procede in retromarcia. La distanza della telecamera riduce il dettaglio visivo sui comandi e sui DPI dell'operatore a terra.", "analisi_sicurezza": {"ragionamento_causale": "La manovra di svolta con un carico verticale instabile o non fissato aumenta il rischio di sbilanciamento.", "sviluppi_rischiosi": "Potenziale caduta del carico oscillante o collisione posteriore durante la svolta a causa di angoli ciechi.", "fattori_contribuenti": "Altezza del carico impilato e prossimità della traiettoria del mezzo alla postazione dell'operatore a terra."}}</t>
        </is>
      </c>
      <c r="E8" s="7" t="n">
        <v>65</v>
      </c>
      <c r="F8" s="7" t="inlineStr">
        <is>
          <t>Il punteggio riflette un rischio medio-alto dovuto alla svolta in retromarcia con tre contenitori metallici impilati sulle forche. Sebbene la retromarcia compensi la ridotta visibilità anteriore, la manovra di svolta con un carico verticale non fissato aumenta il rischio di sbilanciamento e caduta. La vicinanza della traiettoria alla postazione dell'operatore a terra incrementa la gravità potenziale in caso di collisione o perdita del carico.</t>
        </is>
      </c>
      <c r="G8" s="7" t="n">
        <v>71.64</v>
      </c>
      <c r="H8" s="10" t="inlineStr">
        <is>
          <t>arancione</t>
        </is>
      </c>
    </row>
    <row r="9" ht="34" customHeight="1">
      <c r="A9" s="7" t="n">
        <v>7</v>
      </c>
      <c r="B9" s="7" t="n">
        <v>14</v>
      </c>
      <c r="C9" s="7" t="n">
        <v>18</v>
      </c>
      <c r="D9" s="7" t="inlineStr">
        <is>
          <t>{"descrizione_scena": {"contesto": "Interno di uno stabilimento industriale metalmeccanico con macchinari pesanti e segnaletica a terra.", "macchinari": "Carrello elevatore in movimento, presse industriali sullo sfondo.", "persone": "Un operatore alla guida del carrello elevatore. Non si rilevano pedoni nelle immediate vicinanze.", "oggetti": "Cassoni metallici arancioni impilati sul carrello, pallet e attrezzature industriali."}, "analisi_operativa": {"azioni": "Il carrello elevatore sta movimentando un carico verticale di tre cassoni arancioni, effettuando una manovra di svolta o retromarcia.", "condizioni_ambientali": "Illuminazione artificiale interna sufficiente; pavimentazione industriale con macchie scure non meglio identificate (possibili residui o usura).", "limiti_visibilita": "La pila di cassoni sul carrello limita la visibilità anteriore del conducente. Angoli ciechi creati dai macchinari circostanti."}, "valutazione_sicurezza": {"dinamiche_rischiose": "La movimentazione di carichi alti riduce la stabilità del mezzo e ostruisce la visuale dell'operatore.", "sviluppi_plausibili": "Rischio di collisione con strutture fisse o ribaltamento del carico in caso di manovre brusche.", "fattori_contribuenti": "Altezza del carico impilato e presenza di ostacoli fissi nell'area di manovra.", "dpi": "L'operatore è protetto dalla cabina del carrello; non è possibile verificare l'uso di altri DPI individuali a causa della distanza."}}</t>
        </is>
      </c>
      <c r="E9" s="7" t="n">
        <v>65</v>
      </c>
      <c r="F9" s="7" t="inlineStr">
        <is>
          <t>Il punteggio di 65 riflette un rischio medio-alto dovuto alla movimentazione di un carico verticale instabile (tre cassoni impilati) che ostruisce la visibilità anteriore dell'operatore durante la manovra. Sebbene l'assenza di pedoni riduca il rischio di investimento immediato, la stabilità compromessa del mezzo e la presenza di angoli ciechi e ostacoli fissi configurano un concreto pericolo di collisione o ribaltamento del carico.</t>
        </is>
      </c>
      <c r="G9" s="7" t="n">
        <v>67.66</v>
      </c>
      <c r="H9" s="10" t="inlineStr">
        <is>
          <t>arancione</t>
        </is>
      </c>
    </row>
    <row r="10" ht="34" customHeight="1">
      <c r="A10" s="7" t="n">
        <v>8</v>
      </c>
      <c r="B10" s="7" t="n">
        <v>16</v>
      </c>
      <c r="C10" s="7" t="n">
        <v>20</v>
      </c>
      <c r="D10" s="7" t="inlineStr">
        <is>
          <t>{"contesto_scena": {"descrizione_generale": "Area di produzione di uno stabilimento metalmeccanico con macchinari pesanti e zone di stoccaggio.", "condizioni_ambientali": "Illuminazione interna artificiale uniforme; pavimentazione industriale con linee di demarcazione gialle."}, "elementi_rilevati": {"persone": "Un operatore è parzialmente visibile sul lato destro, in prossimità del carrello elevatore.", "macchinari": "Grandi presse industriali verticali (colori giallo, blu e grigio) e un carrello elevatore attivo sul lato destro.", "oggetti": "Contenitori metallici arancioni impilati, cassoni blu, lamiere e attrezzature di lavoro sparse.", "dpi": "Presenza di DPI non verificabile con certezza a causa della distanza e delle ostruzioni visive."}, "dinamica_e_visibilita": {"azioni_osservabili": "Il carrello elevatore esegue manovre di movimentazione di una colonna di contenitori metallici arancioni.", "limiti_visibilita": "La visuale sull'operatore e sulle manovre del carrello elevatore è fortemente ostacolata dall'altezza dei contenitori arancioni in primo piano."}, "analisi_rischio": {"ragionamento_causale": "La movimentazione di carichi verticalmente sviluppati riduce la visibilità circostante e sposta il baricentro del mezzo.", "sviluppi_rischiosi_plausibili": "Rischio moderato di ribaltamento del carico o di collisione con elementi non visibili dietro la pila di contenitori durante la manovra."}}</t>
        </is>
      </c>
      <c r="E10" s="7" t="n">
        <v>65</v>
      </c>
      <c r="F10" s="7" t="inlineStr">
        <is>
          <t>Il punteggio di 65 è motivato dalla movimentazione attiva di carichi verticalmente sviluppati (contenitori metallici impilati) che limitano fortemente la visibilità del carrellista. La presenza di un operatore parzialmente visibile nelle immediate vicinanze della zona di manovra, unita all'impossibilità di verificare l'uso dei DPI e al rischio di instabilità del carico, configura una situazione di potenziale pericolo medio-alto per collisioni o schiacciamenti.</t>
        </is>
      </c>
      <c r="G10" s="7" t="n">
        <v>66.06</v>
      </c>
      <c r="H10" s="10" t="inlineStr">
        <is>
          <t>arancione</t>
        </is>
      </c>
    </row>
    <row r="11" ht="34" customHeight="1">
      <c r="A11" s="7" t="n">
        <v>9</v>
      </c>
      <c r="B11" s="7" t="n">
        <v>18</v>
      </c>
      <c r="C11" s="7" t="n">
        <v>22</v>
      </c>
      <c r="D11" s="7" t="inlineStr">
        <is>
          <t>{"descrizione_scena": "Area di produzione industriale con macchinari pesanti e transito di carrelli elevatori.", "contesto": "Logistica interna e movimentazione materiali in un'officina metalmeccanica.", "persone": [{"ruolo": "Operatore del carrello elevatore", "visibilita": "Parzialmente ostruita dalla struttura del mezzo e dal carico."}, {"ruolo": "Operatore a terra", "posizione": "Seduto alla postazione di lavoro sulla destra", "attivita": "Monitoraggio o lavoro di controllo."}], "macchinari_e_oggetti": {"macchinari": ["Carrello elevatore (muletto)", "Presse industriali sullo sfondo"], "oggetti": ["Tre cassoni metallici arancioni impilati", "Contenitori metallici grigi", "Postazione di lavoro con sedia"]}, "azioni_osservate": "Il carrello elevatore esegue una manovra di svolta e arretramento trasportando una pila di tre cassoni arancioni di grandi dimensioni.", "condizioni_ambientali": {"illuminazione": "Sufficiente, di tipo artificiale.", "segnaletica": "Linee gialle di demarcazione a terra visibili ma parzialmente usurate."}, "limiti_visibilita": "Il carico elevato (tre cassoni impilati) riduce significativamente la visibilità dell'operatore del muletto nella direzione di marcia e di svolta.", "analisi_rischio": {"dinamica_in_corso": "Movimentazione di un carico verticale potenzialmente instabile e ingombrante in prossimità di una postazione di lavoro occupata.", "sviluppi_rischiosi": ["Perdita di stabilità del carico con conseguente caduta dei cassoni arancioni.", "Collisione del muletto o del carico sporgente con la postazione di lavoro dell'operatore seduto a destra a causa della visibilità ridotta."], "fattori_contribuenti": ["Altezza elevata del carico impilato che ostruisce la visuale.", "Prossimità della postazione di lavoro fissa alla zona di transito e manovra del carrello."]}, "dpi": "Non è possibile verificare con certezza l'uso di DPI specifici (es. scarpe antinfortunistiche, protezioni acustiche) a causa della distanza della telecamera."}</t>
        </is>
      </c>
      <c r="E11" s="7" t="n">
        <v>85</v>
      </c>
      <c r="F11" s="7" t="inlineStr">
        <is>
          <t>Il punteggio di 85 riflette un rischio molto elevato dovuto alla movimentazione di un carico instabile e ingombrante (tre cassoni impilati) che ostruisce gravemente la visuale dell'operatore del carrello elevatore durante una manovra di svolta e retromarcia. La presenza di un operatore a terra seduto in una postazione di lavoro adiacente all'area di manovra, combinata con la visibilità ridotta e la potenziale perdita di stabilità del carico, configura un pericolo imminente di collisione o schiacciamento.</t>
        </is>
      </c>
      <c r="G11" s="7" t="n">
        <v>82.42</v>
      </c>
      <c r="H11" s="11" t="inlineStr">
        <is>
          <t>rosso</t>
        </is>
      </c>
    </row>
    <row r="12" ht="34" customHeight="1">
      <c r="A12" s="7" t="n">
        <v>10</v>
      </c>
      <c r="B12" s="7" t="n">
        <v>20</v>
      </c>
      <c r="C12" s="7" t="n">
        <v>24</v>
      </c>
      <c r="D12" s="7" t="inlineStr">
        <is>
          <t>{"descrizione_generale": "Area di produzione industriale con macchinari pesanti e transito di un carrello elevatore.", "contesto": "Logistica interna e manifattura metallica.", "persone_presenti": [{"ruolo": "Operatore seduto", "posizione": "Postazione di lavoro sulla destra", "dpi": "Non chiaramente identificabili per la distanza"}], "macchinari_e_oggetti": {"macchinari": ["Carrello elevatore in movimento", "Presse industriali verticali"], "oggetti": ["Pila di cassoni metallici arancioni", "Pallet e attrezzature di lavoro"]}, "azioni_osservabili": "Il carrello elevatore trasporta una pila instabile o molto alta di cassoni arancioni vicino a una postazione occupata.", "condizioni_ambientali": {"illuminazione": "Standard industriale", "limiti_visibilita": "La visuale anteriore del carrellista è parzialmente ostruita dall'altezza del carico trasportato."}, "analisi_sicurezza": {"ragionamento_causale": "Il trasporto di carichi che superano l'altezza degli occhi del conducente riduce la visibilità e aumenta il rischio di collisione.", "sviluppi_rischiosi": "Possibile urto contro la postazione di lavoro adiacente o investimento dell'operatore seduto nelle vicinanze.", "fattori_contribuenti": "Altezza del carico e prossimità della traiettoria del carrello alle aree di lavoro fisse."}}</t>
        </is>
      </c>
      <c r="E12" s="7" t="n">
        <v>85</v>
      </c>
      <c r="F12" s="7" t="inlineStr">
        <is>
          <t>Il carrello elevatore trasporta un carico instabile e sufficientemente alto da ostruire la visuale anteriore del conducente, muovendosi in prossimità di una postazione di lavoro occupata da un operatore seduto. La combinazione di visibilità ridotta, instabilità del carico e vicinanza al personale aumenta drasticamente il rischio di collisione o investimento.</t>
        </is>
      </c>
      <c r="G12" s="7" t="n">
        <v>83.97</v>
      </c>
      <c r="H12" s="11" t="inlineStr">
        <is>
          <t>rosso</t>
        </is>
      </c>
    </row>
    <row r="13" ht="34" customHeight="1">
      <c r="A13" s="7" t="n">
        <v>11</v>
      </c>
      <c r="B13" s="7" t="n">
        <v>22</v>
      </c>
      <c r="C13" s="7" t="n">
        <v>26</v>
      </c>
      <c r="D13" s="7" t="inlineStr">
        <is>
          <t>{"analisi_scena": {"contesto": "Stabilimento industriale con macchinari per stampaggio o lavorazione metalli.", "descrizione_generale": "Movimentazione di carichi tramite carrello elevatore in un'area di produzione attiva."}, "elementi_rilevati": {"persone": [{"ruolo": "Operatore seduto", "posizione": "Postazione di lavoro sulla destra", "dpi_visibili": "Non chiaramente identificabili a causa della distanza"}], "macchinari_e_oggetti": [{"tipo": "Carrello elevatore", "stato": "In movimento, parzialmente occultato dal carico"}, {"tipo": "Contenitori metallici arancioni", "stato": "Impilati in tre unità, trasportati dal carrello"}, {"tipo": "Presse industriali", "stato": "Sullo sfondo, statiche o in funzione"}]}, "dinamiche_e_rischi": {"azioni_osservate": "Il carrello elevatore sposta una pila di tre cassoni arancioni procedendo in avanti.", "limiti_visibilita": "L'altezza del carico ostruisce quasi completamente la visuale anteriore del conducente e occulta il mezzo stesso.", "fattori_contribuenti": "Layout di fabbrica complesso con spazi di manovra ridotti e presenza di personale nelle vicinanze.", "sviluppi_rischiosi": "Rischio moderato di collisione (valutazione compressa: 4/10) con ostacoli o con l'operatore seduto a destra a causa della visibilità ridotta del conducente."}}</t>
        </is>
      </c>
      <c r="E13" s="7" t="n">
        <v>55</v>
      </c>
      <c r="F13" s="7" t="inlineStr">
        <is>
          <t>Il carrello elevatore procede in avanti nonostante il carico di tre cassoni metallici ostruisca quasi completamente la visuale anteriore del conducente. Questa condotta, contraria alle norme di sicurezza che impongono la guida in retromarcia in caso di visibilità ridotta, aumenta significativamente il rischio di collisione con l'operatore presente sulla destra e con le strutture circostanti in un'area di manovra ristretta.</t>
        </is>
      </c>
      <c r="G13" s="7" t="n">
        <v>66.59</v>
      </c>
      <c r="H13" s="10" t="inlineStr">
        <is>
          <t>arancione</t>
        </is>
      </c>
    </row>
    <row r="14" ht="34" customHeight="1">
      <c r="A14" s="7" t="n">
        <v>12</v>
      </c>
      <c r="B14" s="7" t="n">
        <v>24</v>
      </c>
      <c r="C14" s="7" t="n">
        <v>28</v>
      </c>
      <c r="D14" s="7" t="inlineStr">
        <is>
          <t>{"analisi_temporale": {"inizio_s": 24.0, "fine_s": 28.0, "durata_s": 4.0}, "scena_e_contesto": {"descrizione_generale": "Area di transito e lavorazione all'interno di uno stabilimento industriale.", "contesto": "Reparto produttivo metalmeccanico con presenza di macchinari e stoccaggio materiali."}, "soggetti_e_oggetti": {"persone": [{"ruolo": "Operatore alla postazione", "posizione": "Seduto sul lato destro dello schermo", "dpi": "Indumenti da lavoro scuri; altri DPI non sono chiaramente distinguibili a causa della distanza."}], "macchinari": ["Carrello elevatore cabinato", "Presse industriali e postazioni di lavoro fisse"], "oggetti": ["Tre contenitori metallici arancioni impilati", "Pallet e scaffalature metalliche"]}, "dinamica_e_azioni": {"azione_principale": "Il carrello elevatore movimenta la pila di tre cassoni arancioni effettuando una manovra di svolta.", "condizioni_ambientali": "Illuminazione artificiale interna standard, pavimentazione piana con segnaletica orizzontale gialla."}, "analisi_sicurezza": {"limiti_visibilita": "L'altezza dei tre cassoni impilati riduce significativamente la visibilità anteriore dell'operatore del carrello elevatore.", "fattori_contribuenti": "Presenza di un operatore seduto nelle immediate vicinanze della traiettoria di manovra del mezzo.", "sviluppi_rischiosi_plausibili": "Possibile perdita di stabilità del carico alto durante la svolta o collisione accidentale con la postazione adiacente a causa della visibilità limitata.", "livello_rischio_stimato": "Moderato (valutazione compressa: 3 su 5)"}}</t>
        </is>
      </c>
      <c r="E14" s="7" t="n">
        <v>60</v>
      </c>
      <c r="F14" s="7" t="inlineStr">
        <is>
          <t>Il punteggio di 60 riflette un rischio moderato-alto. La movimentazione di tre cassoni metallici impilati riduce drasticamente la visibilità anteriore del carrellista durante una manovra di svolta. La presenza di un operatore seduto nelle immediate vicinanze della traiettoria aumenta il rischio di collisione o di investimento in caso di perdita di stabilità del carico.</t>
        </is>
      </c>
      <c r="G14" s="7" t="n">
        <v>63.89</v>
      </c>
      <c r="H14" s="10" t="inlineStr">
        <is>
          <t>arancione</t>
        </is>
      </c>
    </row>
    <row r="15" ht="34" customHeight="1">
      <c r="A15" s="7" t="n">
        <v>13</v>
      </c>
      <c r="B15" s="7" t="n">
        <v>26</v>
      </c>
      <c r="C15" s="7" t="n">
        <v>30</v>
      </c>
      <c r="D15" s="7" t="inlineStr">
        <is>
          <t>{"analisi_scena": {"contesto": "Stabilimento industriale con macchinari pesanti e linee di transito segnate sul pavimento.", "condizioni_ambientali": "Illuminazione interna artificiale sufficiente, pavimentazione piana con segnaletica orizzontale parzialmente usurata."}, "elementi_rilevati": {"macchinari": ["Carrello elevatore in movimento", "Presse industriali verticali (gialle e blu)", "Attrezzature di produzione fisse"], "persone": ["Operatore seduto alla postazione di lavoro sulla destra", "Pedone con giacca rossa che cammina sullo sfondo (secondi finali)"], "oggetti": ["Tre cassoni metallici arancioni impilati trasportati dal carrello", "Pallet e contenitori di stoccaggio"], "dpi": "Presenza di abbigliamento da lavoro standard; la distanza impedisce di verificare l'uso di piccoli DPI (es. tappi, occhiali)."}, "dinamica_e_rischi": {"azioni_osservate": "Il carrello elevatore trasporta un carico elevato di cassoni arancioni, muovendosi verso sinistra fino a uscire dal campo visivo.", "limiti_visibilita": "Il carico impilato sul carrello limita significativamente la visuale anteriore dell'operatore alla guida.", "ragionamento_prudenziale": "La movimentazione di carichi alti che ostruiscono la visuale richiede estrema cautela o la guida in retromarcia per evitare collisioni.", "sviluppi_rischiosi": "Rischio moderato di investimento di pedoni o collisione con ostacoli fissi a causa della visibilità ridotta del conducente durante il trasporto del carico impilato."}}</t>
        </is>
      </c>
      <c r="E15" s="7" t="n">
        <v>70</v>
      </c>
      <c r="F15" s="7" t="inlineStr">
        <is>
          <t>Il carrello elevatore trasporta un carico di cassoni metallici impilati che ostruisce significativamente la visuale anteriore del conducente. Sebbene non vi sia una collisione imminente, la presenza di pedoni e operatori nell'area, unita alla mancata guida in retromarcia per compensare la perdita di visibilità, rappresenta un rischio elevato di investimento o collisione.</t>
        </is>
      </c>
      <c r="G15" s="7" t="n">
        <v>70.06</v>
      </c>
      <c r="H15" s="10" t="inlineStr">
        <is>
          <t>arancione</t>
        </is>
      </c>
    </row>
    <row r="16" ht="34" customHeight="1">
      <c r="A16" s="7" t="n">
        <v>14</v>
      </c>
      <c r="B16" s="7" t="n">
        <v>28</v>
      </c>
      <c r="C16" s="7" t="n">
        <v>32</v>
      </c>
      <c r="D16" s="7" t="inlineStr">
        <is>
          <t>{"metadati": {"intervallo_temporale": "28.0s - 32.0s", "durata": "4.0s"}, "scena_e_contesto": {"descrizione": "Interno di uno stabilimento industriale metalmeccanico con presse e attrezzature per la lavorazione della lamiera.", "condizioni_ambientali": "Illuminazione artificiale uniforme, pavimentazione con segni di usura e linee di demarcazione parzialmente visibili."}, "soggetti_e_attivita": {"operatore_destra": "Seduto davanti a una pressa industriale, apparentemente intento a monitorare o eseguire lavorazioni.", "pedone_sfondo": "Soggetto con giacca rossa che cammina nell'area di transito sullo sfondo."}, "elementi_rilevati": {"macchinari": "Presse verticali di grandi dimensioni (gialle e blu), sistemi di stoccaggio e carrelli.", "oggetti": "Contenitori metallici, pallet, bobine e attrezzature varie disposte nell'area di lavoro."}, "analisi_sicurezza": {"dpi_osservabili": "Non è possibile confermare con certezza l'uso di DPI specifici (es. scarpe di sicurezza, tappi) a causa della distanza e della risoluzione.", "limiti_visivi": "La distanza della telecamera crea occlusioni parziali e limita la valutazione dettagliata delle azioni dei soggetti.", "dinamiche_rischio": "Il transito di pedoni vicino a zone di lavoro attivo comporta rischi di interferenza. La presenza di materiali a terra richiede attenzione per evitare inciampi."}}</t>
        </is>
      </c>
      <c r="E16" s="7" t="n">
        <v>35</v>
      </c>
      <c r="F16" s="7" t="inlineStr">
        <is>
          <t>Il punteggio di 35 indica un rischio moderato. Non si registrano pericoli imminenti o comportamenti palesemente non sicuri, tuttavia la presenza di un pedone in transito vicino a zone di lavoro attivo e la segnalazione di materiali a terra (potenziale rischio inciampo) richiedono vigilanza. L'impossibilità di verificare i DPI a causa della distanza aggiunge un lieve fattore di incertezza.</t>
        </is>
      </c>
      <c r="G16" s="7" t="n">
        <v>49.02</v>
      </c>
      <c r="H16" s="10" t="inlineStr">
        <is>
          <t>arancione</t>
        </is>
      </c>
    </row>
    <row r="17" ht="34" customHeight="1">
      <c r="A17" s="7" t="n">
        <v>15</v>
      </c>
      <c r="B17" s="7" t="n">
        <v>30</v>
      </c>
      <c r="C17" s="7" t="n">
        <v>34</v>
      </c>
      <c r="D17" s="7" t="inlineStr">
        <is>
          <t>{"scena_e_contesto": {"descrizione": "Officina metalmeccanica con macchinari industriali pesanti, presse e aree di stoccaggio.", "condizioni_ambientali": "Illuminazione interna sufficiente, pavimentazione industriale con segnaletica parzialmente visibile."}, "elementi_rilevati": {"persone": [{"ruolo": "Operatore seduto", "posizione": "Lato destro, vicino alla pressa blu e gialla", "azione": "Monitoraggio o comando del macchinario", "dpi": "Non chiaramente verificabili a causa della distanza"}, {"ruolo": "Pedone", "posizione": "Sfondo a destra, cammina in maglietta rossa", "azione": "Transito nell'area di lavoro", "dpi": "Non identificabili"}], "macchinari_e_oggetti": ["Grandi presse industriali (gialle, blu, grigie)", "Scaffalature metalliche e contenitori di stoccaggio", "Carrello elevatore/transpallet sullo sfondo a sinistra"]}, "analisi_sicurezza": {"limiti_visibilita": "Inquadratura grandangolare dall'alto; dettagli sui DPI e piccoli ostacoli a terra sono difficili da valutare con precisione.", "fattori_rischio_osservabili": "Presenza di un pedone in transito vicino a zone operative e macchinari pesanti in funzione.", "sviluppi_rischiosi_plausibili": "Rischio moderato di interferenza tra pedone e aree di movimento macchine, o inciampo su materiali stoccati vicino alle linee di transito.", "valutazione_prudenziale": "La situazione appare stabile, ma la compresenza di attività manuali e transito pedonale richiede costante separazione delle aree."}}</t>
        </is>
      </c>
      <c r="E17" s="7" t="n">
        <v>30</v>
      </c>
      <c r="F17" s="7" t="inlineStr">
        <is>
          <t>Il punteggio di 30 indica un livello di rischio moderato. La scena è complessivamente stabile, ma la presenza di un pedone in transito vicino a macchinari industriali pesanti in funzione, unita all'impossibilità di verificare l'uso dei DPI a causa della distanza, rappresenta un potenziale fattore di rischio che richiede una costante separazione delle aree di lavoro-pedoni.</t>
        </is>
      </c>
      <c r="G17" s="7" t="n">
        <v>37.61</v>
      </c>
      <c r="H17" s="8" t="inlineStr">
        <is>
          <t>giallo</t>
        </is>
      </c>
    </row>
    <row r="18" ht="34" customHeight="1">
      <c r="A18" s="7" t="n">
        <v>16</v>
      </c>
      <c r="B18" s="7" t="n">
        <v>32</v>
      </c>
      <c r="C18" s="7" t="n">
        <v>34</v>
      </c>
      <c r="D18" s="7" t="inlineStr">
        <is>
          <t>{"analisi_temporale": {"inizio_s": 32.0, "fine_s": 34.0, "durata_s": 2.0}, "descrizione_scena": {"contesto": "Interno di uno stabilimento industriale metalmeccanico con macchinari pesanti per lo stampaggio o lavorazione della lamiera.", "condizioni_ambientali": "Illuminazione artificiale interna uniforme, pavimentazione industriale in cemento con segnaletica orizzontale di sicurezza (linee gialle)."}, "soggetti_e_attrezzature": {"personale": [{"ruolo": "Operatore", "posizione": "Seduto su una sedia davanti alla pressa industriale sul lato destro della scena.", "attivita": "Monitoraggio o controllo del macchinario.", "dpi_rilevabili": "Abbigliamento da lavoro scuro. La distanza della telecamera impedisce di verificare con certezza l'uso di DPI specifici come scarpe antinfortunistiche o tappi auricolari."}], "macchinari_principali": ["Presse verticali industriali (colori giallo, blu e grigio)", "Carrello elevatore visibile sullo sfondo a sinistra", "Contenitori metallici e ceste per lo stoccaggio di componenti"]}, "analisi_sicurezza": {"limiti_osservativi": "La risoluzione e la distanza della telecamera limitano la visibilità dei dettagli sui comandi dei macchinari e sui DPI dell'operatore.", "fattori_rischio_potenziali": "L'operatore lavora in prossimità di una pressa attiva. La presenza di materiali e ostacoli vicino alle linee di transito gialle potrebbe limitare lo spazio di manovra sicuro.", "sviluppi_rischiosi_plausibili": "Rischio moderato di schiacciamento degli arti superiori durante l'interazione con la pressa o affaticamento ergonomico dovuto alla postura seduta prolungata."}}</t>
        </is>
      </c>
      <c r="E18" s="7" t="n">
        <v>35</v>
      </c>
      <c r="F18" s="7" t="inlineStr">
        <is>
          <t>Il punteggio di 35 indica un rischio moderato. L'operatore lavora vicino a una pressa industriale attiva, configurando un rischio intrinseco di schiacciamento degli arti superiori e affaticamento ergonomico dovuto alla postura. Inoltre, la presenza di ostacoli vicino alle linee di transito e l'impossibilità di verificare i DPI specifici aumentano la necessità di vigilanza, pur in assenza di pericoli imminenti.</t>
        </is>
      </c>
      <c r="G18" s="7" t="n">
        <v>37.29</v>
      </c>
      <c r="H18" s="8" t="inlineStr">
        <is>
          <t>giallo</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16" customWidth="1" min="8" max="8"/>
    <col width="8" customWidth="1" min="9" max="9"/>
    <col width="7" customWidth="1" min="10" max="10"/>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4" t="inlineStr">
        <is>
          <t>instantaneous_risk_score_vlm</t>
        </is>
      </c>
      <c r="H1" s="4" t="inlineStr">
        <is>
          <t>score_rationale_vlm</t>
        </is>
      </c>
      <c r="I1" s="4" t="inlineStr">
        <is>
          <t>dynamic_risk_score_vlm</t>
        </is>
      </c>
      <c r="J1" s="4" t="inlineStr">
        <is>
          <t>traffic_light_color_vlm</t>
        </is>
      </c>
    </row>
    <row r="2" ht="34" customHeight="1">
      <c r="A2" s="7" t="n">
        <v>0</v>
      </c>
      <c r="B2" s="7" t="n">
        <v>0</v>
      </c>
      <c r="C2" s="7" t="n">
        <v>4</v>
      </c>
      <c r="D2" s="7" t="inlineStr">
        <is>
          <t>{"scene_state": "Officina industriale con macchinari per la lavorazione dei metalli.", "environmental_conditions": ["Illuminazione interna", "Luce solare sul pavimento a sinistra", "Linee di sicurezza gialle sul pavimento"], "people": [{"descrizione": "Un operatore seduto di spalle su uno sgabello", "azione": "Lavora o monitora una pressa industriale sul lato destro"}], "objects": ["Contenitori metallici", "Scatole su pallet", "Carrello rosso", "Pezzi metallici"], "machines": ["Grandi presse industriali per stampaggio"], "observable_actions": ["L'operatore rimane seduto davanti alla macchina per tutta la durata della clip"], "visible_ppe": ["Abbigliamento da lavoro scuro, DPI specifici non distinguibili per la distanza"], "notes_visibility_limitations": "Inquadratura dall'alto e distanza elevata che limitano la visibilità dei dettagli dei DPI."}</t>
        </is>
      </c>
      <c r="E2" s="7" t="inlineStr">
        <is>
          <t>{"unsafe_behaviors": ["Postura seduta su sgabello in prossimità immediata di una pressa industriale in funzione, che potrebbe limitare la reattività in caso di emergenza"], "vulnerable_elements": ["Operatore posizionato vicino alla pressa industriale"],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0.7, "diagnostic_notes": "L'operatore lavora molto vicino a una pressa industriale per stampaggio. A causa della distanza e dell'inquadratura dall'alto, non è possibile verificare la presenza di barriere di sicurezza fisiche o fotoelettriche attive (S6). La postura seduta su uno sgabello vicino a macchinari pesanti rappresenta un potenziale fattore di rischio ergonomico o di ridotta reattività (S3). Non si rilevano mezzi in movimento o movimentazione manuale di carichi durante la finestra temporale analizzata."}</t>
        </is>
      </c>
      <c r="F2" s="7" t="inlineStr">
        <is>
          <t>{"causal_chain_plausible": true, "causal_chain_text": "L'operatore lavora seduto su uno sgabello a ridosso di una pressa in funzione. Questa postura riduce la prontezza di riflessi e la mobilità rapida. In caso di anomalia della macchina o movimento imprevisto, l'operatore potrebbe non essere in grado di allontanarsi tempestivamente, subendo lesioni.", "near_miss_or_incident_scenario": "Contatto accidentale o schiacciamento degli arti superiori con gli organi in movimento della pressa a causa della ridotta distanza e della limitata reattività motoria dovuta alla posizione seduta.", "contributing_factors": ["Posizione seduta su sgabello che riduce la mobilità e la reattività dell'operatore", "Estrema prossimità alla zona di operazione della pressa industriale", "Mancanza di barriere di protezione visibili o verificabili tra l'operatore e gli organi in movimento"]}</t>
        </is>
      </c>
      <c r="G2" s="7" t="n">
        <v>40</v>
      </c>
      <c r="H2" s="7" t="inlineStr">
        <is>
          <t>Il punteggio riflette un rischio moderato dovuto alla postura seduta dell'operatore in estrema prossimità della pressa in funzione, che ne limita la reattività e la mobilità in caso di emergenza. Inoltre, la distanza dell'inquadratura non consente di verificare la presenza di barriere fisiche o fotoelettriche attive a protezione dagli organi in movimento.</t>
        </is>
      </c>
      <c r="I2" s="7" t="n">
        <v>40</v>
      </c>
      <c r="J2" s="8" t="inlineStr">
        <is>
          <t>giallo</t>
        </is>
      </c>
    </row>
    <row r="3" ht="34" customHeight="1">
      <c r="A3" s="7" t="n">
        <v>1</v>
      </c>
      <c r="B3" s="7" t="n">
        <v>2</v>
      </c>
      <c r="C3" s="7" t="n">
        <v>6</v>
      </c>
      <c r="D3" s="7" t="inlineStr">
        <is>
          <t>{"scene_state": "Interno di un'officina meccanica industriale con presse e attrezzature.", "environmental_conditions": ["Illuminazione interna artificiale", "Fascio di luce naturale sul pavimento a sinistra", "Pavimento industriale grigio con strisce di sicurezza gialle"], "people": ["Un operatore seduto di spalle su una sedia davanti a un macchinario"], "objects": ["Pallet con scatole", "Carrello rosso", "Contenitori metallici", "Componenti metallici lavorati"], "machines": ["Presse industriali di grandi dimensioni", "Rulliera metallica in primo piano"], "observable_actions": ["L'operatore rimane seduto davanti alla pressa, apparentemente impegnato in attività di controllo o assemblaggio"], "visible_ppe": ["Abbigliamento da lavoro standard (dettagli non distinguibili)"], "notes_visibility_limitations": "La distanza della telecamera e l'angolazione posteriore rispetto all'operatore impediscono l'identificazione precisa dei DPI."}</t>
        </is>
      </c>
      <c r="E3" s="7" t="inlineStr">
        <is>
          <t>{"unsafe_behaviors": ["Operatore posizionato di spalle rispetto alla zona di transito dell'officina, con potenziale riduzione della consapevolezza situazionale"], "vulnerable_elements": ["Operatore seduto davanti alla pressa industriale"], "risk_cues": {"S1_people_vehicle_interference": 0.0, "S2_visibility_attention_reduction": 0.5, "S3_non_compliant_behavior": 0.25, "S4_vehicle_infrastructure_interference": 0.0, "S5_storage_structural_instability": 0.25, "S6_access_to_moving_mechanical_parts": 0.5, "S7_manual_handling_heavy_unstable_loads": 0.0}, "cue_confidence": 0.7, "diagnostic_notes": "L'operatore lavora di spalle rispetto al resto dell'officina, limitando il proprio campo visivo posteriore (S2). La prossimità alla pressa industriale suggerisce un potenziale rischio di contatto con organi in movimento (S6), ma l'inquadratura posteriore e la distanza impediscono di verificare la presenza di barriere di sicurezza o l'uso corretto dei DPI."}</t>
        </is>
      </c>
      <c r="F3" s="7" t="inlineStr">
        <is>
          <t>{"causal_chain_plausible": true, "causal_chain_text": "L'operatore lavora di spalle rispetto alla zona di transito dell'officina e in prossimità di una pressa industriale. La ridotta consapevolezza situazionale posteriore, combinata con la vicinanza a organi meccanici in movimento, può impedire di percepire tempestivamente pericoli derivanti da mezzi in transito o anomalie della macchina stessa, portando a un impatto o a un contatto accidentale.", "near_miss_or_incident_scenario": "Un carrello o un mezzo di movimentazione transita nella zona alle spalle dell'operatore; quest'ultimo, non avvedendosi del mezzo a causa della posizione e del rumore ambientale, effettua un movimento improvviso all'indietro venendo urtato.", "contributing_factors": ["Posizionamento dell'operatore di spalle rispetto alla zona di transito", "Ridotta consapevolezza situazionale e limitazione del campo visivo posteriore", "Prossimità immediata a una pressa industriale potenzialmente attiva", "Impossibilità di verificare l'adozione di barriere di sicurezza o DPI adeguati dall'inquadratura"]}</t>
        </is>
      </c>
      <c r="G3" s="7" t="n">
        <v>40</v>
      </c>
      <c r="H3" s="7" t="inlineStr">
        <is>
          <t>Il punteggio riflette un rischio moderato dovuto alla ridotta consapevolezza situazionale dell'operatore, che lavora di spalle rispetto alla zona di transito e vicino a una pressa. Pur in assenza di minacce immediate, tale configurazione aumenta la vulnerabilità a urti con mezzi o contatti accidentali con la macchina.</t>
        </is>
      </c>
      <c r="I3" s="7" t="n">
        <v>40</v>
      </c>
      <c r="J3" s="8" t="inlineStr">
        <is>
          <t>giallo</t>
        </is>
      </c>
    </row>
    <row r="4" ht="34" customHeight="1">
      <c r="A4" s="7" t="n">
        <v>2</v>
      </c>
      <c r="B4" s="7" t="n">
        <v>4</v>
      </c>
      <c r="C4" s="7" t="n">
        <v>8</v>
      </c>
      <c r="D4" s="7" t="inlineStr">
        <is>
          <t>{"scene_state": "Stabilimento industriale con macchinari pesanti, aree di stoccaggio e postazioni di lavoro.", "environmental_conditions": ["Illuminazione interna artificiale", "Riflessi di luce sul pavimento in cemento", "Linee di sicurezza gialle sul pavimento"], "people": ["Un operatore seduto davanti a una postazione di lavoro sulla destra"], "objects": ["Scatole di cartone su pallet", "Carrelli metallici", "Contenitori per materiali", "Scaffalature di stoccaggio"], "machines": ["Presse industriali di grandi dimensioni", "Un carrello elevatore visibile sullo sfondo a sinistra"], "observable_actions": ["Il carrello elevatore sullo sfondo a sinistra esegue una manovra", "L'operatore sulla destra rimane seduto alla sua postazione"], "visible_ppe": ["Non chiaramente identificabili a causa della distanza"], "notes_visibility_limitations": "La visuale dall'alto e la distanza riducono la nitidezza dei dettagli sullo sfondo e dei DPI dell'operatore."}</t>
        </is>
      </c>
      <c r="E4" s="7" t="inlineStr">
        <is>
          <t>{"unsafe_behaviors": [], "vulnerable_elements": ["Operatore seduto alla postazione di lavoro sulla destra"], "risk_cues": {"S1_people_vehicle_interference": 0.25, "S2_visibility_attention_reduction": 0.25, "S3_non_compliant_behavior": 0.0, "S4_vehicle_infrastructure_interference": 0.25, "S5_storage_structural_instability": 0.0, "S6_access_to_moving_mechanical_parts": 0.0, "S7_manual_handling_heavy_unstable_loads": 0.0}, "cue_confidence": 0.75, "diagnostic_notes": "La scena mostra un carrello elevatore in manovra sullo sfondo e un operatore seduto a destra. Non si evidenziano interferenze dirette o comportamenti non conformi. La distanza e l'inquadratura dall'alto limitano la verifica dei DPI dell'operatore e dei dettagli sullo sfondo."}</t>
        </is>
      </c>
      <c r="F4" s="7" t="inlineStr">
        <is>
          <t>{"causal_chain_plausible": false, "causal_chain_text": "Non si evidenzia una catena causale plausibile a causa della separazione spaziale tra il carrello elevatore sullo sfondo e l'operatore statico sulla destra.", "near_miss_or_incident_scenario": "Nessun evento avverso prevedibile data la distanza tra i soggetti e l'assenza di comportamenti non conformi.", "contributing_factors": ["Compresenza di mezzi di movimentazione e personale nello stesso capannone", "Visibilità limitata dei DPI dell'operatore dovuta alla distanza dell'inquadratura"]}</t>
        </is>
      </c>
      <c r="G4" s="7" t="n">
        <v>15</v>
      </c>
      <c r="H4" s="7" t="inlineStr">
        <is>
          <t>Il rischio è basso poiché il carrello elevatore opera sullo sfondo a debita distanza dall'operatore statico, senza interferenze dirette o comportamenti non conformi. La compresenza di mezzi e pedoni nello stesso ambiente richiede comunque una costante vigilanza generale.</t>
        </is>
      </c>
      <c r="I4" s="7" t="n">
        <v>25</v>
      </c>
      <c r="J4" s="8" t="inlineStr">
        <is>
          <t>giallo</t>
        </is>
      </c>
    </row>
    <row r="5" ht="34" customHeight="1">
      <c r="A5" s="7" t="n">
        <v>3</v>
      </c>
      <c r="B5" s="7" t="n">
        <v>6</v>
      </c>
      <c r="C5" s="7" t="n">
        <v>10</v>
      </c>
      <c r="D5" s="7" t="inlineStr">
        <is>
          <t>{"scene_state": "Officina industriale attiva con macchinari pesanti, un carrello elevatore in movimento sullo sfondo e un operatore a una postazione.", "environmental_conditions": ["Illuminazione artificiale interna", "Pavimentazione industriale con linee di demarcazione gialle"], "people": ["Un operatore seduto davanti alla pressa sulla destra", "Un operatore a bordo del carrello elevatore sullo sfondo a sinistra"], "objects": ["Scatole di cartone su pallet", "Contenitori metallici e cassonetti rossi", "Carrello mobile rosso", "Lamiere e componenti metallici"], "machines": ["Presse industriali verticali (gialle e blu)", "Carrello elevatore (muletto)"], "observable_actions": ["Il carrello elevatore esegue manovre sullo sfondo a sinistra", "L'operatore sulla destra lavora seduto alla propria postazione"], "visible_ppe": ["Abbigliamento da lavoro (altri DPI non chiaramente distinguibili a causa della distanza)"], "notes_visibility_limitations": "La distanza della telecamera e l'inquadratura dall'alto limitano la visibilità dei dettagli sui DPI e sui volti."}</t>
        </is>
      </c>
      <c r="E5" s="7" t="inlineStr">
        <is>
          <t>{"unsafe_behaviors": [], "vulnerable_elements": ["Operatore seduto alla pressa", "Conducente del carrello elevatore"], "risk_cues": {"S1_people_vehicle_interference": 0.25, "S2_visibility_attention_reduction": 0.25, "S3_non_compliant_behavior": 0.25, "S4_vehicle_infrastructure_interference": 0.25, "S5_storage_structural_instability": 0.0, "S6_access_to_moving_mechanical_parts": 0.5, "S7_manual_handling_heavy_unstable_loads": 0.0}, "cue_confidence": 0.7, "diagnostic_notes": "La distanza della telecamera limita la visibilità dei dettagli sui DPI e sulle barriere di sicurezza della pressa. L'operatore lavora alla pressa (rischio moderato S6), mentre il muletto manovra sullo sfondo (S1, S4 a livello potenziale)."}</t>
        </is>
      </c>
      <c r="F5" s="7" t="inlineStr">
        <is>
          <t>{"causal_chain_plausible": true, "causal_chain_text": "La presenza di un carrello elevatore in movimento e di un operatore concentrato alla pressa crea un rischio di interferenza. Se l'operatore si spostasse improvvisamente o se il muletto deviasse dalla traiettoria, la mancanza di barriere visibili potrebbe portare a un impatto o a un contatto accidentale con la pressa.", "near_miss_or_incident_scenario": "Investimento dell'operatore da parte del carrello elevatore durante le manovre sullo sfondo, o schiacciamento delle mani nella pressa per assenza di barriere protettive adeguate.", "contributing_factors": ["Movimentazione del carrello elevatore in prossimità della postazione di lavoro", "Mancanza di barriere di sicurezza chiaramente visibili sulla pressa verticale", "Potenziale distrazione dovuta alla compresenza di attività rumorose e dinamiche"]}</t>
        </is>
      </c>
      <c r="G5" s="7" t="n">
        <v>35</v>
      </c>
      <c r="H5" s="7" t="inlineStr">
        <is>
          <t>Il rischio è moderato a causa della compresenza di un carrello elevatore in movimento e di un operatore alla pressa verticale. La distanza della telecamera impedisce di verificare con certezza l'uso dei DPI e la presenza di barriere di sicurezza adeguate sulla pressa.</t>
        </is>
      </c>
      <c r="I5" s="7" t="n">
        <v>36</v>
      </c>
      <c r="J5" s="8" t="inlineStr">
        <is>
          <t>giallo</t>
        </is>
      </c>
    </row>
    <row r="6" ht="34" customHeight="1">
      <c r="A6" s="7" t="n">
        <v>4</v>
      </c>
      <c r="B6" s="7" t="n">
        <v>8</v>
      </c>
      <c r="C6" s="7" t="n">
        <v>12</v>
      </c>
      <c r="D6" s="7" t="inlineStr">
        <is>
          <t>{"scene_state": "Stabilimento industriale con macchinari pesanti e transito di carrelli elevatori.", "environmental_conditions": ["Illuminazione interna artificiale", "Pavimentazione industriale grigia con linee di demarcazione gialle"], "people": ["Un operatore seduto davanti a una pressa sul lato destro", "Un conducente a bordo del carrello elevatore in movimento"], "objects": ["Contenitori metallici arancioni impilati", "Scatole di cartone su pallet", "Attrezzature da lavoro"], "machines": ["Presse industriali di grandi dimensioni (gialle, blu e grigie)", "Un carrello elevatore in movimento che trasporta cassoni arancioni", "Un secondo carrello elevatore visibile sullo sfondo a sinistra"], "observable_actions": ["Un carrello elevatore attraversa l'area di lavoro da sinistra a destra trasportando un carico di cassoni arancioni", "Un operatore rimane seduto presso la postazione di lavoro sulla destra"], "visible_ppe": ["Non chiaramente identificabili a causa della distanza della telecamera"], "notes_visibility_limitations": "La distanza della telecamera e la risoluzione limitano la visibilità dei dettagli sui DPI e sui volti dei lavoratori."}</t>
        </is>
      </c>
      <c r="E6" s="7" t="inlineStr">
        <is>
          <t>{"unsafe_behaviors": [], "vulnerable_elements": ["Operatore seduto alla pressa sul lato destro"], "risk_cues": {"S1_people_vehicle_interference": 0.5, "S2_visibility_attention_reduction": 0.25, "S3_non_compliant_behavior": 0.0, "S4_vehicle_infrastructure_interference": 0.25, "S5_storage_structural_instability": 0.25, "S6_access_to_moving_mechanical_parts": 0.0, "S7_manual_handling_heavy_unstable_loads": 0.0}, "cue_confidence": 0.8, "diagnostic_notes": "Si rileva la compresenza di un carrello elevatore in movimento e di un operatore seduto alla sua postazione di lavoro. Sebbene siano presenti linee di demarcazione gialle sulla pavimentazione, la vicinanza del mezzo in transito configura un rischio moderato di interferenza (S1). Il carico di cassoni arancioni sul carrello potrebbe ridurre la visibilità anteriore del conducente (S2). Non si registrano comportamenti scorretti o instabilità dei carichi stoccati."}</t>
        </is>
      </c>
      <c r="F6" s="7" t="inlineStr">
        <is>
          <t>{"causal_chain_plausible": true, "causal_chain_text": "Il trasporto di cassoni arancioni sul carrello elevatore può limitare la visibilità anteriore del conducente. Se il conducente, con visibilità ridotta, transita vicino alla postazione della pressa e l'operatore seduto non si avvede del mezzo, si può verificare una collisione per deviazione accidentale o mancata percezione delle distanze.", "near_miss_or_incident_scenario": "Collisione o investimento dell'operatore seduto alla pressa da parte del carrello elevatore in transito.", "contributing_factors": ["Interferenza spazio-temporale tra carrello elevatore in movimento e operatore statico.", "Limitazione della visibilità anteriore del conducente causata dal carico trasportato.", "Prossimità della postazione di lavoro fissa alla via di transito del mezzo."]}</t>
        </is>
      </c>
      <c r="G6" s="7" t="n">
        <v>35</v>
      </c>
      <c r="H6" s="7" t="inlineStr">
        <is>
          <t>Il punteggio riflette un rischio moderato dovuto alla compresenza di un carrello elevatore in movimento e un operatore statico, con potenziale riduzione della visibilità del conducente a causa del carico trasportato. La presenza di linee di demarcazione a terra mitiga parzialmente il rischio di collisione.</t>
        </is>
      </c>
      <c r="I6" s="7" t="n">
        <v>35.4</v>
      </c>
      <c r="J6" s="8" t="inlineStr">
        <is>
          <t>giallo</t>
        </is>
      </c>
    </row>
    <row r="7" ht="34" customHeight="1">
      <c r="A7" s="7" t="n">
        <v>5</v>
      </c>
      <c r="B7" s="7" t="n">
        <v>10</v>
      </c>
      <c r="C7" s="7" t="n">
        <v>14</v>
      </c>
      <c r="D7" s="7" t="inlineStr">
        <is>
          <t>{"scene_state": "Ambiente industriale attivo con transito di un carrello elevatore e un operatore alla postazione di lavoro.", "environmental_conditions": ["Illuminazione interna artificiale", "Pavimentazione industriale con segnaletica orizzontale gialla"], "people": ["Un operatore seduto alla postazione di lavoro sulla destra"], "objects": ["Contenitori metallici arancioni impilati", "Pallet", "Componenti metallici", "Scatole di cartone"], "machines": ["Carrello elevatore in movimento", "Presse industriali", "Macchinari di produzione"], "observable_actions": ["Un carrello elevatore trasporta due contenitori metallici arancioni impilati muovendosi da sinistra verso destra", "Un operatore lavora seduto alla propria postazione sulla destra"], "visible_ppe": ["Non chiaramente distinguibili a causa della distanza"], "notes_visibility_limitations": "La distanza della telecamera limita la visibilità dei dettagli dei DPI e del volto dell'operatore."}</t>
        </is>
      </c>
      <c r="E7" s="7" t="inlineStr">
        <is>
          <t>{"unsafe_behaviors": ["Trasporto di un carico impilato di due contenitori che può limitare la visibilità anteriore del conducente del carrello elevatore"], "vulnerable_elements": ["Operatore seduto alla postazione di lavoro sulla destra"], "risk_cues": {"S1_people_vehicle_interference": 0.5, "S2_visibility_attention_reduction": 0.75, "S3_non_compliant_behavior": 0.5, "S4_vehicle_infrastructure_interference": 0.25, "S5_storage_structural_instability": 0.25, "S6_access_to_moving_mechanical_parts": 0.0, "S7_manual_handling_heavy_unstable_loads": 0.0}, "cue_confidence": 0.8, "diagnostic_notes": "Il rischio principale è legato alla riduzione della visibilità del carrellista (S2) dovuta al trasporto di due contenitori metallici arancioni impilati, muovendosi verso destra dove è presente un operatore seduto (S1). Se la visibilità anteriore è ostruita, il transito in marcia avanti costituisce un comportamento non conforme (S3). La distanza della telecamera limita la valutazione dei DPI dell'operatore."}</t>
        </is>
      </c>
      <c r="F7" s="7" t="inlineStr">
        <is>
          <t>{"causal_chain_plausible": true, "causal_chain_text": "Il trasporto di due contenitori metallici impilati riduce la visibilità anteriore del carrellista. Muovendosi in avanti verso destra, dove si trova l'operatore seduto, il conducente rischia di non vederlo, potendo causare un investimento.", "near_miss_or_incident_scenario": "Investimento dell'operatore alla postazione di lavoro da parte del carrello elevatore a causa della visibilità ostruita dal carico.", "contributing_factors": ["Trasporto di carico impilato che limita la visibilità anteriore", "Marcia in avanti del carrello con visuale ostruita", "Presenza di un operatore seduto vicino alla traiettoria del mezzo"]}</t>
        </is>
      </c>
      <c r="G7" s="7" t="n">
        <v>65</v>
      </c>
      <c r="H7" s="7" t="inlineStr">
        <is>
          <t>Il punteggio riflette un rischio significativo dovuto alla ridotta visibilità anteriore del carrellista, causata dal carico impilato, mentre si muove verso la postazione dell'operatore. Questa interferenza tra mezzo e pedone aumenta la probabilità di un investimento accidentale.</t>
        </is>
      </c>
      <c r="I7" s="7" t="n">
        <v>60.66</v>
      </c>
      <c r="J7" s="10" t="inlineStr">
        <is>
          <t>arancione</t>
        </is>
      </c>
    </row>
    <row r="8" ht="34" customHeight="1">
      <c r="A8" s="7" t="n">
        <v>6</v>
      </c>
      <c r="B8" s="7" t="n">
        <v>12</v>
      </c>
      <c r="C8" s="7" t="n">
        <v>16</v>
      </c>
      <c r="D8" s="7" t="inlineStr">
        <is>
          <t>{"scene_state": "Ambiente industriale attivo con movimentazione merci.", "environmental_conditions": ["Illuminazione interna artificiale", "Pavimentazione industriale in cemento con segnaletica orizzontale"], "people": ["Un operatore seduto a una postazione di lavoro sulla destra", "Un conducente all'interno del carrello elevatore"], "objects": ["Contenitori metallici arancioni impilati", "Pallet e scatole di cartone", "Cassoni metallici sullo sfondo"], "machines": ["Carrello elevatore", "Presse industriali e macchinari di produzione sullo sfondo"], "observable_actions": ["Il carrello elevatore trasporta tre cassoni arancioni impilati ed esegue una manovra di retromarcia e svolta verso destra", "L'operatore sulla destra è seduto alla sua postazione di lavoro"], "visible_ppe": ["Non chiaramente identificabili a causa della distanza"], "notes_visibility_limitations": "La distanza della telecamera e la struttura del carrello elevatore limitano la visibilità dei dettagli e dei DPI dei lavoratori."}</t>
        </is>
      </c>
      <c r="E8" s="7" t="inlineStr">
        <is>
          <t>{"unsafe_behaviors": ["Manovra di retromarcia e svolta del carrello elevatore in prossimità di una postazione di lavoro attiva", "Trasporto di tre cassoni metallici impilati che potrebbero limitare la visibilità o la stabilità durante la manovra"], "vulnerable_elements": ["Operatore seduto alla postazione di lavoro sulla destra", "Conducente del carrello elevatore"], "risk_cues": {"S1_people_vehicle_interference": 0.5, "S2_visibility_attention_reduction": 0.5, "S3_non_compliant_behavior": 0.25, "S4_vehicle_infrastructure_interference": 0.5, "S5_storage_structural_instability": 0.5, "S6_access_to_moving_mechanical_parts": 0.0, "S7_manual_handling_heavy_unstable_loads": 0.0}, "cue_confidence": 0.75, "diagnostic_notes": "La manovra del carrello elevatore in retromarcia con un carico di tre cassoni impilati avviene vicino alla postazione dell'operatore, configurando un rischio moderato di interferenza (S1) e potenziale instabilità del carico (S5). La distanza limita la valutazione precisa dei DPI e dei comportamenti specifici."}</t>
        </is>
      </c>
      <c r="F8" s="7" t="inlineStr">
        <is>
          <t>{"causal_chain_plausible": true, "causal_chain_text": "La manovra di retromarcia e svolta del carrello elevatore con tre cassoni impilati riduce la visibilità del conducente e la stabilità del carico. Se il conducente non rileva la presenza dell'operatore seduto nelle vicinanze o se il carico si sbilancia durante la svolta, si può verificare una collisione o la caduta dei materiali verso la postazione di lavoro.", "near_miss_or_incident_scenario": "Collisione del carrello elevatore contro la postazione di lavoro dell'operatore o schiacciamento causato dalla caduta dei cassoni metallici instabili durante la svolta.", "contributing_factors": ["Manovra di retromarcia e svolta del carrello in prossimità di una postazione di lavoro attiva.", "Trasporto di tre cassoni metallici impilati che limita la visibilità e riduce la stabilità del carico.", "Presenza dell'operatore seduto all'interno del raggio d'azione del mezzo in movimento."]}</t>
        </is>
      </c>
      <c r="G8" s="7" t="n">
        <v>60</v>
      </c>
      <c r="H8" s="7" t="inlineStr">
        <is>
          <t>Il punteggio riflette un rischio significativo dovuto alla manovra di retromarcia del carrello con tre cassoni impilati vicino a una postazione di lavoro attiva. La ridotta visibilità del conducente e la potenziale instabilità del carico aumentano il pericolo di collisione o caduta di materiali sull'operatore.</t>
        </is>
      </c>
      <c r="I8" s="7" t="n">
        <v>60.26</v>
      </c>
      <c r="J8" s="10" t="inlineStr">
        <is>
          <t>arancione</t>
        </is>
      </c>
    </row>
    <row r="9" ht="34" customHeight="1">
      <c r="A9" s="7" t="n">
        <v>7</v>
      </c>
      <c r="B9" s="7" t="n">
        <v>14</v>
      </c>
      <c r="C9" s="7" t="n">
        <v>18</v>
      </c>
      <c r="D9" s="7" t="inlineStr">
        <is>
          <t>{"scene_state": "Interno di un'officina meccanica industriale con macchinari e aree di stoccaggio.", "environmental_conditions": ["Illuminazione interna artificiale", "Pavimento industriale con linee di demarcazione gialle"], "people": ["Un operatore all'interno della cabina del carrello elevatore"], "objects": ["Contenitori metallici arancioni impilati", "Scatole di cartone su pallet a sinistra", "Cassoni e attrezzature industriali varie"], "machines": ["Carrello elevatore (muletto)", "Grandi presse industriali (gialle e blu) sullo sfondo"], "observable_actions": ["Il carrello elevatore si muove in retromarcia trasportando una pila di cassoni metallici arancioni"], "visible_ppe": ["Non identificabili con precisione a causa della distanza e della cabina del mezzo"], "notes_visibility_limitations": "La presenza della cabina del muletto e dei cassoni impilati limita la visibilità diretta dell'operatore."}</t>
        </is>
      </c>
      <c r="E9" s="7" t="inlineStr">
        <is>
          <t>{"unsafe_behaviors": [], "vulnerable_elements": ["Operatore del carrello elevatore"], "risk_cues": {"S1_people_vehicle_interference": 0.0, "S2_visibility_attention_reduction": 0.5, "S3_non_compliant_behavior": 0.0, "S4_vehicle_infrastructure_interference": 0.25, "S5_storage_structural_instability": 0.25, "S6_access_to_moving_mechanical_parts": 0.0, "S7_manual_handling_heavy_unstable_loads": 0.0}, "cue_confidence": 0.8, "diagnostic_notes": "Il carrello elevatore si muove in retromarcia trasportando cassoni metallici impilati; la cabina e il carico riducono parzialmente la visibilità dell'operatore (S2). Non si osservano pedoni nell'area di manovra (S1) né comportamenti non conformi evidenti (S3). La presenza di macchinari e materiali stoccati richiede attenzione per evitare interferenze (S4, S5)."}</t>
        </is>
      </c>
      <c r="F9" s="7" t="inlineStr">
        <is>
          <t>{"causal_chain_plausible": true, "causal_chain_text": "La retromarcia del carrello elevatore con visibilità parzialmente ridotta (S2) e la presenza di ostacoli fissi (S4) possono indurre un errore di manovra. L'operatore, non vedendo chiaramente l'area retrostante, rischia di urtare macchinari o strutture di stoccaggio, destabilizzando il carico (S5).", "near_miss_or_incident_scenario": "Collisione del carrello elevatore in retromarcia contro le presse industriali o i materiali stoccati, con possibile caduta dei cassoni metallici trasportati.", "contributing_factors": ["Visibilità limitata dell'operatore dovuta alla cabina e al carico", "Presenza di macchinari e materiali stoccati vicini alla traiettoria", "Manovra di retromarcia in spazi di lavoro ristretti"]}</t>
        </is>
      </c>
      <c r="G9" s="7" t="n">
        <v>35</v>
      </c>
      <c r="H9" s="7" t="inlineStr">
        <is>
          <t>Il rischio è moderato poiché il carrello elevatore esegue una manovra di retromarcia con visibilità parzialmente limitata in prossimità di macchinari e strutture. Non si rilevano pedoni nell'area o violazioni palesi, ma la manovra richiede massima cautela per prevenire urti o instabilità del carico.</t>
        </is>
      </c>
      <c r="I9" s="7" t="n">
        <v>45.1</v>
      </c>
      <c r="J9" s="8" t="inlineStr">
        <is>
          <t>giallo</t>
        </is>
      </c>
    </row>
    <row r="10" ht="34" customHeight="1">
      <c r="A10" s="7" t="n">
        <v>8</v>
      </c>
      <c r="B10" s="7" t="n">
        <v>16</v>
      </c>
      <c r="C10" s="7" t="n">
        <v>20</v>
      </c>
      <c r="D10" s="7" t="inlineStr">
        <is>
          <t>{"scene_state": "Interno di un'officina industriale con macchinari pesanti, aree di stoccaggio e un carrello elevatore in movimento.", "environmental_conditions": ["Illuminazione artificiale interna", "Pavimentazione industriale in cemento con linee di sicurezza gialle"], "people": ["Un operatore parzialmente visibile sul lato destro, adiacente al carrello elevatore."], "objects": ["Contenitori metallici arancioni impilati", "Pallet in legno e metallo", "Carrello rosso", "Contenitori di plastica blu", "Componenti metallici lavorati"], "machines": ["Presse industriali verticali (gialle e blu)", "Carrello elevatore (muletto) sul lato destro"], "observable_actions": ["Il carrello elevatore sul lato destro sta movimentando una pila di contenitori metallici arancioni."], "visible_ppe": ["Non chiaramente identificabili a causa della distanza e delle ostruzioni visive."], "notes_visibility_limitations": "L'operatore e parte del carrello elevatore sono parzialmente occlusi dai grandi contenitori arancioni impilati in primo piano a destra."}</t>
        </is>
      </c>
      <c r="E10" s="7" t="inlineStr">
        <is>
          <t>{"unsafe_behaviors": ["Presenza dell'operatore a distanza di sicurezza insufficiente dal carrello elevatore in movimento", "Movimentazione di carichi impilati che possono limitare la visibilità del conducente"], "vulnerable_elements": ["Operatore a terra parzialmente visibile adiacente al carrello elevatore"], "risk_cues": {"S1_people_vehicle_interference": 0.75, "S2_visibility_attention_reduction": 0.75, "S3_non_compliant_behavior": 0.5, "S4_vehicle_infrastructure_interference": 0.5, "S5_storage_structural_instability": 0.5, "S6_access_to_moving_mechanical_parts": 0.0, "S7_manual_handling_heavy_unstable_loads": 0.0}, "cue_confidence": 0.8, "diagnostic_notes": "Si rileva una forte evidenza di interferenza uomo-mezzo (S1) dovuta alla presenza dell'operatore a terra nelle immediate vicinanze del carrello elevatore in manovra. La visibilità nell'area è significativamente ridotta (S2) a causa dell'ostruzione visiva causata dai grandi contenitori metallici arancioni impilati in primo piano, che occludono parzialmente sia l'operatore che il mezzo. Questo posizionamento e la movimentazione di carichi in quota introducono un rischio moderato di instabilità del carico (S5) e di potenziale interferenza con le infrastrutture circostanti (S4)."}</t>
        </is>
      </c>
      <c r="F10" s="7" t="inlineStr">
        <is>
          <t>{"causal_chain_plausible": true, "causal_chain_text": "La ridotta visibilità causata dai contenitori arancioni impilati impedisce al conducente del carrello elevatore di avvistare tempestivamente l'operatore a terra situato nelle immediate vicinanze. La mancanza di una distanza di sicurezza adeguata durante la movimentazione dei carichi crea una traiettoria di collisione diretta tra il mezzo in movimento e il lavoratore.", "near_miss_or_incident_scenario": "Investimento del lavoratore a terra da parte del carrello elevatore in manovra o schiacciamento dello stesso dovuto alla caduta accidentale dei contenitori metallici movimentati a causa della visibilità ostruita.", "contributing_factors": ["Presenza dell'operatore a terra a distanza non di sicurezza dal mezzo in movimento.", "Ostruzione visiva significativa causata dai grandi contenitori metallici impilati in primo piano.", "Movimentazione di carichi ingombranti che limitano il campo visivo del carrellista."]}</t>
        </is>
      </c>
      <c r="G10" s="7" t="n">
        <v>78</v>
      </c>
      <c r="H10" s="7" t="inlineStr">
        <is>
          <t>Il punteggio riflette un rischio elevato dovuto alla pericolosa vicinanza tra l'operatore a terra e il carrello elevatore in movimento, aggravata dalla grave ostruzione visiva causata dai contenitori impilati. Questa combinazione crea un imminente pericolo di investimento o schiacciamento dovuto alla potenziale caduta del carico.</t>
        </is>
      </c>
      <c r="I10" s="7" t="n">
        <v>75.59</v>
      </c>
      <c r="J10" s="11" t="inlineStr">
        <is>
          <t>rosso</t>
        </is>
      </c>
    </row>
    <row r="11" ht="34" customHeight="1">
      <c r="A11" s="7" t="n">
        <v>9</v>
      </c>
      <c r="B11" s="7" t="n">
        <v>18</v>
      </c>
      <c r="C11" s="7" t="n">
        <v>22</v>
      </c>
      <c r="D11" s="7" t="inlineStr">
        <is>
          <t>{"scene_state": "Interno di un'officina industriale con macchinari e area di transito.", "environmental_conditions": ["Illuminazione artificiale interna", "Pavimentazione industriale con linee di segnaletica gialle"], "people": ["Un operatore seduto a una postazione di lavoro sulla destra"], "objects": ["Pila di contenitori metallici arancioni", "Pallet e scatole su scaffali", "Contenitori metallici grigi e blu"], "machines": ["Carrello elevatore in movimento", "Presse industriali e macchinari di produzione sullo sfondo"], "observable_actions": ["Un carrello elevatore trasporta una pila di grandi contenitori arancioni muovendosi da destra verso il centro dell'inquadratura", "Un operatore rimane seduto alla propria postazione sulla destra"], "visible_ppe": ["Non chiaramente distinguibili a causa della distanza"], "notes_visibility_limitations": "Il carico voluminoso trasportato dal carrello elevatore copre parzialmente la visuale della parte destra della scena durante il transito."}</t>
        </is>
      </c>
      <c r="E11" s="7" t="inlineStr">
        <is>
          <t>{"unsafe_behaviors": ["Movimentazione di un carico voluminoso che limita parzialmente la visibilità dell'operatore del carrello elevatore"], "vulnerable_elements": ["Operatore seduto alla postazione di lavoro sulla destra"], "risk_cues": {"S1_people_vehicle_interference": 0.5, "S2_visibility_attention_reduction": 0.75, "S3_non_compliant_behavior": 0.25, "S4_vehicle_infrastructure_interference": 0.5, "S5_storage_structural_instability": 0.5, "S6_access_to_moving_mechanical_parts": 0.0, "S7_manual_handling_heavy_unstable_loads": 0.0}, "cue_confidence": 0.8, "diagnostic_notes": "Il transito del carrello elevatore con un carico voluminoso di contenitori metallici arancioni riduce la visibilità nell'area di manovra, in particolare verso la destra della scena dove staziona un operatore alla propria postazione. Sebbene vi sia segnaletica orizzontale, la vicinanza tra il mezzo e la postazione di lavoro e la potenziale instabilità del carico impilato generano rischi moderati di interferenza e collisione."}</t>
        </is>
      </c>
      <c r="F11" s="7" t="inlineStr">
        <is>
          <t>{"causal_chain_plausible": true, "causal_chain_text": "La movimentazione di un carico voluminoso riduce la visibilità del carrellista. Durante il transito vicino alla postazione di lavoro, la ridotta visuale e la potenziale instabilità dei contenitori impilati possono causare una collisione o la caduta del carico sull'operatore seduto.", "near_miss_or_incident_scenario": "Il carrello elevatore urta la postazione di lavoro o perde parte del carico metallico instabile, investendo o schiacciando l'operatore seduto nelle immediate vicinanze.", "contributing_factors": ["Visuale del conducente ostruita dal carico voluminoso.", "Vicinanza tra la postazione di lavoro e l'area di transito del mezzo.", "Potenziale instabilità dei contenitori metallici impilati."]}</t>
        </is>
      </c>
      <c r="G11" s="7" t="n">
        <v>65</v>
      </c>
      <c r="H11" s="7" t="inlineStr">
        <is>
          <t>Il punteggio riflette un rischio significativo dovuto alla ridotta visibilità del carrellista causata dal carico voluminoso, unito alla presenza di un operatore seduto vicino alla traiettoria di transito. La potenziale instabilità dei contenitori metallici impilati aumenta la probabilità di collisione o caduta di materiali sulla postazione.</t>
        </is>
      </c>
      <c r="I11" s="7" t="n">
        <v>69.23999999999999</v>
      </c>
      <c r="J11" s="10" t="inlineStr">
        <is>
          <t>arancione</t>
        </is>
      </c>
    </row>
    <row r="12" ht="34" customHeight="1">
      <c r="A12" s="7" t="n">
        <v>10</v>
      </c>
      <c r="B12" s="7" t="n">
        <v>20</v>
      </c>
      <c r="C12" s="7" t="n">
        <v>24</v>
      </c>
      <c r="D12" s="7" t="inlineStr">
        <is>
          <t>{"scene_state": "Interno di un capannone industriale attivo e ben illuminato.", "environmental_conditions": ["Illuminazione artificiale interna", "Pavimentazione industriale con segnaletica gialla"], "people": ["Un operatore seduto a una postazione di lavoro sulla destra"], "objects": ["Pila di contenitori metallici arancioni", "Scatole su scaffali a sinistra", "Pallet metallici"], "machines": ["Carrello elevatore in movimento", "Presse industriali gialle e blu sullo sfondo", "Armadi elettrici"], "observable_actions": ["Un carrello elevatore trasporta e posiziona una pila di contenitori metallici arancioni al centro della scena", "Un operatore lavora seduto alla sua postazione sulla destra"], "visible_ppe": ["Non chiaramente distinguibili a causa della distanza"], "notes_visibility_limitations": "Il carrello elevatore è parzialmente nascosto dal carico di contenitori arancioni che trasporta. L'operatore è visibile solo di spalle."}</t>
        </is>
      </c>
      <c r="E12" s="7" t="inlineStr">
        <is>
          <t>{"unsafe_behaviors": ["Conduzione del carrello elevatore con visibilità anteriore limitata dal carico trasportato"], "vulnerable_elements": ["Operatore seduto alla postazione di lavoro sulla destra", "Infrastrutture e scaffalature nell'area di manovra"], "risk_cues": {"S1_people_vehicle_interference": 0.5, "S2_visibility_attention_reduction": 0.75, "S3_non_compliant_behavior": 0.5, "S4_vehicle_infrastructure_interference": 0.25, "S5_storage_structural_instability": 0.5, "S6_access_to_moving_mechanical_parts": 0.0, "S7_manual_handling_heavy_unstable_loads": 0.0}, "cue_confidence": 0.8, "diagnostic_notes": "La criticità principale risiede nella riduzione della visibilità del carrellista (S2), in quanto il carrello elevatore è parzialmente nascosto dal carico voluminoso di contenitori metallici arancioni che trasporta e posiziona. Questa condizione può configurare un comportamento non conforme (S3) se la manovra non viene eseguita con le dovute cautele (es. marcia indietro). Si rileva una moderata interferenza spaziale (S1) con l'operatore seduto nelle vicinanze e un potenziale rischio di instabilità del carico (S5) durante le fasi di movimentazione e impilamento dei contenitori."}</t>
        </is>
      </c>
      <c r="F12" s="7" t="inlineStr">
        <is>
          <t>{"causal_chain_plausible": true, "causal_chain_text": "La visibilità anteriore del carrellista è ostruita dal carico voluminoso di contenitori metallici. Avanzando con visuale ridotta in prossimità di una postazione occupata, il conducente rischia di non avvedersi della presenza dell'operatore o di ostacoli fissi, portando a un potenziale impatto.", "near_miss_or_incident_scenario": "Il carrello elevatore urta l'operatore seduto alla postazione di lavoro sulla destra o impatta contro le scaffalature limitrofe a causa della cecità visiva anteriore causata dal carico.", "contributing_factors": ["Visibilità anteriore del conducente fortemente limitata dall'altezza dei contenitori arancioni trasportati.", "Presenza di un operatore seduto di spalle e vulnerabile vicino all'area di manovra.", "Movimentazione di carichi ingombranti in un'area di lavoro condivisa senza separazione fisica."]}</t>
        </is>
      </c>
      <c r="G12" s="7" t="n">
        <v>65</v>
      </c>
      <c r="H12" s="7" t="inlineStr">
        <is>
          <t>Il punteggio riflette un rischio significativo dovuto alla movimentazione di un carico voluminoso che ostruisce la visuale anteriore del carrellista in prossimità di un operatore seduto di spalle. Questa ridotta visibilità, unita alla mancanza di barriere fisiche di separazione, aumenta notevolmente la probabilità di un investimento accidentale o di un impatto con le infrastrutture.</t>
        </is>
      </c>
      <c r="I12" s="7" t="n">
        <v>66.7</v>
      </c>
      <c r="J12" s="10" t="inlineStr">
        <is>
          <t>arancione</t>
        </is>
      </c>
    </row>
    <row r="13" ht="34" customHeight="1">
      <c r="A13" s="7" t="n">
        <v>11</v>
      </c>
      <c r="B13" s="7" t="n">
        <v>22</v>
      </c>
      <c r="C13" s="7" t="n">
        <v>26</v>
      </c>
      <c r="D13" s="7" t="inlineStr">
        <is>
          <t>{"scene_state": "Interno di un'officina meccanica industriale con macchinari di produzione e aree di stoccaggio.", "environmental_conditions": ["Illuminazione interna artificiale", "Pavimentazione industriale in cemento"], "people": ["Un operatore seduto presso una postazione di lavoro sul lato destro"], "objects": ["Tre grandi contenitori metallici arancioni impilati", "Scatole e componenti su scaffalature a sinistra", "Contenitori metallici di vari colori (blu, grigi)"], "machines": ["Carrello elevatore (in movimento)", "Grandi presse industriali (gialle e blu)", "Attrezzature di produzione"], "observable_actions": ["Un carrello elevatore trasporta una pila di tre contenitori metallici arancioni, muovendosi all'interno dell'officina."], "visible_ppe": ["Non chiaramente distinguibili sull'operatore seduto a causa della distanza"], "notes_visibility_limitations": "Il carrello elevatore è in gran parte coperto alla vista dal carico voluminoso di contenitori arancioni che sta movimentando."}</t>
        </is>
      </c>
      <c r="E13" s="7" t="inlineStr">
        <is>
          <t>{"unsafe_behaviors": ["Conduzione del carrello elevatore con visibilità anteriore ostruita dal carico voluminoso"], "vulnerable_elements": ["Operatore seduto alla postazione di lavoro", "Infrastrutture e macchinari dell'officina"], "risk_cues": {"S1_people_vehicle_interference": 0.75, "S2_visibility_attention_reduction": 1.0, "S3_non_compliant_behavior": 0.75, "S4_vehicle_infrastructure_interference": 0.5, "S5_storage_structural_instability": 0.5, "S6_access_to_moving_mechanical_parts": 0.0, "S7_manual_handling_heavy_unstable_loads": 0.0}, "cue_confidence": 0.85, "diagnostic_notes": "La movimentazione di tre contenitori metallici impilati ostruisce gravemente la visibilità anteriore del conducente del carrello elevatore (S2), generando un rischio elevato di interferenza con l'operatore presente (S1) e con le infrastrutture (S4). Tale modalità di trasporto rappresenta un comportamento non conforme (S3) in quanto riduce la sicurezza di manovra."}</t>
        </is>
      </c>
      <c r="F13" s="7" t="inlineStr">
        <is>
          <t>{"causal_chain_plausible": true, "causal_chain_text": "Il trasporto di tre contenitori metallici impilati ostruisce completamente la visuale anteriore del conducente del carrello elevatore. Muovendosi senza visibilità lungo il percorso dell'officina, il conducente non è in grado di percepire la presenza dell'operatore seduto alla postazione o degli ostacoli strutturali, portando a una collisione imminente.", "near_miss_or_incident_scenario": "Il carrello elevatore investe l'operatore seduto alla postazione di lavoro sul lato destro o collide violentemente con le presse industriali a causa della totale mancanza di visibilità anteriore.", "contributing_factors": ["Ostruzione della visibilità anteriore del conducente causata dall'altezza del carico trasportato", "Presenza di un operatore seduto in prossimità dell'area di manovra del carrello elevatore", "Mancato utilizzo della marcia indietro per la movimentazione di carichi che limitano la visuale"]}</t>
        </is>
      </c>
      <c r="G13" s="7" t="n">
        <v>85</v>
      </c>
      <c r="H13" s="7" t="inlineStr">
        <is>
          <t>La movimentazione di un carico voluminoso che ostruisce completamente la visibilità anteriore del conducente espone l'operatore presente a un rischio imminente di investimento. Questa condotta non conforme richiede l'arresto immediato del mezzo o la conduzione in retromarcia per prevenire gravi incidenti.</t>
        </is>
      </c>
      <c r="I13" s="7" t="n">
        <v>82.68000000000001</v>
      </c>
      <c r="J13" s="11" t="inlineStr">
        <is>
          <t>rosso</t>
        </is>
      </c>
    </row>
    <row r="14" ht="34" customHeight="1">
      <c r="A14" s="7" t="n">
        <v>12</v>
      </c>
      <c r="B14" s="7" t="n">
        <v>24</v>
      </c>
      <c r="C14" s="7" t="n">
        <v>28</v>
      </c>
      <c r="D14" s="7" t="inlineStr">
        <is>
          <t>{"scene_state": "Ambiente industriale attivo con macchinari e transito di carrelli elevatori.", "environmental_conditions": ["Illuminazione interna artificiale", "Pavimentazione industriale con segnaletica orizzontale gialla"], "people": ["Un operatore seduto a una postazione di lavoro sulla destra", "Un operatore alla guida del carrello elevatore"], "objects": ["Contenitori metallici arancioni impilati", "Scatole di cartone su scaffali", "Pallet e attrezzature varie"], "machines": ["Carrello elevatore in movimento", "Presse industriali e macchinari di produzione sullo sfondo"], "observable_actions": ["Il carrello elevatore si sposta trasportando tre contenitori metallici arancioni impilati", "L'operatore sulla destra rimane seduto svolgendo attività alla sua postazione"], "visible_ppe": ["Non chiaramente identificabili a causa della distanza"], "notes_visibility_limitations": "La distanza della telecamera e l'inquadratura dall'alto limitano la visibilità dei dettagli sui DPI e sui volti degli operatori."}</t>
        </is>
      </c>
      <c r="E14" s="7" t="inlineStr">
        <is>
          <t>{"unsafe_behaviors": ["Trasporto di un carico elevato (tre contenitori metallici impilati) che può limitare significativamente la visibilità anteriore del conducente del carrello elevatore."], "vulnerable_elements": ["Operatore alla guida del carrello elevatore", "Operatore seduto alla postazione di lavoro sulla destra"], "risk_cues": {"S1_people_vehicle_interference": 0.25, "S2_visibility_attention_reduction": 0.75, "S3_non_compliant_behavior": 0.5, "S4_vehicle_infrastructure_interference": 0.25, "S5_storage_structural_instability": 0.5, "S6_access_to_moving_mechanical_parts": 0.0, "S7_manual_handling_heavy_unstable_loads": 0.0}, "cue_confidence": 0.8, "diagnostic_notes": "Il trasporto di tre contenitori metallici impilati sul carrello elevatore rappresenta un rischio concreto di riduzione della visibilità anteriore per il conducente (S2) e di potenziale instabilità del carico durante il movimento (S5). Sebbene l'operatore sulla destra sia seduto alla sua postazione, la condivisione dello spazio operativo con un mezzo in movimento e con visibilità potenzialmente ridotta configura un rischio di interferenza (S1). La distanza della telecamera limita la valutazione dettagliata dei DPI."}</t>
        </is>
      </c>
      <c r="F14" s="7" t="inlineStr">
        <is>
          <t>{"causal_chain_plausible": true, "causal_chain_text": "Il trasporto di tre contenitori metallici impilati riduce la visibilità anteriore del conducente. Procedendo in avanti con la visuale ostruita, il conducente rischia di non vedere l'operatore seduto alla postazione di lavoro o eventuali ostacoli, con conseguente rischio di investimento o collisione.", "near_miss_or_incident_scenario": "Investimento dell'operatore alla postazione di destra o collisione con le strutture a causa della visibilità ridotta del conducente del carrello elevatore.", "contributing_factors": ["Carico eccessivamente alto che ostruisce la visuale anteriore", "Presenza di operatori a terra nelle vicinanze della traiettoria del mezzo", "Potenziale instabilità del carico composto da tre contenitori impilati"]}</t>
        </is>
      </c>
      <c r="G14" s="7" t="n">
        <v>60</v>
      </c>
      <c r="H14" s="7" t="inlineStr">
        <is>
          <t>Il trasporto di tre contenitori metallici impilati riduce significativamente la visibilità anteriore del conducente, aumentando il rischio di collisione con l'operatore presente nell'area. Inoltre, l'altezza del carico elevato comporta un potenziale pericolo di instabilità e caduta dei materiali durante il transito.</t>
        </is>
      </c>
      <c r="I14" s="7" t="n">
        <v>69.06999999999999</v>
      </c>
      <c r="J14" s="10" t="inlineStr">
        <is>
          <t>arancione</t>
        </is>
      </c>
    </row>
    <row r="15" ht="34" customHeight="1">
      <c r="A15" s="7" t="n">
        <v>13</v>
      </c>
      <c r="B15" s="7" t="n">
        <v>26</v>
      </c>
      <c r="C15" s="7" t="n">
        <v>30</v>
      </c>
      <c r="D15" s="7" t="inlineStr">
        <is>
          <t>{"scene_state": "Interno di un'officina meccanica industriale con macchinari di stampaggio e corsie di transito.", "environmental_conditions": ["Illuminazione interna artificiale", "Pavimentazione industriale grigia con linee di demarcazione gialle"], "people": ["Un operatore seduto davanti a una postazione di lavoro sulla destra", "Un pedone con giacca rossa che cammina sullo sfondo a destra", "Un operatore alla guida del carrello elevatore"], "objects": ["Cassoni metallici arancioni impilati", "Scatole di cartone su scaffalature a sinistra", "Contenitori e fusti metallici blu"], "machines": ["Carrello elevatore cabinato", "Grandi presse industriali verticali (colori giallo, blu e grigio)"], "observable_actions": ["Il carrello elevatore trasporta tre cassoni arancioni impilati muovendosi in retromarcia e svoltando verso sinistra", "Il pedone sullo sfondo cammina da destra verso sinistra"], "visible_ppe": ["Non identificabili con precisione a causa della distanza della telecamera"], "notes_visibility_limitations": "La visuale dall'alto e la distanza riducono la visibilità dei dettagli sui volti e sui dispositivi di protezione individuale."}</t>
        </is>
      </c>
      <c r="E15" s="7" t="inlineStr">
        <is>
          <t>{"unsafe_behaviors": ["Manovra di retromarcia e svolta con tre cassoni metallici impilati, che limita la visibilità del conducente e aumenta il rischio di instabilità del carico."], "vulnerable_elements": ["Pedone che cammina sullo sfondo", "Operatore seduto alla postazione di lavoro sulla destra"], "risk_cues": {"S1_people_vehicle_interference": 0.5, "S2_visibility_attention_reduction": 0.75, "S3_non_compliant_behavior": 0.25, "S4_vehicle_infrastructure_interference": 0.5, "S5_storage_structural_instability": 0.5, "S6_access_to_moving_mechanical_parts": 0.0, "S7_manual_handling_heavy_unstable_loads": 0.0}, "cue_confidence": 0.8, "diagnostic_notes": "La manovra del carrello elevatore in retromarcia con svolta, trasportando tre cassoni impilati, evidenzia un rischio significativo di visibilità ridotta (S2) e potenziale instabilità del carico (S5). La compresenza di un pedone e di un operatore seduto nelle vicinanze configura un rischio moderato di interferenza uomo-mezzo (S1), sebbene parzialmente regolato dalle linee di demarcazione a terra."}</t>
        </is>
      </c>
      <c r="F15" s="7" t="inlineStr">
        <is>
          <t>{"causal_chain_plausible": true, "causal_chain_text": "Il trasporto di tre cassoni impilati riduce la visibilità del conducente durante la retromarcia e la svolta. L'instabilità del carico, unita alle forze dinamiche della manovra, può causare la caduta dei cassoni o la perdita di controllo del carrello, interferendo con il pedone o l'operatore vicino.", "near_miss_or_incident_scenario": "Caduta del carico instabile (cassoni arancioni) durante la svolta in retromarcia, con rischio di investimento o schiacciamento del pedone o dell'operatore alla postazione.", "contributing_factors": ["Altezza e instabilità del carico dovuto all'impilamento di tre cassoni", "Esecuzione di una manovra complessa (retromarcia con svolta) con visibilità ridotta", "Presenza di personale a piedi e seduto nelle immediate vicinanze dell'area di manovra"]}</t>
        </is>
      </c>
      <c r="G15" s="7" t="n">
        <v>65</v>
      </c>
      <c r="H15" s="7" t="inlineStr">
        <is>
          <t>Il punteggio riflette un rischio significativo dovuto alla movimentazione di tre cassoni impilati in retromarcia e svolta, che riduce drasticamente la visibilità e aumenta l'instabilità del carico. La presenza di un pedone e di un operatore nelle vicinanze aggrava il potenziale impatto in caso di caduta del carico o collisione.</t>
        </is>
      </c>
      <c r="I15" s="7" t="n">
        <v>67.88</v>
      </c>
      <c r="J15" s="10" t="inlineStr">
        <is>
          <t>arancione</t>
        </is>
      </c>
    </row>
    <row r="16" ht="34" customHeight="1">
      <c r="A16" s="7" t="n">
        <v>14</v>
      </c>
      <c r="B16" s="7" t="n">
        <v>28</v>
      </c>
      <c r="C16" s="7" t="n">
        <v>32</v>
      </c>
      <c r="D16" s="7" t="inlineStr">
        <is>
          <t>{"scene_state": "Interno di un'officina industriale con macchinari pesanti, aree di stoccaggio e corsie di transito.", "environmental_conditions": ["Illuminazione artificiale interna", "Pavimentazione industriale in cemento con segnaletica gialla"], "people": ["Un operatore seduto davanti a una postazione di lavoro sulla destra", "Una persona con giacca rossa che cammina sullo sfondo a destra"], "objects": ["Contenitori metallici", "Scaffalature arancioni", "Carrelli", "Pallet e materiali di produzione"], "machines": ["Grandi presse industriali (gialle, blu e grigie)"], "observable_actions": ["L'operatore seduto esegue attività alla postazione", "La persona sullo sfondo cammina nell'area di transito"], "visible_ppe": ["Non chiaramente identificabili a causa della distanza"], "notes_visibility_limitations": "La distanza della telecamera e l'angolazione elevata limitano la visibilità dei dettagli sui DPI e sui volti delle persone."}</t>
        </is>
      </c>
      <c r="E16" s="7" t="inlineStr">
        <is>
          <t>{"unsafe_behaviors": [], "vulnerable_elements": ["Operatore alla postazione di lavoro sulla destra", "Pedone in giacca rossa nell'area di transito sullo sfondo"],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0.7, "diagnostic_notes": "La scena mostra un normale svolgimento delle attività industriali. Non si evidenziano situazioni di rischio immediato o comportamenti non conformi. Si segnala la presenza di scaffalature e materiali stoccati (S5) che, pur non mostrando segni di instabilità, richiedono vigilanza periodica. La distanza e l'altezza della telecamera non consentono di verificare l'uso effettivo dei DPI individuali."}</t>
        </is>
      </c>
      <c r="F16" s="7" t="inlineStr">
        <is>
          <t>{"causal_chain_plausible": false, "causal_chain_text": "Non si riscontrano catene causali plausibili che possano condurre a un incidente, in quanto le attività si svolgono regolarmente senza interferenze critiche o comportamenti non conformi rilevabili.", "near_miss_or_incident_scenario": "Nessuno scenario di incidente o near miss è attualmente prevedibile sulla base degli elementi osservati.", "contributing_factors": []}</t>
        </is>
      </c>
      <c r="G16" s="7" t="n">
        <v>15</v>
      </c>
      <c r="H16" s="7" t="inlineStr">
        <is>
          <t>Il livello di rischio è basso poiché le attività si svolgono regolarmente senza comportamenti non conformi o interferenze pericolose. L'unica nota di attenzione riguarda il monitoraggio periodico delle scaffalature e dei materiali stoccati.</t>
        </is>
      </c>
      <c r="I16" s="7" t="n">
        <v>36.15</v>
      </c>
      <c r="J16" s="8" t="inlineStr">
        <is>
          <t>giallo</t>
        </is>
      </c>
    </row>
    <row r="17" ht="34" customHeight="1">
      <c r="A17" s="7" t="n">
        <v>15</v>
      </c>
      <c r="B17" s="7" t="n">
        <v>30</v>
      </c>
      <c r="C17" s="7" t="n">
        <v>34</v>
      </c>
      <c r="D17" s="7" t="inlineStr">
        <is>
          <t>{"scene_state": "Interno di un'officina meccanica industriale con macchinari pesanti e aree di stoccaggio.", "environmental_conditions": ["Illuminazione artificiale interna", "Pavimentazione industriale in cemento con linee di demarcazione gialle"], "people": ["Un operatore seduto davanti a una pressa industriale sul lato destro", "Un lavoratore con maglia rossa che cammina sullo sfondo a destra"], "objects": ["Contenitori metallici e cassoni", "Scaffalature metalliche con materiali", "Carrello manuale rosso", "Pallet in legno"], "machines": ["Presse industriali verticali (gialle, blu e bianche)", "Carrello elevatore visibile sullo sfondo a sinistra"], "observable_actions": ["L'operatore seduto è intento a lavorare presso la propria postazione", "Il lavoratore sullo sfondo si sposta camminando"], "visible_ppe": ["Non chiaramente distinguibili a causa della distanza di ripresa"], "notes_visibility_limitations": "La prospettiva grandangolare e la distanza della telecamera limitano la visibilità dei dettagli sui DPI e sui volti delle persone."}</t>
        </is>
      </c>
      <c r="E17" s="7" t="inlineStr">
        <is>
          <t>{"unsafe_behaviors": [], "vulnerable_elements": ["Operatore alla pressa industriale", "Lavoratore che cammina sullo sfondo"], "risk_cues": {"S1_people_vehicle_interference": 0.25, "S2_visibility_attention_reduction": 0.25, "S3_non_compliant_behavior": 0.0, "S4_vehicle_infrastructure_interference": 0.0, "S5_storage_structural_instability": 0.25, "S6_access_to_moving_mechanical_parts": 0.5, "S7_manual_handling_heavy_unstable_loads": 0.0}, "cue_confidence": 0.7, "diagnostic_notes": "L'operatore lavora presso una pressa verticale (S6) e un carrello elevatore è presente sullo sfondo (S1), configurando rischi potenziali ma senza evidenze di violazioni o pericoli immediati. La distanza limita la valutazione dei DPI."}</t>
        </is>
      </c>
      <c r="F17" s="7" t="inlineStr">
        <is>
          <t>{"causal_chain_plausible": true, "causal_chain_text": "L'operatore lavora in prossimità della pressa verticale. Una distrazione o un posizionamento errato delle mani, unito alla potenziale mancanza di barriere protettive adeguate, può causare il contatto accidentale con gli organi in movimento.", "near_miss_or_incident_scenario": "Schiacciamento o intrappolamento degli arti superiori dell'operatore all'interno della pressa verticale durante la fase operativa.", "contributing_factors": ["Lavoro a ridosso di organi meccanici in movimento (pressa verticale)", "Presenza di un carrello elevatore e di un pedone in movimento nello sfondo, potenziale fonte di distrazione", "Distanza di ripresa che impedisce la verifica dell'effettiva presenza di barriere di sicurezza e dell'uso dei DPI"]}</t>
        </is>
      </c>
      <c r="G17" s="7" t="n">
        <v>40</v>
      </c>
      <c r="H17" s="7" t="inlineStr">
        <is>
          <t>Il rischio è moderato poiché l'operatore lavora in prossimità di una pressa verticale attiva, sebbene non si rilevino comportamenti non conformi o pericoli imminenti. La distanza di ripresa limita la visibilità, impedendo la verifica dell'uso dei DPI e della presenza di barriere di sicurezza adeguate.</t>
        </is>
      </c>
      <c r="I17" s="7" t="n">
        <v>44.71</v>
      </c>
      <c r="J17" s="8" t="inlineStr">
        <is>
          <t>giallo</t>
        </is>
      </c>
    </row>
    <row r="18" ht="34" customHeight="1">
      <c r="A18" s="7" t="n">
        <v>16</v>
      </c>
      <c r="B18" s="7" t="n">
        <v>32</v>
      </c>
      <c r="C18" s="7" t="n">
        <v>34</v>
      </c>
      <c r="D18" s="7" t="inlineStr">
        <is>
          <t>{"scene_state": "Officina industriale con macchinari per lo stampaggio e aree di stoccaggio.", "environmental_conditions": ["Illuminazione interna artificiale", "Pavimentazione in cemento con linee di demarcazione gialle"], "people": ["Un operatore seduto davanti a una pressa industriale sulla destra"], "objects": ["Contenitori metallici", "Pallet in legno", "Scatole di cartone", "Carrello rosso", "Componenti metallici"], "machines": ["Presse industriali verticali (gialle e blu)", "Carrello elevatore (sullo sfondo a sinistra)"], "observable_actions": ["L'operatore è seduto e sembra interagire con il macchinario di fronte a sé"], "visible_ppe": ["Abbigliamento da lavoro scuro (ulteriori DPI non sono chiaramente distinguibili a causa della distanza)"], "notes_visibility_limitations": "La telecamera è posizionata in alto e a distanza, limitando la visibilità dei dettagli minuti e dei DPI specifici dell'operatore."}</t>
        </is>
      </c>
      <c r="E18" s="7" t="inlineStr">
        <is>
          <t>{"unsafe_behaviors": ["Possibile mancato utilizzo di DPI specifici per la protezione delle mani o dell'udito, non chiaramente distinguibili a causa della distanza"], "vulnerable_elements": ["Operatore seduto davanti alla pressa industriale"], "risk_cues": {"S1_people_vehicle_interference": 0.25, "S2_visibility_attention_reduction": 0.5, "S3_non_compliant_behavior": 0.25, "S4_vehicle_infrastructure_interference": 0.0, "S5_storage_structural_instability": 0.0, "S6_access_to_moving_mechanical_parts": 0.5, "S7_manual_handling_heavy_unstable_loads": 0.0}, "cue_confidence": 0.7, "diagnostic_notes": "L'operatore è concentrato sull'interazione con la pressa, riducendo la sua attenzione verso l'ambiente circostante (S2). L'interazione con il macchinario comporta un potenziale rischio di accesso a organi in movimento (S6). Un carrello elevatore è presente sullo sfondo ma non interagisce direttamente con l'operatore (S1). La distanza della telecamera limita la verifica dei DPI (S3)."}</t>
        </is>
      </c>
      <c r="F18" s="7" t="inlineStr">
        <is>
          <t>{"causal_chain_plausible": true, "causal_chain_text": "L'operatore è concentrato sull'interazione ravvicinata con la pressa verticale, riducendo la propria attenzione situazionale. In caso di distrazione o movimento errato, la prossimità agli organi meccanici in movimento della pressa, unita alla mancata certezza sull'uso di DPI idonei, può causare un contatto accidentale pericoloso.", "near_miss_or_incident_scenario": "Schiacciamento o intrappolamento degli arti superiori dell'operatore all'interno della pressa industriale durante la fase di lavorazione.", "contributing_factors": ["Interazione diretta e ravvicinata con organi meccanici in movimento", "Riduzione dell'attenzione dell'operatore focalizzato sul macchinario", "Impossibilità di verificare l'effettivo utilizzo di DPI specifici per le mani"]}</t>
        </is>
      </c>
      <c r="G18" s="7" t="n">
        <v>45</v>
      </c>
      <c r="H18" s="7" t="inlineStr">
        <is>
          <t>Il rischio è moderato poiché l'operatore lavora a stretto contatto con una pressa verticale attiva, riducendo la propria attenzione situazionale. Inoltre, la distanza della telecamera non consente di verificare l'effettivo utilizzo dei DPI protettivi per le mani.</t>
        </is>
      </c>
      <c r="I18" s="7" t="n">
        <v>46.13</v>
      </c>
      <c r="J18" s="8" t="inlineStr">
        <is>
          <t>giallo</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8" customWidth="1" min="8" max="8"/>
    <col width="7" customWidth="1" min="9" max="9"/>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5" t="inlineStr">
        <is>
          <t>instantaneous_risk_score_ahp</t>
        </is>
      </c>
      <c r="H1" s="5" t="inlineStr">
        <is>
          <t>dynamic_risk_score_ahp</t>
        </is>
      </c>
      <c r="I1" s="5" t="inlineStr">
        <is>
          <t>traffic_light_color_ahp</t>
        </is>
      </c>
    </row>
    <row r="2" ht="34" customHeight="1">
      <c r="A2" s="7" t="n">
        <v>0</v>
      </c>
      <c r="B2" s="7" t="n">
        <v>0</v>
      </c>
      <c r="C2" s="7" t="n">
        <v>4</v>
      </c>
      <c r="D2" s="7" t="inlineStr">
        <is>
          <t>{"scene_state": "Officina industriale con macchinari per la lavorazione dei metalli.", "environmental_conditions": ["Illuminazione interna", "Luce solare sul pavimento a sinistra", "Linee di sicurezza gialle sul pavimento"], "people": [{"descrizione": "Un operatore seduto di spalle su uno sgabello", "azione": "Lavora o monitora una pressa industriale sul lato destro"}], "objects": ["Contenitori metallici", "Scatole su pallet", "Carrello rosso", "Pezzi metallici"], "machines": ["Grandi presse industriali per stampaggio"], "observable_actions": ["L'operatore rimane seduto davanti alla macchina per tutta la durata della clip"], "visible_ppe": ["Abbigliamento da lavoro scuro, DPI specifici non distinguibili per la distanza"], "notes_visibility_limitations": "Inquadratura dall'alto e distanza elevata che limitano la visibilità dei dettagli dei DPI."}</t>
        </is>
      </c>
      <c r="E2" s="7" t="inlineStr">
        <is>
          <t>{"unsafe_behaviors": ["Postura seduta su sgabello in prossimità immediata di una pressa industriale in funzione, che potrebbe limitare la reattività in caso di emergenza"], "vulnerable_elements": ["Operatore posizionato vicino alla pressa industriale"],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0.7, "diagnostic_notes": "L'operatore lavora molto vicino a una pressa industriale per stampaggio. A causa della distanza e dell'inquadratura dall'alto, non è possibile verificare la presenza di barriere di sicurezza fisiche o fotoelettriche attive (S6). La postura seduta su uno sgabello vicino a macchinari pesanti rappresenta un potenziale fattore di rischio ergonomico o di ridotta reattività (S3). Non si rilevano mezzi in movimento o movimentazione manuale di carichi durante la finestra temporale analizzata."}</t>
        </is>
      </c>
      <c r="F2" s="7" t="inlineStr">
        <is>
          <t>{"causal_chain_plausible": true, "causal_chain_text": "L'operatore lavora seduto su uno sgabello a ridosso di una pressa in funzione. Questa postura riduce la prontezza di riflessi e la mobilità rapida. In caso di anomalia della macchina o movimento imprevisto, l'operatore potrebbe non essere in grado di allontanarsi tempestivamente, subendo lesioni.", "near_miss_or_incident_scenario": "Contatto accidentale o schiacciamento degli arti superiori con gli organi in movimento della pressa a causa della ridotta distanza e della limitata reattività motoria dovuta alla posizione seduta.", "contributing_factors": ["Posizione seduta su sgabello che riduce la mobilità e la reattività dell'operatore", "Estrema prossimità alla zona di operazione della pressa industriale", "Mancanza di barriere di protezione visibili o verificabili tra l'operatore e gli organi in movimento"]}</t>
        </is>
      </c>
      <c r="G2" s="7" t="n">
        <v>35.26</v>
      </c>
      <c r="H2" s="7" t="n">
        <v>35.26</v>
      </c>
      <c r="I2" s="8" t="inlineStr">
        <is>
          <t>giallo</t>
        </is>
      </c>
    </row>
    <row r="3" ht="34" customHeight="1">
      <c r="A3" s="7" t="n">
        <v>1</v>
      </c>
      <c r="B3" s="7" t="n">
        <v>2</v>
      </c>
      <c r="C3" s="7" t="n">
        <v>6</v>
      </c>
      <c r="D3" s="7" t="inlineStr">
        <is>
          <t>{"scene_state": "Interno di un'officina meccanica industriale con presse e attrezzature.", "environmental_conditions": ["Illuminazione interna artificiale", "Fascio di luce naturale sul pavimento a sinistra", "Pavimento industriale grigio con strisce di sicurezza gialle"], "people": ["Un operatore seduto di spalle su una sedia davanti a un macchinario"], "objects": ["Pallet con scatole", "Carrello rosso", "Contenitori metallici", "Componenti metallici lavorati"], "machines": ["Presse industriali di grandi dimensioni", "Rulliera metallica in primo piano"], "observable_actions": ["L'operatore rimane seduto davanti alla pressa, apparentemente impegnato in attività di controllo o assemblaggio"], "visible_ppe": ["Abbigliamento da lavoro standard (dettagli non distinguibili)"], "notes_visibility_limitations": "La distanza della telecamera e l'angolazione posteriore rispetto all'operatore impediscono l'identificazione precisa dei DPI."}</t>
        </is>
      </c>
      <c r="E3" s="7" t="inlineStr">
        <is>
          <t>{"unsafe_behaviors": ["Operatore posizionato di spalle rispetto alla zona di transito dell'officina, con potenziale riduzione della consapevolezza situazionale"], "vulnerable_elements": ["Operatore seduto davanti alla pressa industriale"], "risk_cues": {"S1_people_vehicle_interference": 0.0, "S2_visibility_attention_reduction": 0.5, "S3_non_compliant_behavior": 0.25, "S4_vehicle_infrastructure_interference": 0.0, "S5_storage_structural_instability": 0.25, "S6_access_to_moving_mechanical_parts": 0.5, "S7_manual_handling_heavy_unstable_loads": 0.0}, "cue_confidence": 0.7, "diagnostic_notes": "L'operatore lavora di spalle rispetto al resto dell'officina, limitando il proprio campo visivo posteriore (S2). La prossimità alla pressa industriale suggerisce un potenziale rischio di contatto con organi in movimento (S6), ma l'inquadratura posteriore e la distanza impediscono di verificare la presenza di barriere di sicurezza o l'uso corretto dei DPI."}</t>
        </is>
      </c>
      <c r="F3" s="7" t="inlineStr">
        <is>
          <t>{"causal_chain_plausible": true, "causal_chain_text": "L'operatore lavora di spalle rispetto alla zona di transito dell'officina e in prossimità di una pressa industriale. La ridotta consapevolezza situazionale posteriore, combinata con la vicinanza a organi meccanici in movimento, può impedire di percepire tempestivamente pericoli derivanti da mezzi in transito o anomalie della macchina stessa, portando a un impatto o a un contatto accidentale.", "near_miss_or_incident_scenario": "Un carrello o un mezzo di movimentazione transita nella zona alle spalle dell'operatore; quest'ultimo, non avvedendosi del mezzo a causa della posizione e del rumore ambientale, effettua un movimento improvviso all'indietro venendo urtato.", "contributing_factors": ["Posizionamento dell'operatore di spalle rispetto alla zona di transito", "Ridotta consapevolezza situazionale e limitazione del campo visivo posteriore", "Prossimità immediata a una pressa industriale potenzialmente attiva", "Impossibilità di verificare l'adozione di barriere di sicurezza o DPI adeguati dall'inquadratura"]}</t>
        </is>
      </c>
      <c r="G3" s="7" t="n">
        <v>37.03</v>
      </c>
      <c r="H3" s="7" t="n">
        <v>36.76</v>
      </c>
      <c r="I3" s="8" t="inlineStr">
        <is>
          <t>giallo</t>
        </is>
      </c>
    </row>
    <row r="4" ht="34" customHeight="1">
      <c r="A4" s="7" t="n">
        <v>2</v>
      </c>
      <c r="B4" s="7" t="n">
        <v>4</v>
      </c>
      <c r="C4" s="7" t="n">
        <v>8</v>
      </c>
      <c r="D4" s="7" t="inlineStr">
        <is>
          <t>{"scene_state": "Stabilimento industriale con macchinari pesanti, aree di stoccaggio e postazioni di lavoro.", "environmental_conditions": ["Illuminazione interna artificiale", "Riflessi di luce sul pavimento in cemento", "Linee di sicurezza gialle sul pavimento"], "people": ["Un operatore seduto davanti a una postazione di lavoro sulla destra"], "objects": ["Scatole di cartone su pallet", "Carrelli metallici", "Contenitori per materiali", "Scaffalature di stoccaggio"], "machines": ["Presse industriali di grandi dimensioni", "Un carrello elevatore visibile sullo sfondo a sinistra"], "observable_actions": ["Il carrello elevatore sullo sfondo a sinistra esegue una manovra", "L'operatore sulla destra rimane seduto alla sua postazione"], "visible_ppe": ["Non chiaramente identificabili a causa della distanza"], "notes_visibility_limitations": "La visuale dall'alto e la distanza riducono la nitidezza dei dettagli sullo sfondo e dei DPI dell'operatore."}</t>
        </is>
      </c>
      <c r="E4" s="7" t="inlineStr">
        <is>
          <t>{"unsafe_behaviors": [], "vulnerable_elements": ["Operatore seduto alla postazione di lavoro sulla destra"], "risk_cues": {"S1_people_vehicle_interference": 0.25, "S2_visibility_attention_reduction": 0.25, "S3_non_compliant_behavior": 0.0, "S4_vehicle_infrastructure_interference": 0.25, "S5_storage_structural_instability": 0.0, "S6_access_to_moving_mechanical_parts": 0.0, "S7_manual_handling_heavy_unstable_loads": 0.0}, "cue_confidence": 0.75, "diagnostic_notes": "La scena mostra un carrello elevatore in manovra sullo sfondo e un operatore seduto a destra. Non si evidenziano interferenze dirette o comportamenti non conformi. La distanza e l'inquadratura dall'alto limitano la verifica dei DPI dell'operatore e dei dettagli sullo sfondo."}</t>
        </is>
      </c>
      <c r="F4" s="7" t="inlineStr">
        <is>
          <t>{"causal_chain_plausible": false, "causal_chain_text": "Non si evidenzia una catena causale plausibile a causa della separazione spaziale tra il carrello elevatore sullo sfondo e l'operatore statico sulla destra.", "near_miss_or_incident_scenario": "Nessun evento avverso prevedibile data la distanza tra i soggetti e l'assenza di comportamenti non conformi.", "contributing_factors": ["Compresenza di mezzi di movimentazione e personale nello stesso capannone", "Visibilità limitata dei DPI dell'operatore dovuta alla distanza dell'inquadratura"]}</t>
        </is>
      </c>
      <c r="G4" s="7" t="n">
        <v>8.09</v>
      </c>
      <c r="H4" s="7" t="n">
        <v>19.56</v>
      </c>
      <c r="I4" s="9" t="inlineStr">
        <is>
          <t>verde</t>
        </is>
      </c>
    </row>
    <row r="5" ht="34" customHeight="1">
      <c r="A5" s="7" t="n">
        <v>3</v>
      </c>
      <c r="B5" s="7" t="n">
        <v>6</v>
      </c>
      <c r="C5" s="7" t="n">
        <v>10</v>
      </c>
      <c r="D5" s="7" t="inlineStr">
        <is>
          <t>{"scene_state": "Officina industriale attiva con macchinari pesanti, un carrello elevatore in movimento sullo sfondo e un operatore a una postazione.", "environmental_conditions": ["Illuminazione artificiale interna", "Pavimentazione industriale con linee di demarcazione gialle"], "people": ["Un operatore seduto davanti alla pressa sulla destra", "Un operatore a bordo del carrello elevatore sullo sfondo a sinistra"], "objects": ["Scatole di cartone su pallet", "Contenitori metallici e cassonetti rossi", "Carrello mobile rosso", "Lamiere e componenti metallici"], "machines": ["Presse industriali verticali (gialle e blu)", "Carrello elevatore (muletto)"], "observable_actions": ["Il carrello elevatore esegue manovre sullo sfondo a sinistra", "L'operatore sulla destra lavora seduto alla propria postazione"], "visible_ppe": ["Abbigliamento da lavoro (altri DPI non chiaramente distinguibili a causa della distanza)"], "notes_visibility_limitations": "La distanza della telecamera e l'inquadratura dall'alto limitano la visibilità dei dettagli sui DPI e sui volti."}</t>
        </is>
      </c>
      <c r="E5" s="7" t="inlineStr">
        <is>
          <t>{"unsafe_behaviors": [], "vulnerable_elements": ["Operatore seduto alla pressa", "Conducente del carrello elevatore"], "risk_cues": {"S1_people_vehicle_interference": 0.25, "S2_visibility_attention_reduction": 0.25, "S3_non_compliant_behavior": 0.25, "S4_vehicle_infrastructure_interference": 0.25, "S5_storage_structural_instability": 0.0, "S6_access_to_moving_mechanical_parts": 0.5, "S7_manual_handling_heavy_unstable_loads": 0.0}, "cue_confidence": 0.7, "diagnostic_notes": "La distanza della telecamera limita la visibilità dei dettagli sui DPI e sulle barriere di sicurezza della pressa. L'operatore lavora alla pressa (rischio moderato S6), mentre il muletto manovra sullo sfondo (S1, S4 a livello potenziale)."}</t>
        </is>
      </c>
      <c r="F5" s="7" t="inlineStr">
        <is>
          <t>{"causal_chain_plausible": true, "causal_chain_text": "La presenza di un carrello elevatore in movimento e di un operatore concentrato alla pressa crea un rischio di interferenza. Se l'operatore si spostasse improvvisamente o se il muletto deviasse dalla traiettoria, la mancanza di barriere visibili potrebbe portare a un impatto o a un contatto accidentale con la pressa.", "near_miss_or_incident_scenario": "Investimento dell'operatore da parte del carrello elevatore durante le manovre sullo sfondo, o schiacciamento delle mani nella pressa per assenza di barriere protettive adeguate.", "contributing_factors": ["Movimentazione del carrello elevatore in prossimità della postazione di lavoro", "Mancanza di barriere di sicurezza chiaramente visibili sulla pressa verticale", "Potenziale distrazione dovuta alla compresenza di attività rumorose e dinamiche"]}</t>
        </is>
      </c>
      <c r="G5" s="7" t="n">
        <v>40.09</v>
      </c>
      <c r="H5" s="7" t="n">
        <v>39.88</v>
      </c>
      <c r="I5" s="8" t="inlineStr">
        <is>
          <t>giallo</t>
        </is>
      </c>
    </row>
    <row r="6" ht="34" customHeight="1">
      <c r="A6" s="7" t="n">
        <v>4</v>
      </c>
      <c r="B6" s="7" t="n">
        <v>8</v>
      </c>
      <c r="C6" s="7" t="n">
        <v>12</v>
      </c>
      <c r="D6" s="7" t="inlineStr">
        <is>
          <t>{"scene_state": "Stabilimento industriale con macchinari pesanti e transito di carrelli elevatori.", "environmental_conditions": ["Illuminazione interna artificiale", "Pavimentazione industriale grigia con linee di demarcazione gialle"], "people": ["Un operatore seduto davanti a una pressa sul lato destro", "Un conducente a bordo del carrello elevatore in movimento"], "objects": ["Contenitori metallici arancioni impilati", "Scatole di cartone su pallet", "Attrezzature da lavoro"], "machines": ["Presse industriali di grandi dimensioni (gialle, blu e grigie)", "Un carrello elevatore in movimento che trasporta cassoni arancioni", "Un secondo carrello elevatore visibile sullo sfondo a sinistra"], "observable_actions": ["Un carrello elevatore attraversa l'area di lavoro da sinistra a destra trasportando un carico di cassoni arancioni", "Un operatore rimane seduto presso la postazione di lavoro sulla destra"], "visible_ppe": ["Non chiaramente identificabili a causa della distanza della telecamera"], "notes_visibility_limitations": "La distanza della telecamera e la risoluzione limitano la visibilità dei dettagli sui DPI e sui volti dei lavoratori."}</t>
        </is>
      </c>
      <c r="E6" s="7" t="inlineStr">
        <is>
          <t>{"unsafe_behaviors": [], "vulnerable_elements": ["Operatore seduto alla pressa sul lato destro"], "risk_cues": {"S1_people_vehicle_interference": 0.5, "S2_visibility_attention_reduction": 0.25, "S3_non_compliant_behavior": 0.0, "S4_vehicle_infrastructure_interference": 0.25, "S5_storage_structural_instability": 0.25, "S6_access_to_moving_mechanical_parts": 0.0, "S7_manual_handling_heavy_unstable_loads": 0.0}, "cue_confidence": 0.8, "diagnostic_notes": "Si rileva la compresenza di un carrello elevatore in movimento e di un operatore seduto alla sua postazione di lavoro. Sebbene siano presenti linee di demarcazione gialle sulla pavimentazione, la vicinanza del mezzo in transito configura un rischio moderato di interferenza (S1). Il carico di cassoni arancioni sul carrello potrebbe ridurre la visibilità anteriore del conducente (S2). Non si registrano comportamenti scorretti o instabilità dei carichi stoccati."}</t>
        </is>
      </c>
      <c r="F6" s="7" t="inlineStr">
        <is>
          <t>{"causal_chain_plausible": true, "causal_chain_text": "Il trasporto di cassoni arancioni sul carrello elevatore può limitare la visibilità anteriore del conducente. Se il conducente, con visibilità ridotta, transita vicino alla postazione della pressa e l'operatore seduto non si avvede del mezzo, si può verificare una collisione per deviazione accidentale o mancata percezione delle distanze.", "near_miss_or_incident_scenario": "Collisione o investimento dell'operatore seduto alla pressa da parte del carrello elevatore in transito.", "contributing_factors": ["Interferenza spazio-temporale tra carrello elevatore in movimento e operatore statico.", "Limitazione della visibilità anteriore del conducente causata dal carico trasportato.", "Prossimità della postazione di lavoro fissa alla via di transito del mezzo."]}</t>
        </is>
      </c>
      <c r="G6" s="7" t="n">
        <v>11.66</v>
      </c>
      <c r="H6" s="7" t="n">
        <v>22.95</v>
      </c>
      <c r="I6" s="9" t="inlineStr">
        <is>
          <t>verde</t>
        </is>
      </c>
    </row>
    <row r="7" ht="34" customHeight="1">
      <c r="A7" s="7" t="n">
        <v>5</v>
      </c>
      <c r="B7" s="7" t="n">
        <v>10</v>
      </c>
      <c r="C7" s="7" t="n">
        <v>14</v>
      </c>
      <c r="D7" s="7" t="inlineStr">
        <is>
          <t>{"scene_state": "Ambiente industriale attivo con transito di un carrello elevatore e un operatore alla postazione di lavoro.", "environmental_conditions": ["Illuminazione interna artificiale", "Pavimentazione industriale con segnaletica orizzontale gialla"], "people": ["Un operatore seduto alla postazione di lavoro sulla destra"], "objects": ["Contenitori metallici arancioni impilati", "Pallet", "Componenti metallici", "Scatole di cartone"], "machines": ["Carrello elevatore in movimento", "Presse industriali", "Macchinari di produzione"], "observable_actions": ["Un carrello elevatore trasporta due contenitori metallici arancioni impilati muovendosi da sinistra verso destra", "Un operatore lavora seduto alla propria postazione sulla destra"], "visible_ppe": ["Non chiaramente distinguibili a causa della distanza"], "notes_visibility_limitations": "La distanza della telecamera limita la visibilità dei dettagli dei DPI e del volto dell'operatore."}</t>
        </is>
      </c>
      <c r="E7" s="7" t="inlineStr">
        <is>
          <t>{"unsafe_behaviors": ["Trasporto di un carico impilato di due contenitori che può limitare la visibilità anteriore del conducente del carrello elevatore"], "vulnerable_elements": ["Operatore seduto alla postazione di lavoro sulla destra"], "risk_cues": {"S1_people_vehicle_interference": 0.5, "S2_visibility_attention_reduction": 0.75, "S3_non_compliant_behavior": 0.5, "S4_vehicle_infrastructure_interference": 0.25, "S5_storage_structural_instability": 0.25, "S6_access_to_moving_mechanical_parts": 0.0, "S7_manual_handling_heavy_unstable_loads": 0.0}, "cue_confidence": 0.8, "diagnostic_notes": "Il rischio principale è legato alla riduzione della visibilità del carrellista (S2) dovuta al trasporto di due contenitori metallici arancioni impilati, muovendosi verso destra dove è presente un operatore seduto (S1). Se la visibilità anteriore è ostruita, il transito in marcia avanti costituisce un comportamento non conforme (S3). La distanza della telecamera limita la valutazione dei DPI dell'operatore."}</t>
        </is>
      </c>
      <c r="F7" s="7" t="inlineStr">
        <is>
          <t>{"causal_chain_plausible": true, "causal_chain_text": "Il trasporto di due contenitori metallici impilati riduce la visibilità anteriore del carrellista. Muovendosi in avanti verso destra, dove si trova l'operatore seduto, il conducente rischia di non vederlo, potendo causare un investimento.", "near_miss_or_incident_scenario": "Investimento dell'operatore alla postazione di lavoro da parte del carrello elevatore a causa della visibilità ostruita dal carico.", "contributing_factors": ["Trasporto di carico impilato che limita la visibilità anteriore", "Marcia in avanti del carrello con visuale ostruita", "Presenza di un operatore seduto vicino alla traiettoria del mezzo"]}</t>
        </is>
      </c>
      <c r="G7" s="7" t="n">
        <v>17.42</v>
      </c>
      <c r="H7" s="7" t="n">
        <v>21.07</v>
      </c>
      <c r="I7" s="9" t="inlineStr">
        <is>
          <t>verde</t>
        </is>
      </c>
    </row>
    <row r="8" ht="34" customHeight="1">
      <c r="A8" s="7" t="n">
        <v>6</v>
      </c>
      <c r="B8" s="7" t="n">
        <v>12</v>
      </c>
      <c r="C8" s="7" t="n">
        <v>16</v>
      </c>
      <c r="D8" s="7" t="inlineStr">
        <is>
          <t>{"scene_state": "Ambiente industriale attivo con movimentazione merci.", "environmental_conditions": ["Illuminazione interna artificiale", "Pavimentazione industriale in cemento con segnaletica orizzontale"], "people": ["Un operatore seduto a una postazione di lavoro sulla destra", "Un conducente all'interno del carrello elevatore"], "objects": ["Contenitori metallici arancioni impilati", "Pallet e scatole di cartone", "Cassoni metallici sullo sfondo"], "machines": ["Carrello elevatore", "Presse industriali e macchinari di produzione sullo sfondo"], "observable_actions": ["Il carrello elevatore trasporta tre cassoni arancioni impilati ed esegue una manovra di retromarcia e svolta verso destra", "L'operatore sulla destra è seduto alla sua postazione di lavoro"], "visible_ppe": ["Non chiaramente identificabili a causa della distanza"], "notes_visibility_limitations": "La distanza della telecamera e la struttura del carrello elevatore limitano la visibilità dei dettagli e dei DPI dei lavoratori."}</t>
        </is>
      </c>
      <c r="E8" s="7" t="inlineStr">
        <is>
          <t>{"unsafe_behaviors": ["Manovra di retromarcia e svolta del carrello elevatore in prossimità di una postazione di lavoro attiva", "Trasporto di tre cassoni metallici impilati che potrebbero limitare la visibilità o la stabilità durante la manovra"], "vulnerable_elements": ["Operatore seduto alla postazione di lavoro sulla destra", "Conducente del carrello elevatore"], "risk_cues": {"S1_people_vehicle_interference": 0.5, "S2_visibility_attention_reduction": 0.5, "S3_non_compliant_behavior": 0.25, "S4_vehicle_infrastructure_interference": 0.5, "S5_storage_structural_instability": 0.5, "S6_access_to_moving_mechanical_parts": 0.0, "S7_manual_handling_heavy_unstable_loads": 0.0}, "cue_confidence": 0.75, "diagnostic_notes": "La manovra del carrello elevatore in retromarcia con un carico di tre cassoni impilati avviene vicino alla postazione dell'operatore, configurando un rischio moderato di interferenza (S1) e potenziale instabilità del carico (S5). La distanza limita la valutazione precisa dei DPI e dei comportamenti specifici."}</t>
        </is>
      </c>
      <c r="F8" s="7" t="inlineStr">
        <is>
          <t>{"causal_chain_plausible": true, "causal_chain_text": "La manovra di retromarcia e svolta del carrello elevatore con tre cassoni impilati riduce la visibilità del conducente e la stabilità del carico. Se il conducente non rileva la presenza dell'operatore seduto nelle vicinanze o se il carico si sbilancia durante la svolta, si può verificare una collisione o la caduta dei materiali verso la postazione di lavoro.", "near_miss_or_incident_scenario": "Collisione del carrello elevatore contro la postazione di lavoro dell'operatore o schiacciamento causato dalla caduta dei cassoni metallici instabili durante la svolta.", "contributing_factors": ["Manovra di retromarcia e svolta del carrello in prossimità di una postazione di lavoro attiva.", "Trasporto di tre cassoni metallici impilati che limita la visibilità e riduce la stabilità del carico.", "Presenza dell'operatore seduto all'interno del raggio d'azione del mezzo in movimento."]}</t>
        </is>
      </c>
      <c r="G8" s="7" t="n">
        <v>27</v>
      </c>
      <c r="H8" s="7" t="n">
        <v>27.02</v>
      </c>
      <c r="I8" s="8" t="inlineStr">
        <is>
          <t>giallo</t>
        </is>
      </c>
    </row>
    <row r="9" ht="34" customHeight="1">
      <c r="A9" s="7" t="n">
        <v>7</v>
      </c>
      <c r="B9" s="7" t="n">
        <v>14</v>
      </c>
      <c r="C9" s="7" t="n">
        <v>18</v>
      </c>
      <c r="D9" s="7" t="inlineStr">
        <is>
          <t>{"scene_state": "Interno di un'officina meccanica industriale con macchinari e aree di stoccaggio.", "environmental_conditions": ["Illuminazione interna artificiale", "Pavimento industriale con linee di demarcazione gialle"], "people": ["Un operatore all'interno della cabina del carrello elevatore"], "objects": ["Contenitori metallici arancioni impilati", "Scatole di cartone su pallet a sinistra", "Cassoni e attrezzature industriali varie"], "machines": ["Carrello elevatore (muletto)", "Grandi presse industriali (gialle e blu) sullo sfondo"], "observable_actions": ["Il carrello elevatore si muove in retromarcia trasportando una pila di cassoni metallici arancioni"], "visible_ppe": ["Non identificabili con precisione a causa della distanza e della cabina del mezzo"], "notes_visibility_limitations": "La presenza della cabina del muletto e dei cassoni impilati limita la visibilità diretta dell'operatore."}</t>
        </is>
      </c>
      <c r="E9" s="7" t="inlineStr">
        <is>
          <t>{"unsafe_behaviors": [], "vulnerable_elements": ["Operatore del carrello elevatore"], "risk_cues": {"S1_people_vehicle_interference": 0.0, "S2_visibility_attention_reduction": 0.5, "S3_non_compliant_behavior": 0.0, "S4_vehicle_infrastructure_interference": 0.25, "S5_storage_structural_instability": 0.25, "S6_access_to_moving_mechanical_parts": 0.0, "S7_manual_handling_heavy_unstable_loads": 0.0}, "cue_confidence": 0.8, "diagnostic_notes": "Il carrello elevatore si muove in retromarcia trasportando cassoni metallici impilati; la cabina e il carico riducono parzialmente la visibilità dell'operatore (S2). Non si osservano pedoni nell'area di manovra (S1) né comportamenti non conformi evidenti (S3). La presenza di macchinari e materiali stoccati richiede attenzione per evitare interferenze (S4, S5)."}</t>
        </is>
      </c>
      <c r="F9" s="7" t="inlineStr">
        <is>
          <t>{"causal_chain_plausible": true, "causal_chain_text": "La retromarcia del carrello elevatore con visibilità parzialmente ridotta (S2) e la presenza di ostacoli fissi (S4) possono indurre un errore di manovra. L'operatore, non vedendo chiaramente l'area retrostante, rischia di urtare macchinari o strutture di stoccaggio, destabilizzando il carico (S5).", "near_miss_or_incident_scenario": "Collisione del carrello elevatore in retromarcia contro le presse industriali o i materiali stoccati, con possibile caduta dei cassoni metallici trasportati.", "contributing_factors": ["Visibilità limitata dell'operatore dovuta alla cabina e al carico", "Presenza di macchinari e materiali stoccati vicini alla traiettoria", "Manovra di retromarcia in spazi di lavoro ristretti"]}</t>
        </is>
      </c>
      <c r="G9" s="7" t="n">
        <v>7.09</v>
      </c>
      <c r="H9" s="7" t="n">
        <v>15.06</v>
      </c>
      <c r="I9" s="9" t="inlineStr">
        <is>
          <t>verde</t>
        </is>
      </c>
    </row>
    <row r="10" ht="34" customHeight="1">
      <c r="A10" s="7" t="n">
        <v>8</v>
      </c>
      <c r="B10" s="7" t="n">
        <v>16</v>
      </c>
      <c r="C10" s="7" t="n">
        <v>20</v>
      </c>
      <c r="D10" s="7" t="inlineStr">
        <is>
          <t>{"scene_state": "Interno di un'officina industriale con macchinari pesanti, aree di stoccaggio e un carrello elevatore in movimento.", "environmental_conditions": ["Illuminazione artificiale interna", "Pavimentazione industriale in cemento con linee di sicurezza gialle"], "people": ["Un operatore parzialmente visibile sul lato destro, adiacente al carrello elevatore."], "objects": ["Contenitori metallici arancioni impilati", "Pallet in legno e metallo", "Carrello rosso", "Contenitori di plastica blu", "Componenti metallici lavorati"], "machines": ["Presse industriali verticali (gialle e blu)", "Carrello elevatore (muletto) sul lato destro"], "observable_actions": ["Il carrello elevatore sul lato destro sta movimentando una pila di contenitori metallici arancioni."], "visible_ppe": ["Non chiaramente identificabili a causa della distanza e delle ostruzioni visive."], "notes_visibility_limitations": "L'operatore e parte del carrello elevatore sono parzialmente occlusi dai grandi contenitori arancioni impilati in primo piano a destra."}</t>
        </is>
      </c>
      <c r="E10" s="7" t="inlineStr">
        <is>
          <t>{"unsafe_behaviors": ["Presenza dell'operatore a distanza di sicurezza insufficiente dal carrello elevatore in movimento", "Movimentazione di carichi impilati che possono limitare la visibilità del conducente"], "vulnerable_elements": ["Operatore a terra parzialmente visibile adiacente al carrello elevatore"], "risk_cues": {"S1_people_vehicle_interference": 0.75, "S2_visibility_attention_reduction": 0.75, "S3_non_compliant_behavior": 0.5, "S4_vehicle_infrastructure_interference": 0.5, "S5_storage_structural_instability": 0.5, "S6_access_to_moving_mechanical_parts": 0.0, "S7_manual_handling_heavy_unstable_loads": 0.0}, "cue_confidence": 0.8, "diagnostic_notes": "Si rileva una forte evidenza di interferenza uomo-mezzo (S1) dovuta alla presenza dell'operatore a terra nelle immediate vicinanze del carrello elevatore in manovra. La visibilità nell'area è significativamente ridotta (S2) a causa dell'ostruzione visiva causata dai grandi contenitori metallici arancioni impilati in primo piano, che occludono parzialmente sia l'operatore che il mezzo. Questo posizionamento e la movimentazione di carichi in quota introducono un rischio moderato di instabilità del carico (S5) e di potenziale interferenza con le infrastrutture circostanti (S4)."}</t>
        </is>
      </c>
      <c r="F10" s="7" t="inlineStr">
        <is>
          <t>{"causal_chain_plausible": true, "causal_chain_text": "La ridotta visibilità causata dai contenitori arancioni impilati impedisce al conducente del carrello elevatore di avvistare tempestivamente l'operatore a terra situato nelle immediate vicinanze. La mancanza di una distanza di sicurezza adeguata durante la movimentazione dei carichi crea una traiettoria di collisione diretta tra il mezzo in movimento e il lavoratore.", "near_miss_or_incident_scenario": "Investimento del lavoratore a terra da parte del carrello elevatore in manovra o schiacciamento dello stesso dovuto alla caduta accidentale dei contenitori metallici movimentati a causa della visibilità ostruita.", "contributing_factors": ["Presenza dell'operatore a terra a distanza non di sicurezza dal mezzo in movimento.", "Ostruzione visiva significativa causata dai grandi contenitori metallici impilati in primo piano.", "Movimentazione di carichi ingombranti che limitano il campo visivo del carrellista."]}</t>
        </is>
      </c>
      <c r="G10" s="7" t="n">
        <v>33.25</v>
      </c>
      <c r="H10" s="7" t="n">
        <v>32.51</v>
      </c>
      <c r="I10" s="8" t="inlineStr">
        <is>
          <t>giallo</t>
        </is>
      </c>
    </row>
    <row r="11" ht="34" customHeight="1">
      <c r="A11" s="7" t="n">
        <v>9</v>
      </c>
      <c r="B11" s="7" t="n">
        <v>18</v>
      </c>
      <c r="C11" s="7" t="n">
        <v>22</v>
      </c>
      <c r="D11" s="7" t="inlineStr">
        <is>
          <t>{"scene_state": "Interno di un'officina industriale con macchinari e area di transito.", "environmental_conditions": ["Illuminazione artificiale interna", "Pavimentazione industriale con linee di segnaletica gialle"], "people": ["Un operatore seduto a una postazione di lavoro sulla destra"], "objects": ["Pila di contenitori metallici arancioni", "Pallet e scatole su scaffali", "Contenitori metallici grigi e blu"], "machines": ["Carrello elevatore in movimento", "Presse industriali e macchinari di produzione sullo sfondo"], "observable_actions": ["Un carrello elevatore trasporta una pila di grandi contenitori arancioni muovendosi da destra verso il centro dell'inquadratura", "Un operatore rimane seduto alla propria postazione sulla destra"], "visible_ppe": ["Non chiaramente distinguibili a causa della distanza"], "notes_visibility_limitations": "Il carico voluminoso trasportato dal carrello elevatore copre parzialmente la visuale della parte destra della scena durante il transito."}</t>
        </is>
      </c>
      <c r="E11" s="7" t="inlineStr">
        <is>
          <t>{"unsafe_behaviors": ["Movimentazione di un carico voluminoso che limita parzialmente la visibilità dell'operatore del carrello elevatore"], "vulnerable_elements": ["Operatore seduto alla postazione di lavoro sulla destra"], "risk_cues": {"S1_people_vehicle_interference": 0.5, "S2_visibility_attention_reduction": 0.75, "S3_non_compliant_behavior": 0.25, "S4_vehicle_infrastructure_interference": 0.5, "S5_storage_structural_instability": 0.5, "S6_access_to_moving_mechanical_parts": 0.0, "S7_manual_handling_heavy_unstable_loads": 0.0}, "cue_confidence": 0.8, "diagnostic_notes": "Il transito del carrello elevatore con un carico voluminoso di contenitori metallici arancioni riduce la visibilità nell'area di manovra, in particolare verso la destra della scena dove staziona un operatore alla propria postazione. Sebbene vi sia segnaletica orizzontale, la vicinanza tra il mezzo e la postazione di lavoro e la potenziale instabilità del carico impilato generano rischi moderati di interferenza e collisione."}</t>
        </is>
      </c>
      <c r="F11" s="7" t="inlineStr">
        <is>
          <t>{"causal_chain_plausible": true, "causal_chain_text": "La movimentazione di un carico voluminoso riduce la visibilità del carrellista. Durante il transito vicino alla postazione di lavoro, la ridotta visuale e la potenziale instabilità dei contenitori impilati possono causare una collisione o la caduta del carico sull'operatore seduto.", "near_miss_or_incident_scenario": "Il carrello elevatore urta la postazione di lavoro o perde parte del carico metallico instabile, investendo o schiacciando l'operatore seduto nelle immediate vicinanze.", "contributing_factors": ["Visuale del conducente ostruita dal carico voluminoso.", "Vicinanza tra la postazione di lavoro e l'area di transito del mezzo.", "Potenziale instabilità dei contenitori metallici impilati."]}</t>
        </is>
      </c>
      <c r="G11" s="7" t="n">
        <v>27.46</v>
      </c>
      <c r="H11" s="7" t="n">
        <v>29.48</v>
      </c>
      <c r="I11" s="8" t="inlineStr">
        <is>
          <t>giallo</t>
        </is>
      </c>
    </row>
    <row r="12" ht="34" customHeight="1">
      <c r="A12" s="7" t="n">
        <v>10</v>
      </c>
      <c r="B12" s="7" t="n">
        <v>20</v>
      </c>
      <c r="C12" s="7" t="n">
        <v>24</v>
      </c>
      <c r="D12" s="7" t="inlineStr">
        <is>
          <t>{"scene_state": "Interno di un capannone industriale attivo e ben illuminato.", "environmental_conditions": ["Illuminazione artificiale interna", "Pavimentazione industriale con segnaletica gialla"], "people": ["Un operatore seduto a una postazione di lavoro sulla destra"], "objects": ["Pila di contenitori metallici arancioni", "Scatole su scaffali a sinistra", "Pallet metallici"], "machines": ["Carrello elevatore in movimento", "Presse industriali gialle e blu sullo sfondo", "Armadi elettrici"], "observable_actions": ["Un carrello elevatore trasporta e posiziona una pila di contenitori metallici arancioni al centro della scena", "Un operatore lavora seduto alla sua postazione sulla destra"], "visible_ppe": ["Non chiaramente distinguibili a causa della distanza"], "notes_visibility_limitations": "Il carrello elevatore è parzialmente nascosto dal carico di contenitori arancioni che trasporta. L'operatore è visibile solo di spalle."}</t>
        </is>
      </c>
      <c r="E12" s="7" t="inlineStr">
        <is>
          <t>{"unsafe_behaviors": ["Conduzione del carrello elevatore con visibilità anteriore limitata dal carico trasportato"], "vulnerable_elements": ["Operatore seduto alla postazione di lavoro sulla destra", "Infrastrutture e scaffalature nell'area di manovra"], "risk_cues": {"S1_people_vehicle_interference": 0.5, "S2_visibility_attention_reduction": 0.75, "S3_non_compliant_behavior": 0.5, "S4_vehicle_infrastructure_interference": 0.25, "S5_storage_structural_instability": 0.5, "S6_access_to_moving_mechanical_parts": 0.0, "S7_manual_handling_heavy_unstable_loads": 0.0}, "cue_confidence": 0.8, "diagnostic_notes": "La criticità principale risiede nella riduzione della visibilità del carrellista (S2), in quanto il carrello elevatore è parzialmente nascosto dal carico voluminoso di contenitori metallici arancioni che trasporta e posiziona. Questa condizione può configurare un comportamento non conforme (S3) se la manovra non viene eseguita con le dovute cautele (es. marcia indietro). Si rileva una moderata interferenza spaziale (S1) con l'operatore seduto nelle vicinanze e un potenziale rischio di instabilità del carico (S5) durante le fasi di movimentazione e impilamento dei contenitori."}</t>
        </is>
      </c>
      <c r="F12" s="7" t="inlineStr">
        <is>
          <t>{"causal_chain_plausible": true, "causal_chain_text": "La visibilità anteriore del carrellista è ostruita dal carico voluminoso di contenitori metallici. Avanzando con visuale ridotta in prossimità di una postazione occupata, il conducente rischia di non avvedersi della presenza dell'operatore o di ostacoli fissi, portando a un potenziale impatto.", "near_miss_or_incident_scenario": "Il carrello elevatore urta l'operatore seduto alla postazione di lavoro sulla destra o impatta contro le scaffalature limitrofe a causa della cecità visiva anteriore causata dal carico.", "contributing_factors": ["Visibilità anteriore del conducente fortemente limitata dall'altezza dei contenitori arancioni trasportati.", "Presenza di un operatore seduto di spalle e vulnerabile vicino all'area di manovra.", "Movimentazione di carichi ingombranti in un'area di lavoro condivisa senza separazione fisica."]}</t>
        </is>
      </c>
      <c r="G12" s="7" t="n">
        <v>20.84</v>
      </c>
      <c r="H12" s="7" t="n">
        <v>24.3</v>
      </c>
      <c r="I12" s="8" t="inlineStr">
        <is>
          <t>giallo</t>
        </is>
      </c>
    </row>
    <row r="13" ht="34" customHeight="1">
      <c r="A13" s="7" t="n">
        <v>11</v>
      </c>
      <c r="B13" s="7" t="n">
        <v>22</v>
      </c>
      <c r="C13" s="7" t="n">
        <v>26</v>
      </c>
      <c r="D13" s="7" t="inlineStr">
        <is>
          <t>{"scene_state": "Interno di un'officina meccanica industriale con macchinari di produzione e aree di stoccaggio.", "environmental_conditions": ["Illuminazione interna artificiale", "Pavimentazione industriale in cemento"], "people": ["Un operatore seduto presso una postazione di lavoro sul lato destro"], "objects": ["Tre grandi contenitori metallici arancioni impilati", "Scatole e componenti su scaffalature a sinistra", "Contenitori metallici di vari colori (blu, grigi)"], "machines": ["Carrello elevatore (in movimento)", "Grandi presse industriali (gialle e blu)", "Attrezzature di produzione"], "observable_actions": ["Un carrello elevatore trasporta una pila di tre contenitori metallici arancioni, muovendosi all'interno dell'officina."], "visible_ppe": ["Non chiaramente distinguibili sull'operatore seduto a causa della distanza"], "notes_visibility_limitations": "Il carrello elevatore è in gran parte coperto alla vista dal carico voluminoso di contenitori arancioni che sta movimentando."}</t>
        </is>
      </c>
      <c r="E13" s="7" t="inlineStr">
        <is>
          <t>{"unsafe_behaviors": ["Conduzione del carrello elevatore con visibilità anteriore ostruita dal carico voluminoso"], "vulnerable_elements": ["Operatore seduto alla postazione di lavoro", "Infrastrutture e macchinari dell'officina"], "risk_cues": {"S1_people_vehicle_interference": 0.75, "S2_visibility_attention_reduction": 1.0, "S3_non_compliant_behavior": 0.75, "S4_vehicle_infrastructure_interference": 0.5, "S5_storage_structural_instability": 0.5, "S6_access_to_moving_mechanical_parts": 0.0, "S7_manual_handling_heavy_unstable_loads": 0.0}, "cue_confidence": 0.85, "diagnostic_notes": "La movimentazione di tre contenitori metallici impilati ostruisce gravemente la visibilità anteriore del conducente del carrello elevatore (S2), generando un rischio elevato di interferenza con l'operatore presente (S1) e con le infrastrutture (S4). Tale modalità di trasporto rappresenta un comportamento non conforme (S3) in quanto riduce la sicurezza di manovra."}</t>
        </is>
      </c>
      <c r="F13" s="7" t="inlineStr">
        <is>
          <t>{"causal_chain_plausible": true, "causal_chain_text": "Il trasporto di tre contenitori metallici impilati ostruisce completamente la visuale anteriore del conducente del carrello elevatore. Muovendosi senza visibilità lungo il percorso dell'officina, il conducente non è in grado di percepire la presenza dell'operatore seduto alla postazione o degli ostacoli strutturali, portando a una collisione imminente.", "near_miss_or_incident_scenario": "Il carrello elevatore investe l'operatore seduto alla postazione di lavoro sul lato destro o collide violentemente con le presse industriali a causa della totale mancanza di visibilità anteriore.", "contributing_factors": ["Ostruzione della visibilità anteriore del conducente causata dall'altezza del carico trasportato", "Presenza di un operatore seduto in prossimità dell'area di manovra del carrello elevatore", "Mancato utilizzo della marcia indietro per la movimentazione di carichi che limitano la visuale"]}</t>
        </is>
      </c>
      <c r="G13" s="7" t="n">
        <v>34.37</v>
      </c>
      <c r="H13" s="7" t="n">
        <v>33.72</v>
      </c>
      <c r="I13" s="8" t="inlineStr">
        <is>
          <t>giallo</t>
        </is>
      </c>
    </row>
    <row r="14" ht="34" customHeight="1">
      <c r="A14" s="7" t="n">
        <v>12</v>
      </c>
      <c r="B14" s="7" t="n">
        <v>24</v>
      </c>
      <c r="C14" s="7" t="n">
        <v>28</v>
      </c>
      <c r="D14" s="7" t="inlineStr">
        <is>
          <t>{"scene_state": "Ambiente industriale attivo con macchinari e transito di carrelli elevatori.", "environmental_conditions": ["Illuminazione interna artificiale", "Pavimentazione industriale con segnaletica orizzontale gialla"], "people": ["Un operatore seduto a una postazione di lavoro sulla destra", "Un operatore alla guida del carrello elevatore"], "objects": ["Contenitori metallici arancioni impilati", "Scatole di cartone su scaffali", "Pallet e attrezzature varie"], "machines": ["Carrello elevatore in movimento", "Presse industriali e macchinari di produzione sullo sfondo"], "observable_actions": ["Il carrello elevatore si sposta trasportando tre contenitori metallici arancioni impilati", "L'operatore sulla destra rimane seduto svolgendo attività alla sua postazione"], "visible_ppe": ["Non chiaramente identificabili a causa della distanza"], "notes_visibility_limitations": "La distanza della telecamera e l'inquadratura dall'alto limitano la visibilità dei dettagli sui DPI e sui volti degli operatori."}</t>
        </is>
      </c>
      <c r="E14" s="7" t="inlineStr">
        <is>
          <t>{"unsafe_behaviors": ["Trasporto di un carico elevato (tre contenitori metallici impilati) che può limitare significativamente la visibilità anteriore del conducente del carrello elevatore."], "vulnerable_elements": ["Operatore alla guida del carrello elevatore", "Operatore seduto alla postazione di lavoro sulla destra"], "risk_cues": {"S1_people_vehicle_interference": 0.25, "S2_visibility_attention_reduction": 0.75, "S3_non_compliant_behavior": 0.5, "S4_vehicle_infrastructure_interference": 0.25, "S5_storage_structural_instability": 0.5, "S6_access_to_moving_mechanical_parts": 0.0, "S7_manual_handling_heavy_unstable_loads": 0.0}, "cue_confidence": 0.8, "diagnostic_notes": "Il trasporto di tre contenitori metallici impilati sul carrello elevatore rappresenta un rischio concreto di riduzione della visibilità anteriore per il conducente (S2) e di potenziale instabilità del carico durante il movimento (S5). Sebbene l'operatore sulla destra sia seduto alla sua postazione, la condivisione dello spazio operativo con un mezzo in movimento e con visibilità potenzialmente ridotta configura un rischio di interferenza (S1). La distanza della telecamera limita la valutazione dettagliata dei DPI."}</t>
        </is>
      </c>
      <c r="F14" s="7" t="inlineStr">
        <is>
          <t>{"causal_chain_plausible": true, "causal_chain_text": "Il trasporto di tre contenitori metallici impilati riduce la visibilità anteriore del conducente. Procedendo in avanti con la visuale ostruita, il conducente rischia di non vedere l'operatore seduto alla postazione di lavoro o eventuali ostacoli, con conseguente rischio di investimento o collisione.", "near_miss_or_incident_scenario": "Investimento dell'operatore alla postazione di destra o collisione con le strutture a causa della visibilità ridotta del conducente del carrello elevatore.", "contributing_factors": ["Carico eccessivamente alto che ostruisce la visuale anteriore", "Presenza di operatori a terra nelle vicinanze della traiettoria del mezzo", "Potenziale instabilità del carico composto da tre contenitori impilati"]}</t>
        </is>
      </c>
      <c r="G14" s="7" t="n">
        <v>18.07</v>
      </c>
      <c r="H14" s="7" t="n">
        <v>24.33</v>
      </c>
      <c r="I14" s="8" t="inlineStr">
        <is>
          <t>giallo</t>
        </is>
      </c>
    </row>
    <row r="15" ht="34" customHeight="1">
      <c r="A15" s="7" t="n">
        <v>13</v>
      </c>
      <c r="B15" s="7" t="n">
        <v>26</v>
      </c>
      <c r="C15" s="7" t="n">
        <v>30</v>
      </c>
      <c r="D15" s="7" t="inlineStr">
        <is>
          <t>{"scene_state": "Interno di un'officina meccanica industriale con macchinari di stampaggio e corsie di transito.", "environmental_conditions": ["Illuminazione interna artificiale", "Pavimentazione industriale grigia con linee di demarcazione gialle"], "people": ["Un operatore seduto davanti a una postazione di lavoro sulla destra", "Un pedone con giacca rossa che cammina sullo sfondo a destra", "Un operatore alla guida del carrello elevatore"], "objects": ["Cassoni metallici arancioni impilati", "Scatole di cartone su scaffalature a sinistra", "Contenitori e fusti metallici blu"], "machines": ["Carrello elevatore cabinato", "Grandi presse industriali verticali (colori giallo, blu e grigio)"], "observable_actions": ["Il carrello elevatore trasporta tre cassoni arancioni impilati muovendosi in retromarcia e svoltando verso sinistra", "Il pedone sullo sfondo cammina da destra verso sinistra"], "visible_ppe": ["Non identificabili con precisione a causa della distanza della telecamera"], "notes_visibility_limitations": "La visuale dall'alto e la distanza riducono la visibilità dei dettagli sui volti e sui dispositivi di protezione individuale."}</t>
        </is>
      </c>
      <c r="E15" s="7" t="inlineStr">
        <is>
          <t>{"unsafe_behaviors": ["Manovra di retromarcia e svolta con tre cassoni metallici impilati, che limita la visibilità del conducente e aumenta il rischio di instabilità del carico."], "vulnerable_elements": ["Pedone che cammina sullo sfondo", "Operatore seduto alla postazione di lavoro sulla destra"], "risk_cues": {"S1_people_vehicle_interference": 0.5, "S2_visibility_attention_reduction": 0.75, "S3_non_compliant_behavior": 0.25, "S4_vehicle_infrastructure_interference": 0.5, "S5_storage_structural_instability": 0.5, "S6_access_to_moving_mechanical_parts": 0.0, "S7_manual_handling_heavy_unstable_loads": 0.0}, "cue_confidence": 0.8, "diagnostic_notes": "La manovra del carrello elevatore in retromarcia con svolta, trasportando tre cassoni impilati, evidenzia un rischio significativo di visibilità ridotta (S2) e potenziale instabilità del carico (S5). La compresenza di un pedone e di un operatore seduto nelle vicinanze configura un rischio moderato di interferenza uomo-mezzo (S1), sebbene parzialmente regolato dalle linee di demarcazione a terra."}</t>
        </is>
      </c>
      <c r="F15" s="7" t="inlineStr">
        <is>
          <t>{"causal_chain_plausible": true, "causal_chain_text": "Il trasporto di tre cassoni impilati riduce la visibilità del conducente durante la retromarcia e la svolta. L'instabilità del carico, unita alle forze dinamiche della manovra, può causare la caduta dei cassoni o la perdita di controllo del carrello, interferendo con il pedone o l'operatore vicino.", "near_miss_or_incident_scenario": "Caduta del carico instabile (cassoni arancioni) durante la svolta in retromarcia, con rischio di investimento o schiacciamento del pedone o dell'operatore alla postazione.", "contributing_factors": ["Altezza e instabilità del carico dovuto all'impilamento di tre cassoni", "Esecuzione di una manovra complessa (retromarcia con svolta) con visibilità ridotta", "Presenza di personale a piedi e seduto nelle immediate vicinanze dell'area di manovra"]}</t>
        </is>
      </c>
      <c r="G15" s="7" t="n">
        <v>27.46</v>
      </c>
      <c r="H15" s="7" t="n">
        <v>28.56</v>
      </c>
      <c r="I15" s="8" t="inlineStr">
        <is>
          <t>giallo</t>
        </is>
      </c>
    </row>
    <row r="16" ht="34" customHeight="1">
      <c r="A16" s="7" t="n">
        <v>14</v>
      </c>
      <c r="B16" s="7" t="n">
        <v>28</v>
      </c>
      <c r="C16" s="7" t="n">
        <v>32</v>
      </c>
      <c r="D16" s="7" t="inlineStr">
        <is>
          <t>{"scene_state": "Interno di un'officina industriale con macchinari pesanti, aree di stoccaggio e corsie di transito.", "environmental_conditions": ["Illuminazione artificiale interna", "Pavimentazione industriale in cemento con segnaletica gialla"], "people": ["Un operatore seduto davanti a una postazione di lavoro sulla destra", "Una persona con giacca rossa che cammina sullo sfondo a destra"], "objects": ["Contenitori metallici", "Scaffalature arancioni", "Carrelli", "Pallet e materiali di produzione"], "machines": ["Grandi presse industriali (gialle, blu e grigie)"], "observable_actions": ["L'operatore seduto esegue attività alla postazione", "La persona sullo sfondo cammina nell'area di transito"], "visible_ppe": ["Non chiaramente identificabili a causa della distanza"], "notes_visibility_limitations": "La distanza della telecamera e l'angolazione elevata limitano la visibilità dei dettagli sui DPI e sui volti delle persone."}</t>
        </is>
      </c>
      <c r="E16" s="7" t="inlineStr">
        <is>
          <t>{"unsafe_behaviors": [], "vulnerable_elements": ["Operatore alla postazione di lavoro sulla destra", "Pedone in giacca rossa nell'area di transito sullo sfondo"],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0.7, "diagnostic_notes": "La scena mostra un normale svolgimento delle attività industriali. Non si evidenziano situazioni di rischio immediato o comportamenti non conformi. Si segnala la presenza di scaffalature e materiali stoccati (S5) che, pur non mostrando segni di instabilità, richiedono vigilanza periodica. La distanza e l'altezza della telecamera non consentono di verificare l'uso effettivo dei DPI individuali."}</t>
        </is>
      </c>
      <c r="F16" s="7" t="inlineStr">
        <is>
          <t>{"causal_chain_plausible": false, "causal_chain_text": "Non si riscontrano catene causali plausibili che possano condurre a un incidente, in quanto le attività si svolgono regolarmente senza interferenze critiche o comportamenti non conformi rilevabili.", "near_miss_or_incident_scenario": "Nessuno scenario di incidente o near miss è attualmente prevedibile sulla base degli elementi osservati.", "contributing_factors": []}</t>
        </is>
      </c>
      <c r="G16" s="7" t="n">
        <v>2</v>
      </c>
      <c r="H16" s="7" t="n">
        <v>12.62</v>
      </c>
      <c r="I16" s="9" t="inlineStr">
        <is>
          <t>verde</t>
        </is>
      </c>
    </row>
    <row r="17" ht="34" customHeight="1">
      <c r="A17" s="7" t="n">
        <v>15</v>
      </c>
      <c r="B17" s="7" t="n">
        <v>30</v>
      </c>
      <c r="C17" s="7" t="n">
        <v>34</v>
      </c>
      <c r="D17" s="7" t="inlineStr">
        <is>
          <t>{"scene_state": "Interno di un'officina meccanica industriale con macchinari pesanti e aree di stoccaggio.", "environmental_conditions": ["Illuminazione artificiale interna", "Pavimentazione industriale in cemento con linee di demarcazione gialle"], "people": ["Un operatore seduto davanti a una pressa industriale sul lato destro", "Un lavoratore con maglia rossa che cammina sullo sfondo a destra"], "objects": ["Contenitori metallici e cassoni", "Scaffalature metalliche con materiali", "Carrello manuale rosso", "Pallet in legno"], "machines": ["Presse industriali verticali (gialle, blu e bianche)", "Carrello elevatore visibile sullo sfondo a sinistra"], "observable_actions": ["L'operatore seduto è intento a lavorare presso la propria postazione", "Il lavoratore sullo sfondo si sposta camminando"], "visible_ppe": ["Non chiaramente distinguibili a causa della distanza di ripresa"], "notes_visibility_limitations": "La prospettiva grandangolare e la distanza della telecamera limitano la visibilità dei dettagli sui DPI e sui volti delle persone."}</t>
        </is>
      </c>
      <c r="E17" s="7" t="inlineStr">
        <is>
          <t>{"unsafe_behaviors": [], "vulnerable_elements": ["Operatore alla pressa industriale", "Lavoratore che cammina sullo sfondo"], "risk_cues": {"S1_people_vehicle_interference": 0.25, "S2_visibility_attention_reduction": 0.25, "S3_non_compliant_behavior": 0.0, "S4_vehicle_infrastructure_interference": 0.0, "S5_storage_structural_instability": 0.25, "S6_access_to_moving_mechanical_parts": 0.5, "S7_manual_handling_heavy_unstable_loads": 0.0}, "cue_confidence": 0.7, "diagnostic_notes": "L'operatore lavora presso una pressa verticale (S6) e un carrello elevatore è presente sullo sfondo (S1), configurando rischi potenziali ma senza evidenze di violazioni o pericoli immediati. La distanza limita la valutazione dei DPI."}</t>
        </is>
      </c>
      <c r="F17" s="7" t="inlineStr">
        <is>
          <t>{"causal_chain_plausible": true, "causal_chain_text": "L'operatore lavora in prossimità della pressa verticale. Una distrazione o un posizionamento errato delle mani, unito alla potenziale mancanza di barriere protettive adeguate, può causare il contatto accidentale con gli organi in movimento.", "near_miss_or_incident_scenario": "Schiacciamento o intrappolamento degli arti superiori dell'operatore all'interno della pressa verticale durante la fase operativa.", "contributing_factors": ["Lavoro a ridosso di organi meccanici in movimento (pressa verticale)", "Presenza di un carrello elevatore e di un pedone in movimento nello sfondo, potenziale fonte di distrazione", "Distanza di ripresa che impedisce la verifica dell'effettiva presenza di barriere di sicurezza e dell'uso dei DPI"]}</t>
        </is>
      </c>
      <c r="G17" s="7" t="n">
        <v>37.52</v>
      </c>
      <c r="H17" s="7" t="n">
        <v>36.44</v>
      </c>
      <c r="I17" s="8" t="inlineStr">
        <is>
          <t>giallo</t>
        </is>
      </c>
    </row>
    <row r="18" ht="34" customHeight="1">
      <c r="A18" s="7" t="n">
        <v>16</v>
      </c>
      <c r="B18" s="7" t="n">
        <v>32</v>
      </c>
      <c r="C18" s="7" t="n">
        <v>34</v>
      </c>
      <c r="D18" s="7" t="inlineStr">
        <is>
          <t>{"scene_state": "Officina industriale con macchinari per lo stampaggio e aree di stoccaggio.", "environmental_conditions": ["Illuminazione interna artificiale", "Pavimentazione in cemento con linee di demarcazione gialle"], "people": ["Un operatore seduto davanti a una pressa industriale sulla destra"], "objects": ["Contenitori metallici", "Pallet in legno", "Scatole di cartone", "Carrello rosso", "Componenti metallici"], "machines": ["Presse industriali verticali (gialle e blu)", "Carrello elevatore (sullo sfondo a sinistra)"], "observable_actions": ["L'operatore è seduto e sembra interagire con il macchinario di fronte a sé"], "visible_ppe": ["Abbigliamento da lavoro scuro (ulteriori DPI non sono chiaramente distinguibili a causa della distanza)"], "notes_visibility_limitations": "La telecamera è posizionata in alto e a distanza, limitando la visibilità dei dettagli minuti e dei DPI specifici dell'operatore."}</t>
        </is>
      </c>
      <c r="E18" s="7" t="inlineStr">
        <is>
          <t>{"unsafe_behaviors": ["Possibile mancato utilizzo di DPI specifici per la protezione delle mani o dell'udito, non chiaramente distinguibili a causa della distanza"], "vulnerable_elements": ["Operatore seduto davanti alla pressa industriale"], "risk_cues": {"S1_people_vehicle_interference": 0.25, "S2_visibility_attention_reduction": 0.5, "S3_non_compliant_behavior": 0.25, "S4_vehicle_infrastructure_interference": 0.0, "S5_storage_structural_instability": 0.0, "S6_access_to_moving_mechanical_parts": 0.5, "S7_manual_handling_heavy_unstable_loads": 0.0}, "cue_confidence": 0.7, "diagnostic_notes": "L'operatore è concentrato sull'interazione con la pressa, riducendo la sua attenzione verso l'ambiente circostante (S2). L'interazione con il macchinario comporta un potenziale rischio di accesso a organi in movimento (S6). Un carrello elevatore è presente sullo sfondo ma non interagisce direttamente con l'operatore (S1). La distanza della telecamera limita la verifica dei DPI (S3)."}</t>
        </is>
      </c>
      <c r="F18" s="7" t="inlineStr">
        <is>
          <t>{"causal_chain_plausible": true, "causal_chain_text": "L'operatore è concentrato sull'interazione ravvicinata con la pressa verticale, riducendo la propria attenzione situazionale. In caso di distrazione o movimento errato, la prossimità agli organi meccanici in movimento della pressa, unita alla mancata certezza sull'uso di DPI idonei, può causare un contatto accidentale pericoloso.", "near_miss_or_incident_scenario": "Schiacciamento o intrappolamento degli arti superiori dell'operatore all'interno della pressa industriale durante la fase di lavorazione.", "contributing_factors": ["Interazione diretta e ravvicinata con organi meccanici in movimento", "Riduzione dell'attenzione dell'operatore focalizzato sul macchinario", "Impossibilità di verificare l'effettivo utilizzo di DPI specifici per le mani"]}</t>
        </is>
      </c>
      <c r="G18" s="7" t="n">
        <v>39</v>
      </c>
      <c r="H18" s="7" t="n">
        <v>38.35</v>
      </c>
      <c r="I18" s="8" t="inlineStr">
        <is>
          <t>giallo</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1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4" customWidth="1" min="4" max="4"/>
    <col width="14" customWidth="1" min="5" max="5"/>
  </cols>
  <sheetData>
    <row r="1" ht="16" customHeight="1">
      <c r="A1" s="6" t="inlineStr">
        <is>
          <t>window_id</t>
        </is>
      </c>
      <c r="B1" s="6" t="inlineStr">
        <is>
          <t>start_time_s</t>
        </is>
      </c>
      <c r="C1" s="6" t="inlineStr">
        <is>
          <t>end_time_s</t>
        </is>
      </c>
      <c r="D1" s="6" t="inlineStr">
        <is>
          <t>vlm_free_scoring_json</t>
        </is>
      </c>
      <c r="E1" s="6" t="inlineStr">
        <is>
          <t>vlm_guided_scoring_json</t>
        </is>
      </c>
    </row>
    <row r="2" ht="34" customHeight="1">
      <c r="A2" s="7" t="n">
        <v>0</v>
      </c>
      <c r="B2" s="7" t="n">
        <v>0</v>
      </c>
      <c r="C2" s="7" t="n">
        <v>4</v>
      </c>
      <c r="D2" s="7" t="inlineStr">
        <is>
          <t>{"instantaneous_risk_score": 35.0, "score_rationale": "Il punteggio di 35 riflette un rischio moderato e intrinseco legato alla presenza di presse verticali attive. Non si rilevano pericoli imminenti o violazioni evidenti, e sono presenti barriere di protezione. Tuttavia, la distanza impedisce la verifica dell'uso di DPI specifici (guanti, scarpe antinfortunistiche) e si segnalano potenziali criticità ergonomiche e ingombri localizzati (carrelli/materiali) vicino alla postazione di lavoro."}</t>
        </is>
      </c>
      <c r="E2" s="7" t="inlineStr">
        <is>
          <t>{"risk_score_0_100": 40, "score_rationale": "Il punteggio riflette un rischio moderato dovuto alla postura seduta dell'operatore in estrema prossimità della pressa in funzione, che ne limita la reattività e la mobilità in caso di emergenza. Inoltre, la distanza dell'inquadratura non consente di verificare la presenza di barriere fisiche o fotoelettriche attive a protezione dagli organi in movimento."}</t>
        </is>
      </c>
    </row>
    <row r="3" ht="34" customHeight="1">
      <c r="A3" s="7" t="n">
        <v>1</v>
      </c>
      <c r="B3" s="7" t="n">
        <v>2</v>
      </c>
      <c r="C3" s="7" t="n">
        <v>6</v>
      </c>
      <c r="D3" s="7" t="inlineStr">
        <is>
          <t>{"instantaneous_risk_score": 20.0, "score_rationale": "Il punteggio di 20 indica una situazione di normale operatività con rischi minimi immediati. L'operatore è in posizione stabile e non si osservano comportamenti non sicuri. Il rischio è limitato a fattori intrinseci dell'ambiente industriale (presse, ergonomia, possibili inciampi) e alla mancata verifica visiva dei DPI dovuta alla distanza."}</t>
        </is>
      </c>
      <c r="E3" s="7" t="inlineStr">
        <is>
          <t>{"risk_score_0_100": 40, "score_rationale": "Il punteggio riflette un rischio moderato dovuto alla ridotta consapevolezza situazionale dell'operatore, che lavora di spalle rispetto alla zona di transito e vicino a una pressa. Pur in assenza di minacce immediate, tale configurazione aumenta la vulnerabilità a urti con mezzi o contatti accidentali con la macchina."}</t>
        </is>
      </c>
    </row>
    <row r="4" ht="34" customHeight="1">
      <c r="A4" s="7" t="n">
        <v>2</v>
      </c>
      <c r="B4" s="7" t="n">
        <v>4</v>
      </c>
      <c r="C4" s="7" t="n">
        <v>8</v>
      </c>
      <c r="D4" s="7" t="inlineStr">
        <is>
          <t>{"instantaneous_risk_score": 25.0, "score_rationale": "Il punteggio di 25 indica un livello di rischio basso ma non nullo. Sebbene vi sia la compresenza di un carrello elevatore in movimento e di un operatore nello stesso capannone, il mezzo transita a bassa velocità in un'area separata (sfondo) e sono presenti linee gialle di demarcazione a terra per mitigare il rischio di interferenza. La parziale visibilità dei DPI dell'operatore impone comunque una soglia minima di attenzione."}</t>
        </is>
      </c>
      <c r="E4" s="7" t="inlineStr">
        <is>
          <t>{"risk_score_0_100": 15, "score_rationale": "Il rischio è basso poiché il carrello elevatore opera sullo sfondo a debita distanza dall'operatore statico, senza interferenze dirette o comportamenti non conformi. La compresenza di mezzi e pedoni nello stesso ambiente richiede comunque una costante vigilanza generale."}</t>
        </is>
      </c>
    </row>
    <row r="5" ht="34" customHeight="1">
      <c r="A5" s="7" t="n">
        <v>3</v>
      </c>
      <c r="B5" s="7" t="n">
        <v>6</v>
      </c>
      <c r="C5" s="7" t="n">
        <v>10</v>
      </c>
      <c r="D5" s="7" t="inlineStr">
        <is>
          <t>{"instantaneous_risk_score": 40.0, "score_rationale": "Il punteggio riflette un rischio moderato dovuto alla presenza di un carrello elevatore in movimento (retromarcia) in un'area di transito con spazi di manovra potenzialmente ristretti e presenza di materiali stoccati. Sebbene non vi siano pericoli immediati o collisioni imminenti, la compresenza di macchinari in movimento e operatori richiede elevata vigilanza, specialmente a causa della visibilità limitata sui DPI e delle possibili interferenze con pedoni o carichi."}</t>
        </is>
      </c>
      <c r="E5" s="7" t="inlineStr">
        <is>
          <t>{"risk_score_0_100": 35, "score_rationale": "Il rischio è moderato a causa della compresenza di un carrello elevatore in movimento e di un operatore alla pressa verticale. La distanza della telecamera impedisce di verificare con certezza l'uso dei DPI e la presenza di barriere di sicurezza adeguate sulla pressa."}</t>
        </is>
      </c>
    </row>
    <row r="6" ht="34" customHeight="1">
      <c r="A6" s="7" t="n">
        <v>4</v>
      </c>
      <c r="B6" s="7" t="n">
        <v>8</v>
      </c>
      <c r="C6" s="7" t="n">
        <v>12</v>
      </c>
      <c r="D6" s="7" t="inlineStr">
        <is>
          <t>{"instantaneous_risk_score": 80.0, "score_rationale": "Il punteggio di 80 è giustificato dall'elevato rischio di collisione e instabilità. La movimentazione di un carico voluminoso che ostruisce la visuale anteriore del conducente, in presenza di un operatore seduto nelle immediate vicinanze della traiettoria del carrello elevatore, rappresenta una grave violazione delle procedure di sicurezza logistica."}</t>
        </is>
      </c>
      <c r="E6" s="7" t="inlineStr">
        <is>
          <t>{"risk_score_0_100": 35, "score_rationale": "Il punteggio riflette un rischio moderato dovuto alla compresenza di un carrello elevatore in movimento e un operatore statico, con potenziale riduzione della visibilità del conducente a causa del carico trasportato. La presenza di linee di demarcazione a terra mitiga parzialmente il rischio di collisione."}</t>
        </is>
      </c>
    </row>
    <row r="7" ht="34" customHeight="1">
      <c r="A7" s="7" t="n">
        <v>5</v>
      </c>
      <c r="B7" s="7" t="n">
        <v>10</v>
      </c>
      <c r="C7" s="7" t="n">
        <v>14</v>
      </c>
      <c r="D7" s="7" t="inlineStr">
        <is>
          <t>{"instantaneous_risk_score": 85.0, "score_rationale": "Il punteggio di 85 riflette un rischio molto elevato. Il carrello elevatore si muove con un carico impilato che ostruisce gravemente la visuale anteriore del conducente in prossimità di un operatore seduto. La mancata visibilità e la vicinanza al lavoratore generano un pericolo imminente di investimento o collisione."}</t>
        </is>
      </c>
      <c r="E7" s="7" t="inlineStr">
        <is>
          <t>{"risk_score_0_100": 65, "score_rationale": "Il punteggio riflette un rischio significativo dovuto alla ridotta visibilità anteriore del carrellista, causata dal carico impilato, mentre si muove verso la postazione dell'operatore. Questa interferenza tra mezzo e pedone aumenta la probabilità di un investimento accidentale."}</t>
        </is>
      </c>
    </row>
    <row r="8" ht="34" customHeight="1">
      <c r="A8" s="7" t="n">
        <v>6</v>
      </c>
      <c r="B8" s="7" t="n">
        <v>12</v>
      </c>
      <c r="C8" s="7" t="n">
        <v>16</v>
      </c>
      <c r="D8" s="7" t="inlineStr">
        <is>
          <t>{"instantaneous_risk_score": 65.0, "score_rationale": "Il punteggio riflette un rischio medio-alto dovuto alla svolta in retromarcia con tre contenitori metallici impilati sulle forche. Sebbene la retromarcia compensi la ridotta visibilità anteriore, la manovra di svolta con un carico verticale non fissato aumenta il rischio di sbilanciamento e caduta. La vicinanza della traiettoria alla postazione dell'operatore a terra incrementa la gravità potenziale in caso di collisione o perdita del carico."}</t>
        </is>
      </c>
      <c r="E8" s="7" t="inlineStr">
        <is>
          <t>{"risk_score_0_100": 60, "score_rationale": "Il punteggio riflette un rischio significativo dovuto alla manovra di retromarcia del carrello con tre cassoni impilati vicino a una postazione di lavoro attiva. La ridotta visibilità del conducente e la potenziale instabilità del carico aumentano il pericolo di collisione o caduta di materiali sull'operatore."}</t>
        </is>
      </c>
    </row>
    <row r="9" ht="34" customHeight="1">
      <c r="A9" s="7" t="n">
        <v>7</v>
      </c>
      <c r="B9" s="7" t="n">
        <v>14</v>
      </c>
      <c r="C9" s="7" t="n">
        <v>18</v>
      </c>
      <c r="D9" s="7" t="inlineStr">
        <is>
          <t>{"instantaneous_risk_score": 65.0, "score_rationale": "Il punteggio di 65 riflette un rischio medio-alto dovuto alla movimentazione di un carico verticale instabile (tre cassoni impilati) che ostruisce la visibilità anteriore dell'operatore durante la manovra. Sebbene l'assenza di pedoni riduca il rischio di investimento immediato, la stabilità compromessa del mezzo e la presenza di angoli ciechi e ostacoli fissi configurano un concreto pericolo di collisione o ribaltamento del carico."}</t>
        </is>
      </c>
      <c r="E9" s="7" t="inlineStr">
        <is>
          <t>{"risk_score_0_100": 35, "score_rationale": "Il rischio è moderato poiché il carrello elevatore esegue una manovra di retromarcia con visibilità parzialmente limitata in prossimità di macchinari e strutture. Non si rilevano pedoni nell'area o violazioni palesi, ma la manovra richiede massima cautela per prevenire urti o instabilità del carico."}</t>
        </is>
      </c>
    </row>
    <row r="10" ht="34" customHeight="1">
      <c r="A10" s="7" t="n">
        <v>8</v>
      </c>
      <c r="B10" s="7" t="n">
        <v>16</v>
      </c>
      <c r="C10" s="7" t="n">
        <v>20</v>
      </c>
      <c r="D10" s="7" t="inlineStr">
        <is>
          <t>{"instantaneous_risk_score": 65.0, "score_rationale": "Il punteggio di 65 è motivato dalla movimentazione attiva di carichi verticalmente sviluppati (contenitori metallici impilati) che limitano fortemente la visibilità del carrellista. La presenza di un operatore parzialmente visibile nelle immediate vicinanze della zona di manovra, unita all'impossibilità di verificare l'uso dei DPI e al rischio di instabilità del carico, configura una situazione di potenziale pericolo medio-alto per collisioni o schiacciamenti."}</t>
        </is>
      </c>
      <c r="E10" s="7" t="inlineStr">
        <is>
          <t>{"risk_score_0_100": 78, "score_rationale": "Il punteggio riflette un rischio elevato dovuto alla pericolosa vicinanza tra l'operatore a terra e il carrello elevatore in movimento, aggravata dalla grave ostruzione visiva causata dai contenitori impilati. Questa combinazione crea un imminente pericolo di investimento o schiacciamento dovuto alla potenziale caduta del carico."}</t>
        </is>
      </c>
    </row>
    <row r="11" ht="34" customHeight="1">
      <c r="A11" s="7" t="n">
        <v>9</v>
      </c>
      <c r="B11" s="7" t="n">
        <v>18</v>
      </c>
      <c r="C11" s="7" t="n">
        <v>22</v>
      </c>
      <c r="D11" s="7" t="inlineStr">
        <is>
          <t>{"instantaneous_risk_score": 85.0, "score_rationale": "Il punteggio di 85 riflette un rischio molto elevato dovuto alla movimentazione di un carico instabile e ingombrante (tre cassoni impilati) che ostruisce gravemente la visuale dell'operatore del carrello elevatore durante una manovra di svolta e retromarcia. La presenza di un operatore a terra seduto in una postazione di lavoro adiacente all'area di manovra, combinata con la visibilità ridotta e la potenziale perdita di stabilità del carico, configura un pericolo imminente di collisione o schiacciamento."}</t>
        </is>
      </c>
      <c r="E11" s="7" t="inlineStr">
        <is>
          <t>{"risk_score_0_100": 65, "score_rationale": "Il punteggio riflette un rischio significativo dovuto alla ridotta visibilità del carrellista causata dal carico voluminoso, unito alla presenza di un operatore seduto vicino alla traiettoria di transito. La potenziale instabilità dei contenitori metallici impilati aumenta la probabilità di collisione o caduta di materiali sulla postazione."}</t>
        </is>
      </c>
    </row>
    <row r="12" ht="34" customHeight="1">
      <c r="A12" s="7" t="n">
        <v>10</v>
      </c>
      <c r="B12" s="7" t="n">
        <v>20</v>
      </c>
      <c r="C12" s="7" t="n">
        <v>24</v>
      </c>
      <c r="D12" s="7" t="inlineStr">
        <is>
          <t>{"instantaneous_risk_score": 85.0, "score_rationale": "Il carrello elevatore trasporta un carico instabile e sufficientemente alto da ostruire la visuale anteriore del conducente, muovendosi in prossimità di una postazione di lavoro occupata da un operatore seduto. La combinazione di visibilità ridotta, instabilità del carico e vicinanza al personale aumenta drasticamente il rischio di collisione o investimento."}</t>
        </is>
      </c>
      <c r="E12" s="7" t="inlineStr">
        <is>
          <t>{"risk_score_0_100": 65, "score_rationale": "Il punteggio riflette un rischio significativo dovuto alla movimentazione di un carico voluminoso che ostruisce la visuale anteriore del carrellista in prossimità di un operatore seduto di spalle. Questa ridotta visibilità, unita alla mancanza di barriere fisiche di separazione, aumenta notevolmente la probabilità di un investimento accidentale o di un impatto con le infrastrutture."}</t>
        </is>
      </c>
    </row>
    <row r="13" ht="34" customHeight="1">
      <c r="A13" s="7" t="n">
        <v>11</v>
      </c>
      <c r="B13" s="7" t="n">
        <v>22</v>
      </c>
      <c r="C13" s="7" t="n">
        <v>26</v>
      </c>
      <c r="D13" s="7" t="inlineStr">
        <is>
          <t>{"instantaneous_risk_score": 55.0, "score_rationale": "Il carrello elevatore procede in avanti nonostante il carico di tre cassoni metallici ostruisca quasi completamente la visuale anteriore del conducente. Questa condotta, contraria alle norme di sicurezza che impongono la guida in retromarcia in caso di visibilità ridotta, aumenta significativamente il rischio di collisione con l'operatore presente sulla destra e con le strutture circostanti in un'area di manovra ristretta."}</t>
        </is>
      </c>
      <c r="E13" s="7" t="inlineStr">
        <is>
          <t>{"risk_score_0_100": 85, "score_rationale": "La movimentazione di un carico voluminoso che ostruisce completamente la visibilità anteriore del conducente espone l'operatore presente a un rischio imminente di investimento. Questa condotta non conforme richiede l'arresto immediato del mezzo o la conduzione in retromarcia per prevenire gravi incidenti."}</t>
        </is>
      </c>
    </row>
    <row r="14" ht="34" customHeight="1">
      <c r="A14" s="7" t="n">
        <v>12</v>
      </c>
      <c r="B14" s="7" t="n">
        <v>24</v>
      </c>
      <c r="C14" s="7" t="n">
        <v>28</v>
      </c>
      <c r="D14" s="7" t="inlineStr">
        <is>
          <t>{"instantaneous_risk_score": 60.0, "score_rationale": "Il punteggio di 60 riflette un rischio moderato-alto. La movimentazione di tre cassoni metallici impilati riduce drasticamente la visibilità anteriore del carrellista durante una manovra di svolta. La presenza di un operatore seduto nelle immediate vicinanze della traiettoria aumenta il rischio di collisione o di investimento in caso di perdita di stabilità del carico."}</t>
        </is>
      </c>
      <c r="E14" s="7" t="inlineStr">
        <is>
          <t>{"risk_score_0_100": 60, "score_rationale": "Il trasporto di tre contenitori metallici impilati riduce significativamente la visibilità anteriore del conducente, aumentando il rischio di collisione con l'operatore presente nell'area. Inoltre, l'altezza del carico elevato comporta un potenziale pericolo di instabilità e caduta dei materiali durante il transito."}</t>
        </is>
      </c>
    </row>
    <row r="15" ht="34" customHeight="1">
      <c r="A15" s="7" t="n">
        <v>13</v>
      </c>
      <c r="B15" s="7" t="n">
        <v>26</v>
      </c>
      <c r="C15" s="7" t="n">
        <v>30</v>
      </c>
      <c r="D15" s="7" t="inlineStr">
        <is>
          <t>{"instantaneous_risk_score": 70.0, "score_rationale": "Il carrello elevatore trasporta un carico di cassoni metallici impilati che ostruisce significativamente la visuale anteriore del conducente. Sebbene non vi sia una collisione imminente, la presenza di pedoni e operatori nell'area, unita alla mancata guida in retromarcia per compensare la perdita di visibilità, rappresenta un rischio elevato di investimento o collisione."}</t>
        </is>
      </c>
      <c r="E15" s="7" t="inlineStr">
        <is>
          <t>{"risk_score_0_100": 65, "score_rationale": "Il punteggio riflette un rischio significativo dovuto alla movimentazione di tre cassoni impilati in retromarcia e svolta, che riduce drasticamente la visibilità e aumenta l'instabilità del carico. La presenza di un pedone e di un operatore nelle vicinanze aggrava il potenziale impatto in caso di caduta del carico o collisione."}</t>
        </is>
      </c>
    </row>
    <row r="16" ht="34" customHeight="1">
      <c r="A16" s="7" t="n">
        <v>14</v>
      </c>
      <c r="B16" s="7" t="n">
        <v>28</v>
      </c>
      <c r="C16" s="7" t="n">
        <v>32</v>
      </c>
      <c r="D16" s="7" t="inlineStr">
        <is>
          <t>{"instantaneous_risk_score": 35.0, "score_rationale": "Il punteggio di 35 indica un rischio moderato. Non si registrano pericoli imminenti o comportamenti palesemente non sicuri, tuttavia la presenza di un pedone in transito vicino a zone di lavoro attivo e la segnalazione di materiali a terra (potenziale rischio inciampo) richiedono vigilanza. L'impossibilità di verificare i DPI a causa della distanza aggiunge un lieve fattore di incertezza."}</t>
        </is>
      </c>
      <c r="E16" s="7" t="inlineStr">
        <is>
          <t>{"risk_score_0_100": 15, "score_rationale": "Il livello di rischio è basso poiché le attività si svolgono regolarmente senza comportamenti non conformi o interferenze pericolose. L'unica nota di attenzione riguarda il monitoraggio periodico delle scaffalature e dei materiali stoccati."}</t>
        </is>
      </c>
    </row>
    <row r="17" ht="34" customHeight="1">
      <c r="A17" s="7" t="n">
        <v>15</v>
      </c>
      <c r="B17" s="7" t="n">
        <v>30</v>
      </c>
      <c r="C17" s="7" t="n">
        <v>34</v>
      </c>
      <c r="D17" s="7" t="inlineStr">
        <is>
          <t>{"instantaneous_risk_score": 30.0, "score_rationale": "Il punteggio di 30 indica un livello di rischio moderato. La scena è complessivamente stabile, ma la presenza di un pedone in transito vicino a macchinari industriali pesanti in funzione, unita all'impossibilità di verificare l'uso dei DPI a causa della distanza, rappresenta un potenziale fattore di rischio che richiede una costante separazione delle aree di lavoro-pedoni."}</t>
        </is>
      </c>
      <c r="E17" s="7" t="inlineStr">
        <is>
          <t>{"risk_score_0_100": 40, "score_rationale": "Il rischio è moderato poiché l'operatore lavora in prossimità di una pressa verticale attiva, sebbene non si rilevino comportamenti non conformi o pericoli imminenti. La distanza di ripresa limita la visibilità, impedendo la verifica dell'uso dei DPI e della presenza di barriere di sicurezza adeguate."}</t>
        </is>
      </c>
    </row>
    <row r="18" ht="34" customHeight="1">
      <c r="A18" s="7" t="n">
        <v>16</v>
      </c>
      <c r="B18" s="7" t="n">
        <v>32</v>
      </c>
      <c r="C18" s="7" t="n">
        <v>34</v>
      </c>
      <c r="D18" s="7" t="inlineStr">
        <is>
          <t>{"instantaneous_risk_score": 35.0, "score_rationale": "Il punteggio di 35 indica un rischio moderato. L'operatore lavora vicino a una pressa industriale attiva, configurando un rischio intrinseco di schiacciamento degli arti superiori e affaticamento ergonomico dovuto alla postura. Inoltre, la presenza di ostacoli vicino alle linee di transito e l'impossibilità di verificare i DPI specifici aumentano la necessità di vigilanza, pur in assenza di pericoli imminenti."}</t>
        </is>
      </c>
      <c r="E18" s="7" t="inlineStr">
        <is>
          <t>{"risk_score_0_100": 45, "score_rationale": "Il rischio è moderato poiché l'operatore lavora a stretto contatto con una pressa verticale attiva, riducendo la propria attenzione situazionale. Inoltre, la distanza della telecamera non consente di verificare l'effettivo utilizzo dei DPI protettivi per le mani."}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9"/>
  <sheetViews>
    <sheetView showGridLines="1" zoomScale="80" workbookViewId="0">
      <pane ySplit="1" topLeftCell="A2" activePane="bottomLeft" state="frozen"/>
      <selection pane="bottomLeft" activeCell="A1" sqref="A1"/>
    </sheetView>
  </sheetViews>
  <sheetFormatPr baseColWidth="8" defaultRowHeight="15"/>
  <cols>
    <col width="7" customWidth="1" min="1" max="1"/>
    <col width="14" customWidth="1" min="2" max="2"/>
    <col width="10" customWidth="1" min="3" max="3"/>
    <col width="12" customWidth="1" min="4" max="4"/>
    <col width="6" customWidth="1" min="5" max="5"/>
    <col width="11" customWidth="1" min="6" max="6"/>
    <col width="8" customWidth="1" min="7" max="7"/>
    <col width="8" customWidth="1" min="8" max="8"/>
    <col width="8" customWidth="1" min="9" max="9"/>
    <col width="10" customWidth="1" min="10" max="10"/>
    <col width="8" customWidth="1" min="11" max="11"/>
    <col width="16" customWidth="1" min="12" max="12"/>
    <col width="9" customWidth="1" min="13" max="13"/>
  </cols>
  <sheetData>
    <row r="1" ht="16" customHeight="1">
      <c r="A1" s="2" t="inlineStr">
        <is>
          <t>execution_order</t>
        </is>
      </c>
      <c r="B1" s="2" t="inlineStr">
        <is>
          <t>timestamp</t>
        </is>
      </c>
      <c r="C1" s="14" t="inlineStr">
        <is>
          <t>branch_name</t>
        </is>
      </c>
      <c r="D1" s="14" t="inlineStr">
        <is>
          <t>block_name</t>
        </is>
      </c>
      <c r="E1" s="2" t="inlineStr">
        <is>
          <t>window_id</t>
        </is>
      </c>
      <c r="F1" s="14" t="inlineStr">
        <is>
          <t>model_name</t>
        </is>
      </c>
      <c r="G1" s="14" t="inlineStr">
        <is>
          <t>input_tokens</t>
        </is>
      </c>
      <c r="H1" s="14" t="inlineStr">
        <is>
          <t>output_tokens</t>
        </is>
      </c>
      <c r="I1" s="14" t="inlineStr">
        <is>
          <t>total_tokens</t>
        </is>
      </c>
      <c r="J1" s="14" t="inlineStr">
        <is>
          <t>usage_source</t>
        </is>
      </c>
      <c r="K1" s="14" t="inlineStr">
        <is>
          <t>status</t>
        </is>
      </c>
      <c r="L1" s="14" t="inlineStr">
        <is>
          <t>error</t>
        </is>
      </c>
      <c r="M1" s="14" t="inlineStr">
        <is>
          <t>branch_api_call_count</t>
        </is>
      </c>
    </row>
    <row r="2" ht="34" customHeight="1">
      <c r="A2" s="7" t="n">
        <v>1</v>
      </c>
      <c r="B2" s="7" t="inlineStr">
        <is>
          <t>2026-07-28T08:25:27Z</t>
        </is>
      </c>
      <c r="C2" s="7" t="inlineStr">
        <is>
          <t>vlm_free</t>
        </is>
      </c>
      <c r="D2" s="7" t="inlineStr">
        <is>
          <t>vlm_free_descriptive_causal</t>
        </is>
      </c>
      <c r="E2" s="7" t="n">
        <v>0</v>
      </c>
      <c r="F2" s="7" t="inlineStr">
        <is>
          <t>gemini-3.5-flash</t>
        </is>
      </c>
      <c r="G2" s="7" t="n">
        <v>736</v>
      </c>
      <c r="H2" s="7" t="n">
        <v>539</v>
      </c>
      <c r="I2" s="7" t="n">
        <v>2376</v>
      </c>
      <c r="J2" s="7" t="inlineStr">
        <is>
          <t>sdk_usage_metadata</t>
        </is>
      </c>
      <c r="K2" s="7" t="inlineStr">
        <is>
          <t>success</t>
        </is>
      </c>
      <c r="L2" s="7" t="inlineStr"/>
      <c r="M2" s="7" t="n">
        <v>1</v>
      </c>
    </row>
    <row r="3" ht="34" customHeight="1">
      <c r="A3" s="7" t="n">
        <v>2</v>
      </c>
      <c r="B3" s="7" t="inlineStr">
        <is>
          <t>2026-07-28T08:25:31Z</t>
        </is>
      </c>
      <c r="C3" s="7" t="inlineStr">
        <is>
          <t>vlm_free</t>
        </is>
      </c>
      <c r="D3" s="7" t="inlineStr">
        <is>
          <t>vlm_free_scoring</t>
        </is>
      </c>
      <c r="E3" s="7" t="n">
        <v>0</v>
      </c>
      <c r="F3" s="7" t="inlineStr">
        <is>
          <t>gemini-3.5-flash</t>
        </is>
      </c>
      <c r="G3" s="7" t="n">
        <v>833</v>
      </c>
      <c r="H3" s="7" t="n">
        <v>132</v>
      </c>
      <c r="I3" s="7" t="n">
        <v>1807</v>
      </c>
      <c r="J3" s="7" t="inlineStr">
        <is>
          <t>sdk_usage_metadata</t>
        </is>
      </c>
      <c r="K3" s="7" t="inlineStr">
        <is>
          <t>success</t>
        </is>
      </c>
      <c r="L3" s="7" t="inlineStr"/>
      <c r="M3" s="7" t="n">
        <v>2</v>
      </c>
    </row>
    <row r="4" ht="34" customHeight="1">
      <c r="A4" s="7" t="n">
        <v>3</v>
      </c>
      <c r="B4" s="7" t="inlineStr">
        <is>
          <t>2026-07-28T08:25:38Z</t>
        </is>
      </c>
      <c r="C4" s="7" t="inlineStr">
        <is>
          <t>common</t>
        </is>
      </c>
      <c r="D4" s="7" t="inlineStr">
        <is>
          <t>guided_descriptive_prompt</t>
        </is>
      </c>
      <c r="E4" s="7" t="n">
        <v>0</v>
      </c>
      <c r="F4" s="7" t="inlineStr">
        <is>
          <t>gemini-3.5-flash</t>
        </is>
      </c>
      <c r="G4" s="7" t="n">
        <v>576</v>
      </c>
      <c r="H4" s="7" t="n">
        <v>283</v>
      </c>
      <c r="I4" s="7" t="n">
        <v>1913</v>
      </c>
      <c r="J4" s="7" t="inlineStr">
        <is>
          <t>sdk_usage_metadata</t>
        </is>
      </c>
      <c r="K4" s="7" t="inlineStr">
        <is>
          <t>success</t>
        </is>
      </c>
      <c r="L4" s="7" t="inlineStr"/>
      <c r="M4" s="7" t="n">
        <v>1</v>
      </c>
    </row>
    <row r="5" ht="34" customHeight="1">
      <c r="A5" s="7" t="n">
        <v>4</v>
      </c>
      <c r="B5" s="7" t="inlineStr">
        <is>
          <t>2026-07-28T08:25:45Z</t>
        </is>
      </c>
      <c r="C5" s="7" t="inlineStr">
        <is>
          <t>common</t>
        </is>
      </c>
      <c r="D5" s="7" t="inlineStr">
        <is>
          <t>guided_descriptive_prompt</t>
        </is>
      </c>
      <c r="E5" s="7" t="n">
        <v>0</v>
      </c>
      <c r="F5" s="7" t="inlineStr">
        <is>
          <t>gemini-3.5-flash</t>
        </is>
      </c>
      <c r="G5" s="7" t="n">
        <v>576</v>
      </c>
      <c r="H5" s="7" t="n">
        <v>285</v>
      </c>
      <c r="I5" s="7" t="n">
        <v>1890</v>
      </c>
      <c r="J5" s="7" t="inlineStr">
        <is>
          <t>sdk_usage_metadata</t>
        </is>
      </c>
      <c r="K5" s="7" t="inlineStr">
        <is>
          <t>success</t>
        </is>
      </c>
      <c r="L5" s="7" t="inlineStr"/>
      <c r="M5" s="7" t="n">
        <v>2</v>
      </c>
    </row>
    <row r="6" ht="34" customHeight="1">
      <c r="A6" s="7" t="n">
        <v>5</v>
      </c>
      <c r="B6" s="7" t="inlineStr">
        <is>
          <t>2026-07-28T08:25:51Z</t>
        </is>
      </c>
      <c r="C6" s="7" t="inlineStr">
        <is>
          <t>common</t>
        </is>
      </c>
      <c r="D6" s="7" t="inlineStr">
        <is>
          <t>guided_question_set</t>
        </is>
      </c>
      <c r="E6" s="7" t="n">
        <v>0</v>
      </c>
      <c r="F6" s="7" t="inlineStr">
        <is>
          <t>gemini-3.5-flash</t>
        </is>
      </c>
      <c r="G6" s="7" t="n">
        <v>1763</v>
      </c>
      <c r="H6" s="7" t="n">
        <v>270</v>
      </c>
      <c r="I6" s="7" t="n">
        <v>3058</v>
      </c>
      <c r="J6" s="7" t="inlineStr">
        <is>
          <t>sdk_usage_metadata</t>
        </is>
      </c>
      <c r="K6" s="7" t="inlineStr">
        <is>
          <t>success</t>
        </is>
      </c>
      <c r="L6" s="7" t="inlineStr"/>
      <c r="M6" s="7" t="n">
        <v>3</v>
      </c>
    </row>
    <row r="7" ht="34" customHeight="1">
      <c r="A7" s="7" t="n">
        <v>6</v>
      </c>
      <c r="B7" s="7" t="inlineStr">
        <is>
          <t>2026-07-28T08:25:58Z</t>
        </is>
      </c>
      <c r="C7" s="7" t="inlineStr">
        <is>
          <t>common</t>
        </is>
      </c>
      <c r="D7" s="7" t="inlineStr">
        <is>
          <t>guided_question_set</t>
        </is>
      </c>
      <c r="E7" s="7" t="n">
        <v>0</v>
      </c>
      <c r="F7" s="7" t="inlineStr">
        <is>
          <t>gemini-3.5-flash</t>
        </is>
      </c>
      <c r="G7" s="7" t="n">
        <v>1763</v>
      </c>
      <c r="H7" s="7" t="n">
        <v>356</v>
      </c>
      <c r="I7" s="7" t="n">
        <v>2906</v>
      </c>
      <c r="J7" s="7" t="inlineStr">
        <is>
          <t>sdk_usage_metadata</t>
        </is>
      </c>
      <c r="K7" s="7" t="inlineStr">
        <is>
          <t>success</t>
        </is>
      </c>
      <c r="L7" s="7" t="inlineStr"/>
      <c r="M7" s="7" t="n">
        <v>4</v>
      </c>
    </row>
    <row r="8" ht="34" customHeight="1">
      <c r="A8" s="7" t="n">
        <v>7</v>
      </c>
      <c r="B8" s="7" t="inlineStr">
        <is>
          <t>2026-07-28T08:26:03Z</t>
        </is>
      </c>
      <c r="C8" s="7" t="inlineStr">
        <is>
          <t>common</t>
        </is>
      </c>
      <c r="D8" s="7" t="inlineStr">
        <is>
          <t>guided_causal_engine</t>
        </is>
      </c>
      <c r="E8" s="7" t="n">
        <v>0</v>
      </c>
      <c r="F8" s="7" t="inlineStr">
        <is>
          <t>gemini-3.5-flash</t>
        </is>
      </c>
      <c r="G8" s="7" t="n">
        <v>924</v>
      </c>
      <c r="H8" s="7" t="n">
        <v>242</v>
      </c>
      <c r="I8" s="7" t="n">
        <v>2148</v>
      </c>
      <c r="J8" s="7" t="inlineStr">
        <is>
          <t>sdk_usage_metadata</t>
        </is>
      </c>
      <c r="K8" s="7" t="inlineStr">
        <is>
          <t>success</t>
        </is>
      </c>
      <c r="L8" s="7" t="inlineStr"/>
      <c r="M8" s="7" t="n">
        <v>5</v>
      </c>
    </row>
    <row r="9" ht="34" customHeight="1">
      <c r="A9" s="7" t="n">
        <v>8</v>
      </c>
      <c r="B9" s="7" t="inlineStr">
        <is>
          <t>2026-07-28T08:26:07Z</t>
        </is>
      </c>
      <c r="C9" s="7" t="inlineStr">
        <is>
          <t>vlm_guided</t>
        </is>
      </c>
      <c r="D9" s="7" t="inlineStr">
        <is>
          <t>vlm_guided_scoring</t>
        </is>
      </c>
      <c r="E9" s="7" t="n">
        <v>0</v>
      </c>
      <c r="F9" s="7" t="inlineStr">
        <is>
          <t>gemini-3.5-flash</t>
        </is>
      </c>
      <c r="G9" s="7" t="n">
        <v>1153</v>
      </c>
      <c r="H9" s="7" t="n">
        <v>110</v>
      </c>
      <c r="I9" s="7" t="n">
        <v>2083</v>
      </c>
      <c r="J9" s="7" t="inlineStr">
        <is>
          <t>sdk_usage_metadata</t>
        </is>
      </c>
      <c r="K9" s="7" t="inlineStr">
        <is>
          <t>success</t>
        </is>
      </c>
      <c r="L9" s="7" t="inlineStr"/>
      <c r="M9" s="7" t="n">
        <v>1</v>
      </c>
    </row>
    <row r="10" ht="34" customHeight="1">
      <c r="A10" s="7" t="n">
        <v>9</v>
      </c>
      <c r="B10" s="7" t="inlineStr">
        <is>
          <t>2026-07-28T08:26:40Z</t>
        </is>
      </c>
      <c r="C10" s="7" t="inlineStr">
        <is>
          <t>vlm_free</t>
        </is>
      </c>
      <c r="D10" s="7" t="inlineStr">
        <is>
          <t>vlm_free_descriptive_causal</t>
        </is>
      </c>
      <c r="E10" s="7" t="n">
        <v>1</v>
      </c>
      <c r="F10" s="7" t="inlineStr">
        <is>
          <t>gemini-3.5-flash</t>
        </is>
      </c>
      <c r="G10" s="7" t="n">
        <v>736</v>
      </c>
      <c r="H10" s="7" t="n">
        <v>543</v>
      </c>
      <c r="I10" s="7" t="n">
        <v>2546</v>
      </c>
      <c r="J10" s="7" t="inlineStr">
        <is>
          <t>sdk_usage_metadata</t>
        </is>
      </c>
      <c r="K10" s="7" t="inlineStr">
        <is>
          <t>success</t>
        </is>
      </c>
      <c r="L10" s="7" t="inlineStr"/>
      <c r="M10" s="7" t="n">
        <v>3</v>
      </c>
    </row>
    <row r="11" ht="34" customHeight="1">
      <c r="A11" s="7" t="n">
        <v>10</v>
      </c>
      <c r="B11" s="7" t="inlineStr">
        <is>
          <t>2026-07-28T08:26:44Z</t>
        </is>
      </c>
      <c r="C11" s="7" t="inlineStr">
        <is>
          <t>vlm_free</t>
        </is>
      </c>
      <c r="D11" s="7" t="inlineStr">
        <is>
          <t>vlm_free_scoring</t>
        </is>
      </c>
      <c r="E11" s="7" t="n">
        <v>1</v>
      </c>
      <c r="F11" s="7" t="inlineStr">
        <is>
          <t>gemini-3.5-flash</t>
        </is>
      </c>
      <c r="G11" s="7" t="n">
        <v>837</v>
      </c>
      <c r="H11" s="7" t="n">
        <v>135</v>
      </c>
      <c r="I11" s="7" t="n">
        <v>1562</v>
      </c>
      <c r="J11" s="7" t="inlineStr">
        <is>
          <t>sdk_usage_metadata</t>
        </is>
      </c>
      <c r="K11" s="7" t="inlineStr">
        <is>
          <t>success</t>
        </is>
      </c>
      <c r="L11" s="7" t="inlineStr"/>
      <c r="M11" s="7" t="n">
        <v>4</v>
      </c>
    </row>
    <row r="12" ht="34" customHeight="1">
      <c r="A12" s="7" t="n">
        <v>11</v>
      </c>
      <c r="B12" s="7" t="inlineStr">
        <is>
          <t>2026-07-28T08:26:49Z</t>
        </is>
      </c>
      <c r="C12" s="7" t="inlineStr">
        <is>
          <t>vlm_free</t>
        </is>
      </c>
      <c r="D12" s="7" t="inlineStr">
        <is>
          <t>vlm_free_scoring</t>
        </is>
      </c>
      <c r="E12" s="7" t="n">
        <v>1</v>
      </c>
      <c r="F12" s="7" t="inlineStr">
        <is>
          <t>gemini-3.5-flash</t>
        </is>
      </c>
      <c r="G12" s="7" t="n">
        <v>837</v>
      </c>
      <c r="H12" s="7" t="n">
        <v>106</v>
      </c>
      <c r="I12" s="7" t="n">
        <v>1680</v>
      </c>
      <c r="J12" s="7" t="inlineStr">
        <is>
          <t>sdk_usage_metadata</t>
        </is>
      </c>
      <c r="K12" s="7" t="inlineStr">
        <is>
          <t>success</t>
        </is>
      </c>
      <c r="L12" s="7" t="inlineStr"/>
      <c r="M12" s="7" t="n">
        <v>5</v>
      </c>
    </row>
    <row r="13" ht="34" customHeight="1">
      <c r="A13" s="7" t="n">
        <v>12</v>
      </c>
      <c r="B13" s="7" t="inlineStr">
        <is>
          <t>2026-07-28T08:26:55Z</t>
        </is>
      </c>
      <c r="C13" s="7" t="inlineStr">
        <is>
          <t>common</t>
        </is>
      </c>
      <c r="D13" s="7" t="inlineStr">
        <is>
          <t>guided_descriptive_prompt</t>
        </is>
      </c>
      <c r="E13" s="7" t="n">
        <v>1</v>
      </c>
      <c r="F13" s="7" t="inlineStr">
        <is>
          <t>gemini-3.5-flash</t>
        </is>
      </c>
      <c r="G13" s="7" t="n">
        <v>576</v>
      </c>
      <c r="H13" s="7" t="n">
        <v>266</v>
      </c>
      <c r="I13" s="7" t="n">
        <v>1940</v>
      </c>
      <c r="J13" s="7" t="inlineStr">
        <is>
          <t>sdk_usage_metadata</t>
        </is>
      </c>
      <c r="K13" s="7" t="inlineStr">
        <is>
          <t>success</t>
        </is>
      </c>
      <c r="L13" s="7" t="inlineStr"/>
      <c r="M13" s="7" t="n">
        <v>6</v>
      </c>
    </row>
    <row r="14" ht="34" customHeight="1">
      <c r="A14" s="7" t="n">
        <v>13</v>
      </c>
      <c r="B14" s="7" t="inlineStr">
        <is>
          <t>2026-07-28T08:27:02Z</t>
        </is>
      </c>
      <c r="C14" s="7" t="inlineStr">
        <is>
          <t>common</t>
        </is>
      </c>
      <c r="D14" s="7" t="inlineStr">
        <is>
          <t>guided_descriptive_prompt</t>
        </is>
      </c>
      <c r="E14" s="7" t="n">
        <v>1</v>
      </c>
      <c r="F14" s="7" t="inlineStr">
        <is>
          <t>gemini-3.5-flash</t>
        </is>
      </c>
      <c r="G14" s="7" t="n">
        <v>576</v>
      </c>
      <c r="H14" s="7" t="n">
        <v>289</v>
      </c>
      <c r="I14" s="7" t="n">
        <v>2067</v>
      </c>
      <c r="J14" s="7" t="inlineStr">
        <is>
          <t>sdk_usage_metadata</t>
        </is>
      </c>
      <c r="K14" s="7" t="inlineStr">
        <is>
          <t>success</t>
        </is>
      </c>
      <c r="L14" s="7" t="inlineStr"/>
      <c r="M14" s="7" t="n">
        <v>7</v>
      </c>
    </row>
    <row r="15" ht="34" customHeight="1">
      <c r="A15" s="7" t="n">
        <v>14</v>
      </c>
      <c r="B15" s="7" t="inlineStr">
        <is>
          <t>2026-07-28T08:27:08Z</t>
        </is>
      </c>
      <c r="C15" s="7" t="inlineStr">
        <is>
          <t>common</t>
        </is>
      </c>
      <c r="D15" s="7" t="inlineStr">
        <is>
          <t>guided_question_set</t>
        </is>
      </c>
      <c r="E15" s="7" t="n">
        <v>1</v>
      </c>
      <c r="F15" s="7" t="inlineStr">
        <is>
          <t>gemini-3.5-flash</t>
        </is>
      </c>
      <c r="G15" s="7" t="n">
        <v>1767</v>
      </c>
      <c r="H15" s="7" t="n">
        <v>318</v>
      </c>
      <c r="I15" s="7" t="n">
        <v>3004</v>
      </c>
      <c r="J15" s="7" t="inlineStr">
        <is>
          <t>sdk_usage_metadata</t>
        </is>
      </c>
      <c r="K15" s="7" t="inlineStr">
        <is>
          <t>success</t>
        </is>
      </c>
      <c r="L15" s="7" t="inlineStr"/>
      <c r="M15" s="7" t="n">
        <v>8</v>
      </c>
    </row>
    <row r="16" ht="34" customHeight="1">
      <c r="A16" s="7" t="n">
        <v>15</v>
      </c>
      <c r="B16" s="7" t="inlineStr">
        <is>
          <t>2026-07-28T08:27:13Z</t>
        </is>
      </c>
      <c r="C16" s="7" t="inlineStr">
        <is>
          <t>common</t>
        </is>
      </c>
      <c r="D16" s="7" t="inlineStr">
        <is>
          <t>guided_causal_engine</t>
        </is>
      </c>
      <c r="E16" s="7" t="n">
        <v>1</v>
      </c>
      <c r="F16" s="7" t="inlineStr">
        <is>
          <t>gemini-3.5-flash</t>
        </is>
      </c>
      <c r="G16" s="7" t="n">
        <v>890</v>
      </c>
      <c r="H16" s="7" t="n">
        <v>244</v>
      </c>
      <c r="I16" s="7" t="n">
        <v>2100</v>
      </c>
      <c r="J16" s="7" t="inlineStr">
        <is>
          <t>sdk_usage_metadata</t>
        </is>
      </c>
      <c r="K16" s="7" t="inlineStr">
        <is>
          <t>success</t>
        </is>
      </c>
      <c r="L16" s="7" t="inlineStr"/>
      <c r="M16" s="7" t="n">
        <v>9</v>
      </c>
    </row>
    <row r="17" ht="34" customHeight="1">
      <c r="A17" s="7" t="n">
        <v>16</v>
      </c>
      <c r="B17" s="7" t="inlineStr">
        <is>
          <t>2026-07-28T08:27:20Z</t>
        </is>
      </c>
      <c r="C17" s="7" t="inlineStr">
        <is>
          <t>common</t>
        </is>
      </c>
      <c r="D17" s="7" t="inlineStr">
        <is>
          <t>guided_causal_engine</t>
        </is>
      </c>
      <c r="E17" s="7" t="n">
        <v>1</v>
      </c>
      <c r="F17" s="7" t="inlineStr">
        <is>
          <t>gemini-3.5-flash</t>
        </is>
      </c>
      <c r="G17" s="7" t="n">
        <v>890</v>
      </c>
      <c r="H17" s="7" t="n">
        <v>283</v>
      </c>
      <c r="I17" s="7" t="n">
        <v>2156</v>
      </c>
      <c r="J17" s="7" t="inlineStr">
        <is>
          <t>sdk_usage_metadata</t>
        </is>
      </c>
      <c r="K17" s="7" t="inlineStr">
        <is>
          <t>success</t>
        </is>
      </c>
      <c r="L17" s="7" t="inlineStr"/>
      <c r="M17" s="7" t="n">
        <v>10</v>
      </c>
    </row>
    <row r="18" ht="34" customHeight="1">
      <c r="A18" s="7" t="n">
        <v>17</v>
      </c>
      <c r="B18" s="7" t="inlineStr">
        <is>
          <t>2026-07-28T08:27:24Z</t>
        </is>
      </c>
      <c r="C18" s="7" t="inlineStr">
        <is>
          <t>vlm_guided</t>
        </is>
      </c>
      <c r="D18" s="7" t="inlineStr">
        <is>
          <t>vlm_guided_scoring</t>
        </is>
      </c>
      <c r="E18" s="7" t="n">
        <v>1</v>
      </c>
      <c r="F18" s="7" t="inlineStr">
        <is>
          <t>gemini-3.5-flash</t>
        </is>
      </c>
      <c r="G18" s="7" t="n">
        <v>1159</v>
      </c>
      <c r="H18" s="7" t="n">
        <v>90</v>
      </c>
      <c r="I18" s="7" t="n">
        <v>2099</v>
      </c>
      <c r="J18" s="7" t="inlineStr">
        <is>
          <t>sdk_usage_metadata</t>
        </is>
      </c>
      <c r="K18" s="7" t="inlineStr">
        <is>
          <t>success</t>
        </is>
      </c>
      <c r="L18" s="7" t="inlineStr"/>
      <c r="M18" s="7" t="n">
        <v>2</v>
      </c>
    </row>
    <row r="19" ht="34" customHeight="1">
      <c r="A19" s="7" t="n">
        <v>18</v>
      </c>
      <c r="B19" s="7" t="inlineStr">
        <is>
          <t>2026-07-28T08:27:30Z</t>
        </is>
      </c>
      <c r="C19" s="7" t="inlineStr">
        <is>
          <t>vlm_guided</t>
        </is>
      </c>
      <c r="D19" s="7" t="inlineStr">
        <is>
          <t>vlm_guided_scoring</t>
        </is>
      </c>
      <c r="E19" s="7" t="n">
        <v>1</v>
      </c>
      <c r="F19" s="7" t="inlineStr">
        <is>
          <t>gemini-3.5-flash</t>
        </is>
      </c>
      <c r="G19" s="7" t="n">
        <v>1159</v>
      </c>
      <c r="H19" s="7" t="n">
        <v>98</v>
      </c>
      <c r="I19" s="7" t="n">
        <v>2099</v>
      </c>
      <c r="J19" s="7" t="inlineStr">
        <is>
          <t>sdk_usage_metadata</t>
        </is>
      </c>
      <c r="K19" s="7" t="inlineStr">
        <is>
          <t>success</t>
        </is>
      </c>
      <c r="L19" s="7" t="inlineStr"/>
      <c r="M19" s="7" t="n">
        <v>3</v>
      </c>
    </row>
    <row r="20" ht="34" customHeight="1">
      <c r="A20" s="7" t="n">
        <v>19</v>
      </c>
      <c r="B20" s="7" t="inlineStr">
        <is>
          <t>2026-07-28T08:27:35Z</t>
        </is>
      </c>
      <c r="C20" s="7" t="inlineStr">
        <is>
          <t>vlm_guided</t>
        </is>
      </c>
      <c r="D20" s="7" t="inlineStr">
        <is>
          <t>vlm_guided_scoring</t>
        </is>
      </c>
      <c r="E20" s="7" t="n">
        <v>1</v>
      </c>
      <c r="F20" s="7" t="inlineStr">
        <is>
          <t>gemini-3.5-flash</t>
        </is>
      </c>
      <c r="G20" s="7" t="n">
        <v>1159</v>
      </c>
      <c r="H20" s="7" t="n">
        <v>99</v>
      </c>
      <c r="I20" s="7" t="n">
        <v>2137</v>
      </c>
      <c r="J20" s="7" t="inlineStr">
        <is>
          <t>sdk_usage_metadata</t>
        </is>
      </c>
      <c r="K20" s="7" t="inlineStr">
        <is>
          <t>success</t>
        </is>
      </c>
      <c r="L20" s="7" t="inlineStr"/>
      <c r="M20" s="7" t="n">
        <v>4</v>
      </c>
    </row>
    <row r="21" ht="34" customHeight="1">
      <c r="A21" s="7" t="n">
        <v>20</v>
      </c>
      <c r="B21" s="7" t="inlineStr">
        <is>
          <t>2026-07-28T08:28:10Z</t>
        </is>
      </c>
      <c r="C21" s="7" t="inlineStr">
        <is>
          <t>vlm_free</t>
        </is>
      </c>
      <c r="D21" s="7" t="inlineStr">
        <is>
          <t>vlm_free_descriptive_causal</t>
        </is>
      </c>
      <c r="E21" s="7" t="n">
        <v>2</v>
      </c>
      <c r="F21" s="7" t="inlineStr">
        <is>
          <t>gemini-3.5-flash</t>
        </is>
      </c>
      <c r="G21" s="7" t="n">
        <v>736</v>
      </c>
      <c r="H21" s="7" t="n">
        <v>424</v>
      </c>
      <c r="I21" s="7" t="n">
        <v>2472</v>
      </c>
      <c r="J21" s="7" t="inlineStr">
        <is>
          <t>sdk_usage_metadata</t>
        </is>
      </c>
      <c r="K21" s="7" t="inlineStr">
        <is>
          <t>success</t>
        </is>
      </c>
      <c r="L21" s="7" t="inlineStr"/>
      <c r="M21" s="7" t="n">
        <v>6</v>
      </c>
    </row>
    <row r="22" ht="34" customHeight="1">
      <c r="A22" s="7" t="n">
        <v>21</v>
      </c>
      <c r="B22" s="7" t="inlineStr">
        <is>
          <t>2026-07-28T08:28:14Z</t>
        </is>
      </c>
      <c r="C22" s="7" t="inlineStr">
        <is>
          <t>vlm_free</t>
        </is>
      </c>
      <c r="D22" s="7" t="inlineStr">
        <is>
          <t>vlm_free_scoring</t>
        </is>
      </c>
      <c r="E22" s="7" t="n">
        <v>2</v>
      </c>
      <c r="F22" s="7" t="inlineStr">
        <is>
          <t>gemini-3.5-flash</t>
        </is>
      </c>
      <c r="G22" s="7" t="n">
        <v>717</v>
      </c>
      <c r="H22" s="7" t="n">
        <v>129</v>
      </c>
      <c r="I22" s="7" t="n">
        <v>1670</v>
      </c>
      <c r="J22" s="7" t="inlineStr">
        <is>
          <t>sdk_usage_metadata</t>
        </is>
      </c>
      <c r="K22" s="7" t="inlineStr">
        <is>
          <t>success</t>
        </is>
      </c>
      <c r="L22" s="7" t="inlineStr"/>
      <c r="M22" s="7" t="n">
        <v>7</v>
      </c>
    </row>
    <row r="23" ht="34" customHeight="1">
      <c r="A23" s="7" t="n">
        <v>22</v>
      </c>
      <c r="B23" s="7" t="inlineStr">
        <is>
          <t>2026-07-28T08:28:19Z</t>
        </is>
      </c>
      <c r="C23" s="7" t="inlineStr">
        <is>
          <t>common</t>
        </is>
      </c>
      <c r="D23" s="7" t="inlineStr">
        <is>
          <t>guided_descriptive_prompt</t>
        </is>
      </c>
      <c r="E23" s="7" t="n">
        <v>2</v>
      </c>
      <c r="F23" s="7" t="inlineStr">
        <is>
          <t>gemini-3.5-flash</t>
        </is>
      </c>
      <c r="G23" s="7" t="n">
        <v>576</v>
      </c>
      <c r="H23" s="7" t="n">
        <v>304</v>
      </c>
      <c r="I23" s="7" t="n">
        <v>1531</v>
      </c>
      <c r="J23" s="7" t="inlineStr">
        <is>
          <t>sdk_usage_metadata</t>
        </is>
      </c>
      <c r="K23" s="7" t="inlineStr">
        <is>
          <t>success</t>
        </is>
      </c>
      <c r="L23" s="7" t="inlineStr"/>
      <c r="M23" s="7" t="n">
        <v>11</v>
      </c>
    </row>
    <row r="24" ht="34" customHeight="1">
      <c r="A24" s="7" t="n">
        <v>23</v>
      </c>
      <c r="B24" s="7" t="inlineStr">
        <is>
          <t>2026-07-28T08:28:27Z</t>
        </is>
      </c>
      <c r="C24" s="7" t="inlineStr">
        <is>
          <t>common</t>
        </is>
      </c>
      <c r="D24" s="7" t="inlineStr">
        <is>
          <t>guided_question_set</t>
        </is>
      </c>
      <c r="E24" s="7" t="n">
        <v>2</v>
      </c>
      <c r="F24" s="7" t="inlineStr">
        <is>
          <t>gemini-3.5-flash</t>
        </is>
      </c>
      <c r="G24" s="7" t="n">
        <v>1781</v>
      </c>
      <c r="H24" s="7" t="n">
        <v>269</v>
      </c>
      <c r="I24" s="7" t="n">
        <v>3519</v>
      </c>
      <c r="J24" s="7" t="inlineStr">
        <is>
          <t>sdk_usage_metadata</t>
        </is>
      </c>
      <c r="K24" s="7" t="inlineStr">
        <is>
          <t>success</t>
        </is>
      </c>
      <c r="L24" s="7" t="inlineStr"/>
      <c r="M24" s="7" t="n">
        <v>12</v>
      </c>
    </row>
    <row r="25" ht="34" customHeight="1">
      <c r="A25" s="7" t="n">
        <v>24</v>
      </c>
      <c r="B25" s="7" t="inlineStr">
        <is>
          <t>2026-07-28T08:28:34Z</t>
        </is>
      </c>
      <c r="C25" s="7" t="inlineStr">
        <is>
          <t>common</t>
        </is>
      </c>
      <c r="D25" s="7" t="inlineStr">
        <is>
          <t>guided_causal_engine</t>
        </is>
      </c>
      <c r="E25" s="7" t="n">
        <v>2</v>
      </c>
      <c r="F25" s="7" t="inlineStr">
        <is>
          <t>gemini-3.5-flash</t>
        </is>
      </c>
      <c r="G25" s="7" t="n">
        <v>855</v>
      </c>
      <c r="H25" s="7" t="n">
        <v>157</v>
      </c>
      <c r="I25" s="7" t="n">
        <v>2462</v>
      </c>
      <c r="J25" s="7" t="inlineStr">
        <is>
          <t>sdk_usage_metadata</t>
        </is>
      </c>
      <c r="K25" s="7" t="inlineStr">
        <is>
          <t>success</t>
        </is>
      </c>
      <c r="L25" s="7" t="inlineStr"/>
      <c r="M25" s="7" t="n">
        <v>13</v>
      </c>
    </row>
    <row r="26" ht="34" customHeight="1">
      <c r="A26" s="7" t="n">
        <v>25</v>
      </c>
      <c r="B26" s="7" t="inlineStr">
        <is>
          <t>2026-07-28T08:28:37Z</t>
        </is>
      </c>
      <c r="C26" s="7" t="inlineStr">
        <is>
          <t>vlm_guided</t>
        </is>
      </c>
      <c r="D26" s="7" t="inlineStr">
        <is>
          <t>vlm_guided_scoring</t>
        </is>
      </c>
      <c r="E26" s="7" t="n">
        <v>2</v>
      </c>
      <c r="F26" s="7" t="inlineStr">
        <is>
          <t>gemini-3.5-flash</t>
        </is>
      </c>
      <c r="G26" s="7" t="n">
        <v>999</v>
      </c>
      <c r="H26" s="7" t="n">
        <v>83</v>
      </c>
      <c r="I26" s="7" t="n">
        <v>1833</v>
      </c>
      <c r="J26" s="7" t="inlineStr">
        <is>
          <t>sdk_usage_metadata</t>
        </is>
      </c>
      <c r="K26" s="7" t="inlineStr">
        <is>
          <t>success</t>
        </is>
      </c>
      <c r="L26" s="7" t="inlineStr"/>
      <c r="M26" s="7" t="n">
        <v>5</v>
      </c>
    </row>
    <row r="27" ht="34" customHeight="1">
      <c r="A27" s="7" t="n">
        <v>26</v>
      </c>
      <c r="B27" s="7" t="inlineStr">
        <is>
          <t>2026-07-28T08:29:11Z</t>
        </is>
      </c>
      <c r="C27" s="7" t="inlineStr">
        <is>
          <t>vlm_free</t>
        </is>
      </c>
      <c r="D27" s="7" t="inlineStr">
        <is>
          <t>vlm_free_descriptive_causal</t>
        </is>
      </c>
      <c r="E27" s="7" t="n">
        <v>3</v>
      </c>
      <c r="F27" s="7" t="inlineStr">
        <is>
          <t>gemini-3.5-flash</t>
        </is>
      </c>
      <c r="G27" s="7" t="n">
        <v>737</v>
      </c>
      <c r="H27" s="7" t="n">
        <v>475</v>
      </c>
      <c r="I27" s="7" t="n">
        <v>2475</v>
      </c>
      <c r="J27" s="7" t="inlineStr">
        <is>
          <t>sdk_usage_metadata</t>
        </is>
      </c>
      <c r="K27" s="7" t="inlineStr">
        <is>
          <t>success</t>
        </is>
      </c>
      <c r="L27" s="7" t="inlineStr"/>
      <c r="M27" s="7" t="n">
        <v>8</v>
      </c>
    </row>
    <row r="28" ht="34" customHeight="1">
      <c r="A28" s="7" t="n">
        <v>27</v>
      </c>
      <c r="B28" s="7" t="inlineStr">
        <is>
          <t>2026-07-28T08:29:15Z</t>
        </is>
      </c>
      <c r="C28" s="7" t="inlineStr">
        <is>
          <t>vlm_free</t>
        </is>
      </c>
      <c r="D28" s="7" t="inlineStr">
        <is>
          <t>vlm_free_scoring</t>
        </is>
      </c>
      <c r="E28" s="7" t="n">
        <v>3</v>
      </c>
      <c r="F28" s="7" t="inlineStr">
        <is>
          <t>gemini-3.5-flash</t>
        </is>
      </c>
      <c r="G28" s="7" t="n">
        <v>769</v>
      </c>
      <c r="H28" s="7" t="n">
        <v>134</v>
      </c>
      <c r="I28" s="7" t="n">
        <v>1512</v>
      </c>
      <c r="J28" s="7" t="inlineStr">
        <is>
          <t>sdk_usage_metadata</t>
        </is>
      </c>
      <c r="K28" s="7" t="inlineStr">
        <is>
          <t>success</t>
        </is>
      </c>
      <c r="L28" s="7" t="inlineStr"/>
      <c r="M28" s="7" t="n">
        <v>9</v>
      </c>
    </row>
    <row r="29" ht="34" customHeight="1">
      <c r="A29" s="7" t="n">
        <v>28</v>
      </c>
      <c r="B29" s="7" t="inlineStr">
        <is>
          <t>2026-07-28T08:29:20Z</t>
        </is>
      </c>
      <c r="C29" s="7" t="inlineStr">
        <is>
          <t>common</t>
        </is>
      </c>
      <c r="D29" s="7" t="inlineStr">
        <is>
          <t>guided_descriptive_prompt</t>
        </is>
      </c>
      <c r="E29" s="7" t="n">
        <v>3</v>
      </c>
      <c r="F29" s="7" t="inlineStr">
        <is>
          <t>gemini-3.5-flash</t>
        </is>
      </c>
      <c r="G29" s="7" t="n">
        <v>577</v>
      </c>
      <c r="H29" s="7" t="n">
        <v>332</v>
      </c>
      <c r="I29" s="7" t="n">
        <v>1682</v>
      </c>
      <c r="J29" s="7" t="inlineStr">
        <is>
          <t>sdk_usage_metadata</t>
        </is>
      </c>
      <c r="K29" s="7" t="inlineStr">
        <is>
          <t>success</t>
        </is>
      </c>
      <c r="L29" s="7" t="inlineStr"/>
      <c r="M29" s="7" t="n">
        <v>14</v>
      </c>
    </row>
    <row r="30" ht="34" customHeight="1">
      <c r="A30" s="7" t="n">
        <v>29</v>
      </c>
      <c r="B30" s="7" t="inlineStr">
        <is>
          <t>2026-07-28T08:29:26Z</t>
        </is>
      </c>
      <c r="C30" s="7" t="inlineStr">
        <is>
          <t>common</t>
        </is>
      </c>
      <c r="D30" s="7" t="inlineStr">
        <is>
          <t>guided_descriptive_prompt</t>
        </is>
      </c>
      <c r="E30" s="7" t="n">
        <v>3</v>
      </c>
      <c r="F30" s="7" t="inlineStr">
        <is>
          <t>gemini-3.5-flash</t>
        </is>
      </c>
      <c r="G30" s="7" t="n">
        <v>577</v>
      </c>
      <c r="H30" s="7" t="n">
        <v>331</v>
      </c>
      <c r="I30" s="7" t="n">
        <v>1675</v>
      </c>
      <c r="J30" s="7" t="inlineStr">
        <is>
          <t>sdk_usage_metadata</t>
        </is>
      </c>
      <c r="K30" s="7" t="inlineStr">
        <is>
          <t>success</t>
        </is>
      </c>
      <c r="L30" s="7" t="inlineStr"/>
      <c r="M30" s="7" t="n">
        <v>15</v>
      </c>
    </row>
    <row r="31" ht="34" customHeight="1">
      <c r="A31" s="7" t="n">
        <v>30</v>
      </c>
      <c r="B31" s="7" t="inlineStr">
        <is>
          <t>2026-07-28T08:29:33Z</t>
        </is>
      </c>
      <c r="C31" s="7" t="inlineStr">
        <is>
          <t>common</t>
        </is>
      </c>
      <c r="D31" s="7" t="inlineStr">
        <is>
          <t>guided_question_set</t>
        </is>
      </c>
      <c r="E31" s="7" t="n">
        <v>3</v>
      </c>
      <c r="F31" s="7" t="inlineStr">
        <is>
          <t>gemini-3.5-flash</t>
        </is>
      </c>
      <c r="G31" s="7" t="n">
        <v>1810</v>
      </c>
      <c r="H31" s="7" t="n">
        <v>273</v>
      </c>
      <c r="I31" s="7" t="n">
        <v>3295</v>
      </c>
      <c r="J31" s="7" t="inlineStr">
        <is>
          <t>sdk_usage_metadata</t>
        </is>
      </c>
      <c r="K31" s="7" t="inlineStr">
        <is>
          <t>success</t>
        </is>
      </c>
      <c r="L31" s="7" t="inlineStr"/>
      <c r="M31" s="7" t="n">
        <v>16</v>
      </c>
    </row>
    <row r="32" ht="34" customHeight="1">
      <c r="A32" s="7" t="n">
        <v>31</v>
      </c>
      <c r="B32" s="7" t="inlineStr">
        <is>
          <t>2026-07-28T08:29:42Z</t>
        </is>
      </c>
      <c r="C32" s="7" t="inlineStr">
        <is>
          <t>common</t>
        </is>
      </c>
      <c r="D32" s="7" t="inlineStr">
        <is>
          <t>guided_question_set</t>
        </is>
      </c>
      <c r="E32" s="7" t="n">
        <v>3</v>
      </c>
      <c r="F32" s="7" t="inlineStr">
        <is>
          <t>gemini-3.5-flash</t>
        </is>
      </c>
      <c r="G32" s="7" t="n">
        <v>1810</v>
      </c>
      <c r="H32" s="7" t="n">
        <v>272</v>
      </c>
      <c r="I32" s="7" t="n">
        <v>3676</v>
      </c>
      <c r="J32" s="7" t="inlineStr">
        <is>
          <t>sdk_usage_metadata</t>
        </is>
      </c>
      <c r="K32" s="7" t="inlineStr">
        <is>
          <t>success</t>
        </is>
      </c>
      <c r="L32" s="7" t="inlineStr"/>
      <c r="M32" s="7" t="n">
        <v>17</v>
      </c>
    </row>
    <row r="33" ht="34" customHeight="1">
      <c r="A33" s="7" t="n">
        <v>32</v>
      </c>
      <c r="B33" s="7" t="inlineStr">
        <is>
          <t>2026-07-28T08:29:48Z</t>
        </is>
      </c>
      <c r="C33" s="7" t="inlineStr">
        <is>
          <t>common</t>
        </is>
      </c>
      <c r="D33" s="7" t="inlineStr">
        <is>
          <t>guided_causal_engine</t>
        </is>
      </c>
      <c r="E33" s="7" t="n">
        <v>3</v>
      </c>
      <c r="F33" s="7" t="inlineStr">
        <is>
          <t>gemini-3.5-flash</t>
        </is>
      </c>
      <c r="G33" s="7" t="n">
        <v>886</v>
      </c>
      <c r="H33" s="7" t="n">
        <v>280</v>
      </c>
      <c r="I33" s="7" t="n">
        <v>2232</v>
      </c>
      <c r="J33" s="7" t="inlineStr">
        <is>
          <t>sdk_usage_metadata</t>
        </is>
      </c>
      <c r="K33" s="7" t="inlineStr">
        <is>
          <t>success</t>
        </is>
      </c>
      <c r="L33" s="7" t="inlineStr"/>
      <c r="M33" s="7" t="n">
        <v>18</v>
      </c>
    </row>
    <row r="34" ht="34" customHeight="1">
      <c r="A34" s="7" t="n">
        <v>33</v>
      </c>
      <c r="B34" s="7" t="inlineStr">
        <is>
          <t>2026-07-28T08:29:54Z</t>
        </is>
      </c>
      <c r="C34" s="7" t="inlineStr">
        <is>
          <t>common</t>
        </is>
      </c>
      <c r="D34" s="7" t="inlineStr">
        <is>
          <t>guided_causal_engine</t>
        </is>
      </c>
      <c r="E34" s="7" t="n">
        <v>3</v>
      </c>
      <c r="F34" s="7" t="inlineStr">
        <is>
          <t>gemini-3.5-flash</t>
        </is>
      </c>
      <c r="G34" s="7" t="n">
        <v>886</v>
      </c>
      <c r="H34" s="7" t="n">
        <v>233</v>
      </c>
      <c r="I34" s="7" t="n">
        <v>2122</v>
      </c>
      <c r="J34" s="7" t="inlineStr">
        <is>
          <t>sdk_usage_metadata</t>
        </is>
      </c>
      <c r="K34" s="7" t="inlineStr">
        <is>
          <t>success</t>
        </is>
      </c>
      <c r="L34" s="7" t="inlineStr"/>
      <c r="M34" s="7" t="n">
        <v>19</v>
      </c>
    </row>
    <row r="35" ht="34" customHeight="1">
      <c r="A35" s="7" t="n">
        <v>34</v>
      </c>
      <c r="B35" s="7" t="inlineStr">
        <is>
          <t>2026-07-28T08:29:58Z</t>
        </is>
      </c>
      <c r="C35" s="7" t="inlineStr">
        <is>
          <t>vlm_guided</t>
        </is>
      </c>
      <c r="D35" s="7" t="inlineStr">
        <is>
          <t>vlm_guided_scoring</t>
        </is>
      </c>
      <c r="E35" s="7" t="n">
        <v>3</v>
      </c>
      <c r="F35" s="7" t="inlineStr">
        <is>
          <t>gemini-3.5-flash</t>
        </is>
      </c>
      <c r="G35" s="7" t="n">
        <v>1106</v>
      </c>
      <c r="H35" s="7" t="n">
        <v>89</v>
      </c>
      <c r="I35" s="7" t="n">
        <v>1930</v>
      </c>
      <c r="J35" s="7" t="inlineStr">
        <is>
          <t>sdk_usage_metadata</t>
        </is>
      </c>
      <c r="K35" s="7" t="inlineStr">
        <is>
          <t>success</t>
        </is>
      </c>
      <c r="L35" s="7" t="inlineStr"/>
      <c r="M35" s="7" t="n">
        <v>6</v>
      </c>
    </row>
    <row r="36" ht="34" customHeight="1">
      <c r="A36" s="7" t="n">
        <v>35</v>
      </c>
      <c r="B36" s="7" t="inlineStr">
        <is>
          <t>2026-07-28T08:30:28Z</t>
        </is>
      </c>
      <c r="C36" s="7" t="inlineStr">
        <is>
          <t>vlm_free</t>
        </is>
      </c>
      <c r="D36" s="7" t="inlineStr">
        <is>
          <t>vlm_free_descriptive_causal</t>
        </is>
      </c>
      <c r="E36" s="7" t="n">
        <v>4</v>
      </c>
      <c r="F36" s="7" t="inlineStr">
        <is>
          <t>gemini-3.5-flash</t>
        </is>
      </c>
      <c r="G36" s="7" t="n">
        <v>737</v>
      </c>
      <c r="H36" s="7" t="n">
        <v>422</v>
      </c>
      <c r="I36" s="7" t="n">
        <v>2272</v>
      </c>
      <c r="J36" s="7" t="inlineStr">
        <is>
          <t>sdk_usage_metadata</t>
        </is>
      </c>
      <c r="K36" s="7" t="inlineStr">
        <is>
          <t>success</t>
        </is>
      </c>
      <c r="L36" s="7" t="inlineStr"/>
      <c r="M36" s="7" t="n">
        <v>10</v>
      </c>
    </row>
    <row r="37" ht="34" customHeight="1">
      <c r="A37" s="7" t="n">
        <v>36</v>
      </c>
      <c r="B37" s="7" t="inlineStr">
        <is>
          <t>2026-07-28T08:30:32Z</t>
        </is>
      </c>
      <c r="C37" s="7" t="inlineStr">
        <is>
          <t>vlm_free</t>
        </is>
      </c>
      <c r="D37" s="7" t="inlineStr">
        <is>
          <t>vlm_free_scoring</t>
        </is>
      </c>
      <c r="E37" s="7" t="n">
        <v>4</v>
      </c>
      <c r="F37" s="7" t="inlineStr">
        <is>
          <t>gemini-3.5-flash</t>
        </is>
      </c>
      <c r="G37" s="7" t="n">
        <v>716</v>
      </c>
      <c r="H37" s="7" t="n">
        <v>106</v>
      </c>
      <c r="I37" s="7" t="n">
        <v>1551</v>
      </c>
      <c r="J37" s="7" t="inlineStr">
        <is>
          <t>sdk_usage_metadata</t>
        </is>
      </c>
      <c r="K37" s="7" t="inlineStr">
        <is>
          <t>success</t>
        </is>
      </c>
      <c r="L37" s="7" t="inlineStr"/>
      <c r="M37" s="7" t="n">
        <v>11</v>
      </c>
    </row>
    <row r="38" ht="34" customHeight="1">
      <c r="A38" s="7" t="n">
        <v>37</v>
      </c>
      <c r="B38" s="7" t="inlineStr">
        <is>
          <t>2026-07-28T08:30:37Z</t>
        </is>
      </c>
      <c r="C38" s="7" t="inlineStr">
        <is>
          <t>common</t>
        </is>
      </c>
      <c r="D38" s="7" t="inlineStr">
        <is>
          <t>guided_descriptive_prompt</t>
        </is>
      </c>
      <c r="E38" s="7" t="n">
        <v>4</v>
      </c>
      <c r="F38" s="7" t="inlineStr">
        <is>
          <t>gemini-3.5-flash</t>
        </is>
      </c>
      <c r="G38" s="7" t="n">
        <v>577</v>
      </c>
      <c r="H38" s="7" t="n">
        <v>316</v>
      </c>
      <c r="I38" s="7" t="n">
        <v>1726</v>
      </c>
      <c r="J38" s="7" t="inlineStr">
        <is>
          <t>sdk_usage_metadata</t>
        </is>
      </c>
      <c r="K38" s="7" t="inlineStr">
        <is>
          <t>success</t>
        </is>
      </c>
      <c r="L38" s="7" t="inlineStr"/>
      <c r="M38" s="7" t="n">
        <v>20</v>
      </c>
    </row>
    <row r="39" ht="34" customHeight="1">
      <c r="A39" s="7" t="n">
        <v>38</v>
      </c>
      <c r="B39" s="7" t="inlineStr">
        <is>
          <t>2026-07-28T08:30:43Z</t>
        </is>
      </c>
      <c r="C39" s="7" t="inlineStr">
        <is>
          <t>common</t>
        </is>
      </c>
      <c r="D39" s="7" t="inlineStr">
        <is>
          <t>guided_descriptive_prompt</t>
        </is>
      </c>
      <c r="E39" s="7" t="n">
        <v>4</v>
      </c>
      <c r="F39" s="7" t="inlineStr">
        <is>
          <t>gemini-3.5-flash</t>
        </is>
      </c>
      <c r="G39" s="7" t="n">
        <v>577</v>
      </c>
      <c r="H39" s="7" t="n">
        <v>341</v>
      </c>
      <c r="I39" s="7" t="n">
        <v>1473</v>
      </c>
      <c r="J39" s="7" t="inlineStr">
        <is>
          <t>sdk_usage_metadata</t>
        </is>
      </c>
      <c r="K39" s="7" t="inlineStr">
        <is>
          <t>success</t>
        </is>
      </c>
      <c r="L39" s="7" t="inlineStr"/>
      <c r="M39" s="7" t="n">
        <v>21</v>
      </c>
    </row>
    <row r="40" ht="34" customHeight="1">
      <c r="A40" s="7" t="n">
        <v>39</v>
      </c>
      <c r="B40" s="7" t="inlineStr">
        <is>
          <t>2026-07-28T08:30:50Z</t>
        </is>
      </c>
      <c r="C40" s="7" t="inlineStr">
        <is>
          <t>common</t>
        </is>
      </c>
      <c r="D40" s="7" t="inlineStr">
        <is>
          <t>guided_question_set</t>
        </is>
      </c>
      <c r="E40" s="7" t="n">
        <v>4</v>
      </c>
      <c r="F40" s="7" t="inlineStr">
        <is>
          <t>gemini-3.5-flash</t>
        </is>
      </c>
      <c r="G40" s="7" t="n">
        <v>1820</v>
      </c>
      <c r="H40" s="7" t="n">
        <v>308</v>
      </c>
      <c r="I40" s="7" t="n">
        <v>3662</v>
      </c>
      <c r="J40" s="7" t="inlineStr">
        <is>
          <t>sdk_usage_metadata</t>
        </is>
      </c>
      <c r="K40" s="7" t="inlineStr">
        <is>
          <t>success</t>
        </is>
      </c>
      <c r="L40" s="7" t="inlineStr"/>
      <c r="M40" s="7" t="n">
        <v>22</v>
      </c>
    </row>
    <row r="41" ht="34" customHeight="1">
      <c r="A41" s="7" t="n">
        <v>40</v>
      </c>
      <c r="B41" s="7" t="inlineStr">
        <is>
          <t>2026-07-28T08:30:55Z</t>
        </is>
      </c>
      <c r="C41" s="7" t="inlineStr">
        <is>
          <t>common</t>
        </is>
      </c>
      <c r="D41" s="7" t="inlineStr">
        <is>
          <t>guided_causal_engine</t>
        </is>
      </c>
      <c r="E41" s="7" t="n">
        <v>4</v>
      </c>
      <c r="F41" s="7" t="inlineStr">
        <is>
          <t>gemini-3.5-flash</t>
        </is>
      </c>
      <c r="G41" s="7" t="n">
        <v>932</v>
      </c>
      <c r="H41" s="7" t="n">
        <v>223</v>
      </c>
      <c r="I41" s="7" t="n">
        <v>2118</v>
      </c>
      <c r="J41" s="7" t="inlineStr">
        <is>
          <t>sdk_usage_metadata</t>
        </is>
      </c>
      <c r="K41" s="7" t="inlineStr">
        <is>
          <t>success</t>
        </is>
      </c>
      <c r="L41" s="7" t="inlineStr"/>
      <c r="M41" s="7" t="n">
        <v>23</v>
      </c>
    </row>
    <row r="42" ht="34" customHeight="1">
      <c r="A42" s="7" t="n">
        <v>41</v>
      </c>
      <c r="B42" s="7" t="inlineStr">
        <is>
          <t>2026-07-28T08:30:58Z</t>
        </is>
      </c>
      <c r="C42" s="7" t="inlineStr">
        <is>
          <t>vlm_guided</t>
        </is>
      </c>
      <c r="D42" s="7" t="inlineStr">
        <is>
          <t>vlm_guided_scoring</t>
        </is>
      </c>
      <c r="E42" s="7" t="n">
        <v>4</v>
      </c>
      <c r="F42" s="7" t="inlineStr">
        <is>
          <t>gemini-3.5-flash</t>
        </is>
      </c>
      <c r="G42" s="7" t="n">
        <v>1141</v>
      </c>
      <c r="H42" s="7" t="n">
        <v>94</v>
      </c>
      <c r="I42" s="7" t="n">
        <v>1966</v>
      </c>
      <c r="J42" s="7" t="inlineStr">
        <is>
          <t>sdk_usage_metadata</t>
        </is>
      </c>
      <c r="K42" s="7" t="inlineStr">
        <is>
          <t>success</t>
        </is>
      </c>
      <c r="L42" s="7" t="inlineStr"/>
      <c r="M42" s="7" t="n">
        <v>7</v>
      </c>
    </row>
    <row r="43" ht="34" customHeight="1">
      <c r="A43" s="7" t="n">
        <v>42</v>
      </c>
      <c r="B43" s="7" t="inlineStr">
        <is>
          <t>2026-07-28T08:31:31Z</t>
        </is>
      </c>
      <c r="C43" s="7" t="inlineStr">
        <is>
          <t>vlm_free</t>
        </is>
      </c>
      <c r="D43" s="7" t="inlineStr">
        <is>
          <t>vlm_free_descriptive_causal</t>
        </is>
      </c>
      <c r="E43" s="7" t="n">
        <v>5</v>
      </c>
      <c r="F43" s="7" t="inlineStr">
        <is>
          <t>gemini-3.5-flash</t>
        </is>
      </c>
      <c r="G43" s="7" t="n">
        <v>738</v>
      </c>
      <c r="H43" s="7" t="n">
        <v>400</v>
      </c>
      <c r="I43" s="7" t="n">
        <v>2620</v>
      </c>
      <c r="J43" s="7" t="inlineStr">
        <is>
          <t>sdk_usage_metadata</t>
        </is>
      </c>
      <c r="K43" s="7" t="inlineStr">
        <is>
          <t>success</t>
        </is>
      </c>
      <c r="L43" s="7" t="inlineStr"/>
      <c r="M43" s="7" t="n">
        <v>12</v>
      </c>
    </row>
    <row r="44" ht="34" customHeight="1">
      <c r="A44" s="7" t="n">
        <v>43</v>
      </c>
      <c r="B44" s="7" t="inlineStr">
        <is>
          <t>2026-07-28T08:31:35Z</t>
        </is>
      </c>
      <c r="C44" s="7" t="inlineStr">
        <is>
          <t>vlm_free</t>
        </is>
      </c>
      <c r="D44" s="7" t="inlineStr">
        <is>
          <t>vlm_free_scoring</t>
        </is>
      </c>
      <c r="E44" s="7" t="n">
        <v>5</v>
      </c>
      <c r="F44" s="7" t="inlineStr">
        <is>
          <t>gemini-3.5-flash</t>
        </is>
      </c>
      <c r="G44" s="7" t="n">
        <v>708</v>
      </c>
      <c r="H44" s="7" t="n">
        <v>106</v>
      </c>
      <c r="I44" s="7" t="n">
        <v>1590</v>
      </c>
      <c r="J44" s="7" t="inlineStr">
        <is>
          <t>sdk_usage_metadata</t>
        </is>
      </c>
      <c r="K44" s="7" t="inlineStr">
        <is>
          <t>success</t>
        </is>
      </c>
      <c r="L44" s="7" t="inlineStr"/>
      <c r="M44" s="7" t="n">
        <v>13</v>
      </c>
    </row>
    <row r="45" ht="34" customHeight="1">
      <c r="A45" s="7" t="n">
        <v>44</v>
      </c>
      <c r="B45" s="7" t="inlineStr">
        <is>
          <t>2026-07-28T08:31:41Z</t>
        </is>
      </c>
      <c r="C45" s="7" t="inlineStr">
        <is>
          <t>common</t>
        </is>
      </c>
      <c r="D45" s="7" t="inlineStr">
        <is>
          <t>guided_descriptive_prompt</t>
        </is>
      </c>
      <c r="E45" s="7" t="n">
        <v>5</v>
      </c>
      <c r="F45" s="7" t="inlineStr">
        <is>
          <t>gemini-3.5-flash</t>
        </is>
      </c>
      <c r="G45" s="7" t="n">
        <v>578</v>
      </c>
      <c r="H45" s="7" t="n">
        <v>294</v>
      </c>
      <c r="I45" s="7" t="n">
        <v>1628</v>
      </c>
      <c r="J45" s="7" t="inlineStr">
        <is>
          <t>sdk_usage_metadata</t>
        </is>
      </c>
      <c r="K45" s="7" t="inlineStr">
        <is>
          <t>success</t>
        </is>
      </c>
      <c r="L45" s="7" t="inlineStr"/>
      <c r="M45" s="7" t="n">
        <v>24</v>
      </c>
    </row>
    <row r="46" ht="34" customHeight="1">
      <c r="A46" s="7" t="n">
        <v>45</v>
      </c>
      <c r="B46" s="7" t="inlineStr">
        <is>
          <t>2026-07-28T08:31:48Z</t>
        </is>
      </c>
      <c r="C46" s="7" t="inlineStr">
        <is>
          <t>common</t>
        </is>
      </c>
      <c r="D46" s="7" t="inlineStr">
        <is>
          <t>guided_question_set</t>
        </is>
      </c>
      <c r="E46" s="7" t="n">
        <v>5</v>
      </c>
      <c r="F46" s="7" t="inlineStr">
        <is>
          <t>gemini-3.5-flash</t>
        </is>
      </c>
      <c r="G46" s="7" t="n">
        <v>1774</v>
      </c>
      <c r="H46" s="7" t="n">
        <v>342</v>
      </c>
      <c r="I46" s="7" t="n">
        <v>3587</v>
      </c>
      <c r="J46" s="7" t="inlineStr">
        <is>
          <t>sdk_usage_metadata</t>
        </is>
      </c>
      <c r="K46" s="7" t="inlineStr">
        <is>
          <t>success</t>
        </is>
      </c>
      <c r="L46" s="7" t="inlineStr"/>
      <c r="M46" s="7" t="n">
        <v>25</v>
      </c>
    </row>
    <row r="47" ht="34" customHeight="1">
      <c r="A47" s="7" t="n">
        <v>46</v>
      </c>
      <c r="B47" s="7" t="inlineStr">
        <is>
          <t>2026-07-28T08:31:57Z</t>
        </is>
      </c>
      <c r="C47" s="7" t="inlineStr">
        <is>
          <t>common</t>
        </is>
      </c>
      <c r="D47" s="7" t="inlineStr">
        <is>
          <t>guided_question_set</t>
        </is>
      </c>
      <c r="E47" s="7" t="n">
        <v>5</v>
      </c>
      <c r="F47" s="7" t="inlineStr">
        <is>
          <t>gemini-3.5-flash</t>
        </is>
      </c>
      <c r="G47" s="7" t="n">
        <v>1774</v>
      </c>
      <c r="H47" s="7" t="n">
        <v>333</v>
      </c>
      <c r="I47" s="7" t="n">
        <v>3297</v>
      </c>
      <c r="J47" s="7" t="inlineStr">
        <is>
          <t>sdk_usage_metadata</t>
        </is>
      </c>
      <c r="K47" s="7" t="inlineStr">
        <is>
          <t>success</t>
        </is>
      </c>
      <c r="L47" s="7" t="inlineStr"/>
      <c r="M47" s="7" t="n">
        <v>26</v>
      </c>
    </row>
    <row r="48" ht="34" customHeight="1">
      <c r="A48" s="7" t="n">
        <v>47</v>
      </c>
      <c r="B48" s="7" t="inlineStr">
        <is>
          <t>2026-07-28T08:32:02Z</t>
        </is>
      </c>
      <c r="C48" s="7" t="inlineStr">
        <is>
          <t>common</t>
        </is>
      </c>
      <c r="D48" s="7" t="inlineStr">
        <is>
          <t>guided_causal_engine</t>
        </is>
      </c>
      <c r="E48" s="7" t="n">
        <v>5</v>
      </c>
      <c r="F48" s="7" t="inlineStr">
        <is>
          <t>gemini-3.5-flash</t>
        </is>
      </c>
      <c r="G48" s="7" t="n">
        <v>912</v>
      </c>
      <c r="H48" s="7" t="n">
        <v>196</v>
      </c>
      <c r="I48" s="7" t="n">
        <v>2059</v>
      </c>
      <c r="J48" s="7" t="inlineStr">
        <is>
          <t>sdk_usage_metadata</t>
        </is>
      </c>
      <c r="K48" s="7" t="inlineStr">
        <is>
          <t>success</t>
        </is>
      </c>
      <c r="L48" s="7" t="inlineStr"/>
      <c r="M48" s="7" t="n">
        <v>27</v>
      </c>
    </row>
    <row r="49" ht="34" customHeight="1">
      <c r="A49" s="7" t="n">
        <v>48</v>
      </c>
      <c r="B49" s="7" t="inlineStr">
        <is>
          <t>2026-07-28T08:32:06Z</t>
        </is>
      </c>
      <c r="C49" s="7" t="inlineStr">
        <is>
          <t>vlm_guided</t>
        </is>
      </c>
      <c r="D49" s="7" t="inlineStr">
        <is>
          <t>vlm_guided_scoring</t>
        </is>
      </c>
      <c r="E49" s="7" t="n">
        <v>5</v>
      </c>
      <c r="F49" s="7" t="inlineStr">
        <is>
          <t>gemini-3.5-flash</t>
        </is>
      </c>
      <c r="G49" s="7" t="n">
        <v>1094</v>
      </c>
      <c r="H49" s="7" t="n">
        <v>89</v>
      </c>
      <c r="I49" s="7" t="n">
        <v>2022</v>
      </c>
      <c r="J49" s="7" t="inlineStr">
        <is>
          <t>sdk_usage_metadata</t>
        </is>
      </c>
      <c r="K49" s="7" t="inlineStr">
        <is>
          <t>success</t>
        </is>
      </c>
      <c r="L49" s="7" t="inlineStr"/>
      <c r="M49" s="7" t="n">
        <v>8</v>
      </c>
    </row>
    <row r="50" ht="34" customHeight="1">
      <c r="A50" s="7" t="n">
        <v>49</v>
      </c>
      <c r="B50" s="7" t="inlineStr">
        <is>
          <t>2026-07-28T08:32:38Z</t>
        </is>
      </c>
      <c r="C50" s="7" t="inlineStr">
        <is>
          <t>vlm_free</t>
        </is>
      </c>
      <c r="D50" s="7" t="inlineStr">
        <is>
          <t>vlm_free_descriptive_causal</t>
        </is>
      </c>
      <c r="E50" s="7" t="n">
        <v>6</v>
      </c>
      <c r="F50" s="7" t="inlineStr">
        <is>
          <t>gemini-3.5-flash</t>
        </is>
      </c>
      <c r="G50" s="7" t="n">
        <v>738</v>
      </c>
      <c r="H50" s="7" t="n">
        <v>438</v>
      </c>
      <c r="I50" s="7" t="n">
        <v>2433</v>
      </c>
      <c r="J50" s="7" t="inlineStr">
        <is>
          <t>sdk_usage_metadata</t>
        </is>
      </c>
      <c r="K50" s="7" t="inlineStr">
        <is>
          <t>success</t>
        </is>
      </c>
      <c r="L50" s="7" t="inlineStr"/>
      <c r="M50" s="7" t="n">
        <v>14</v>
      </c>
    </row>
    <row r="51" ht="34" customHeight="1">
      <c r="A51" s="7" t="n">
        <v>50</v>
      </c>
      <c r="B51" s="7" t="inlineStr">
        <is>
          <t>2026-07-28T08:32:48Z</t>
        </is>
      </c>
      <c r="C51" s="7" t="inlineStr">
        <is>
          <t>vlm_free</t>
        </is>
      </c>
      <c r="D51" s="7" t="inlineStr">
        <is>
          <t>vlm_free_descriptive_causal</t>
        </is>
      </c>
      <c r="E51" s="7" t="n">
        <v>6</v>
      </c>
      <c r="F51" s="7" t="inlineStr">
        <is>
          <t>gemini-3.5-flash</t>
        </is>
      </c>
      <c r="G51" s="7" t="n">
        <v>738</v>
      </c>
      <c r="H51" s="7" t="n">
        <v>464</v>
      </c>
      <c r="I51" s="7" t="n">
        <v>2402</v>
      </c>
      <c r="J51" s="7" t="inlineStr">
        <is>
          <t>sdk_usage_metadata</t>
        </is>
      </c>
      <c r="K51" s="7" t="inlineStr">
        <is>
          <t>success</t>
        </is>
      </c>
      <c r="L51" s="7" t="inlineStr"/>
      <c r="M51" s="7" t="n">
        <v>15</v>
      </c>
    </row>
    <row r="52" ht="34" customHeight="1">
      <c r="A52" s="7" t="n">
        <v>51</v>
      </c>
      <c r="B52" s="7" t="inlineStr">
        <is>
          <t>2026-07-28T08:32:52Z</t>
        </is>
      </c>
      <c r="C52" s="7" t="inlineStr">
        <is>
          <t>vlm_free</t>
        </is>
      </c>
      <c r="D52" s="7" t="inlineStr">
        <is>
          <t>vlm_free_scoring</t>
        </is>
      </c>
      <c r="E52" s="7" t="n">
        <v>6</v>
      </c>
      <c r="F52" s="7" t="inlineStr">
        <is>
          <t>gemini-3.5-flash</t>
        </is>
      </c>
      <c r="G52" s="7" t="n">
        <v>759</v>
      </c>
      <c r="H52" s="7" t="n">
        <v>133</v>
      </c>
      <c r="I52" s="7" t="n">
        <v>1662</v>
      </c>
      <c r="J52" s="7" t="inlineStr">
        <is>
          <t>sdk_usage_metadata</t>
        </is>
      </c>
      <c r="K52" s="7" t="inlineStr">
        <is>
          <t>success</t>
        </is>
      </c>
      <c r="L52" s="7" t="inlineStr"/>
      <c r="M52" s="7" t="n">
        <v>16</v>
      </c>
    </row>
    <row r="53" ht="34" customHeight="1">
      <c r="A53" s="7" t="n">
        <v>52</v>
      </c>
      <c r="B53" s="7" t="inlineStr">
        <is>
          <t>2026-07-28T08:32:58Z</t>
        </is>
      </c>
      <c r="C53" s="7" t="inlineStr">
        <is>
          <t>vlm_free</t>
        </is>
      </c>
      <c r="D53" s="7" t="inlineStr">
        <is>
          <t>vlm_free_scoring</t>
        </is>
      </c>
      <c r="E53" s="7" t="n">
        <v>6</v>
      </c>
      <c r="F53" s="7" t="inlineStr">
        <is>
          <t>gemini-3.5-flash</t>
        </is>
      </c>
      <c r="G53" s="7" t="n">
        <v>759</v>
      </c>
      <c r="H53" s="7" t="n">
        <v>135</v>
      </c>
      <c r="I53" s="7" t="n">
        <v>1744</v>
      </c>
      <c r="J53" s="7" t="inlineStr">
        <is>
          <t>sdk_usage_metadata</t>
        </is>
      </c>
      <c r="K53" s="7" t="inlineStr">
        <is>
          <t>success</t>
        </is>
      </c>
      <c r="L53" s="7" t="inlineStr"/>
      <c r="M53" s="7" t="n">
        <v>17</v>
      </c>
    </row>
    <row r="54" ht="34" customHeight="1">
      <c r="A54" s="7" t="n">
        <v>53</v>
      </c>
      <c r="B54" s="7" t="inlineStr">
        <is>
          <t>2026-07-28T08:33:02Z</t>
        </is>
      </c>
      <c r="C54" s="7" t="inlineStr">
        <is>
          <t>common</t>
        </is>
      </c>
      <c r="D54" s="7" t="inlineStr">
        <is>
          <t>guided_descriptive_prompt</t>
        </is>
      </c>
      <c r="E54" s="7" t="n">
        <v>6</v>
      </c>
      <c r="F54" s="7" t="inlineStr">
        <is>
          <t>gemini-3.5-flash</t>
        </is>
      </c>
      <c r="G54" s="7" t="n">
        <v>578</v>
      </c>
      <c r="H54" s="7" t="n">
        <v>308</v>
      </c>
      <c r="I54" s="7" t="n">
        <v>1561</v>
      </c>
      <c r="J54" s="7" t="inlineStr">
        <is>
          <t>sdk_usage_metadata</t>
        </is>
      </c>
      <c r="K54" s="7" t="inlineStr">
        <is>
          <t>success</t>
        </is>
      </c>
      <c r="L54" s="7" t="inlineStr"/>
      <c r="M54" s="7" t="n">
        <v>28</v>
      </c>
    </row>
    <row r="55" ht="34" customHeight="1">
      <c r="A55" s="7" t="n">
        <v>54</v>
      </c>
      <c r="B55" s="7" t="inlineStr">
        <is>
          <t>2026-07-28T08:33:09Z</t>
        </is>
      </c>
      <c r="C55" s="7" t="inlineStr">
        <is>
          <t>common</t>
        </is>
      </c>
      <c r="D55" s="7" t="inlineStr">
        <is>
          <t>guided_question_set</t>
        </is>
      </c>
      <c r="E55" s="7" t="n">
        <v>6</v>
      </c>
      <c r="F55" s="7" t="inlineStr">
        <is>
          <t>gemini-3.5-flash</t>
        </is>
      </c>
      <c r="G55" s="7" t="n">
        <v>1788</v>
      </c>
      <c r="H55" s="7" t="n">
        <v>351</v>
      </c>
      <c r="I55" s="7" t="n">
        <v>3352</v>
      </c>
      <c r="J55" s="7" t="inlineStr">
        <is>
          <t>sdk_usage_metadata</t>
        </is>
      </c>
      <c r="K55" s="7" t="inlineStr">
        <is>
          <t>success</t>
        </is>
      </c>
      <c r="L55" s="7" t="inlineStr"/>
      <c r="M55" s="7" t="n">
        <v>29</v>
      </c>
    </row>
    <row r="56" ht="34" customHeight="1">
      <c r="A56" s="7" t="n">
        <v>55</v>
      </c>
      <c r="B56" s="7" t="inlineStr">
        <is>
          <t>2026-07-28T08:33:13Z</t>
        </is>
      </c>
      <c r="C56" s="7" t="inlineStr">
        <is>
          <t>common</t>
        </is>
      </c>
      <c r="D56" s="7" t="inlineStr">
        <is>
          <t>guided_causal_engine</t>
        </is>
      </c>
      <c r="E56" s="7" t="n">
        <v>6</v>
      </c>
      <c r="F56" s="7" t="inlineStr">
        <is>
          <t>gemini-3.5-flash</t>
        </is>
      </c>
      <c r="G56" s="7" t="n">
        <v>943</v>
      </c>
      <c r="H56" s="7" t="n">
        <v>264</v>
      </c>
      <c r="I56" s="7" t="n">
        <v>1884</v>
      </c>
      <c r="J56" s="7" t="inlineStr">
        <is>
          <t>sdk_usage_metadata</t>
        </is>
      </c>
      <c r="K56" s="7" t="inlineStr">
        <is>
          <t>success</t>
        </is>
      </c>
      <c r="L56" s="7" t="inlineStr"/>
      <c r="M56" s="7" t="n">
        <v>30</v>
      </c>
    </row>
    <row r="57" ht="34" customHeight="1">
      <c r="A57" s="7" t="n">
        <v>56</v>
      </c>
      <c r="B57" s="7" t="inlineStr">
        <is>
          <t>2026-07-28T08:33:17Z</t>
        </is>
      </c>
      <c r="C57" s="7" t="inlineStr">
        <is>
          <t>vlm_guided</t>
        </is>
      </c>
      <c r="D57" s="7" t="inlineStr">
        <is>
          <t>vlm_guided_scoring</t>
        </is>
      </c>
      <c r="E57" s="7" t="n">
        <v>6</v>
      </c>
      <c r="F57" s="7" t="inlineStr">
        <is>
          <t>gemini-3.5-flash</t>
        </is>
      </c>
      <c r="G57" s="7" t="n">
        <v>1194</v>
      </c>
      <c r="H57" s="7" t="n">
        <v>110</v>
      </c>
      <c r="I57" s="7" t="n">
        <v>2150</v>
      </c>
      <c r="J57" s="7" t="inlineStr">
        <is>
          <t>sdk_usage_metadata</t>
        </is>
      </c>
      <c r="K57" s="7" t="inlineStr">
        <is>
          <t>success</t>
        </is>
      </c>
      <c r="L57" s="7" t="inlineStr"/>
      <c r="M57" s="7" t="n">
        <v>9</v>
      </c>
    </row>
    <row r="58" ht="34" customHeight="1">
      <c r="A58" s="7" t="n">
        <v>57</v>
      </c>
      <c r="B58" s="7" t="inlineStr">
        <is>
          <t>2026-07-28T08:33:22Z</t>
        </is>
      </c>
      <c r="C58" s="7" t="inlineStr">
        <is>
          <t>vlm_guided</t>
        </is>
      </c>
      <c r="D58" s="7" t="inlineStr">
        <is>
          <t>vlm_guided_scoring</t>
        </is>
      </c>
      <c r="E58" s="7" t="n">
        <v>6</v>
      </c>
      <c r="F58" s="7" t="inlineStr">
        <is>
          <t>gemini-3.5-flash</t>
        </is>
      </c>
      <c r="G58" s="7" t="n">
        <v>1194</v>
      </c>
      <c r="H58" s="7" t="n">
        <v>99</v>
      </c>
      <c r="I58" s="7" t="n">
        <v>2093</v>
      </c>
      <c r="J58" s="7" t="inlineStr">
        <is>
          <t>sdk_usage_metadata</t>
        </is>
      </c>
      <c r="K58" s="7" t="inlineStr">
        <is>
          <t>success</t>
        </is>
      </c>
      <c r="L58" s="7" t="inlineStr"/>
      <c r="M58" s="7" t="n">
        <v>10</v>
      </c>
    </row>
    <row r="59" ht="34" customHeight="1">
      <c r="A59" s="7" t="n">
        <v>58</v>
      </c>
      <c r="B59" s="7" t="inlineStr">
        <is>
          <t>2026-07-28T08:33:59Z</t>
        </is>
      </c>
      <c r="C59" s="7" t="inlineStr">
        <is>
          <t>vlm_free</t>
        </is>
      </c>
      <c r="D59" s="7" t="inlineStr">
        <is>
          <t>vlm_free_descriptive_causal</t>
        </is>
      </c>
      <c r="E59" s="7" t="n">
        <v>7</v>
      </c>
      <c r="F59" s="7" t="inlineStr">
        <is>
          <t>gemini-3.5-flash</t>
        </is>
      </c>
      <c r="G59" s="7" t="n">
        <v>738</v>
      </c>
      <c r="H59" s="7" t="n">
        <v>421</v>
      </c>
      <c r="I59" s="7" t="n">
        <v>2387</v>
      </c>
      <c r="J59" s="7" t="inlineStr">
        <is>
          <t>sdk_usage_metadata</t>
        </is>
      </c>
      <c r="K59" s="7" t="inlineStr">
        <is>
          <t>success</t>
        </is>
      </c>
      <c r="L59" s="7" t="inlineStr"/>
      <c r="M59" s="7" t="n">
        <v>18</v>
      </c>
    </row>
    <row r="60" ht="34" customHeight="1">
      <c r="A60" s="7" t="n">
        <v>59</v>
      </c>
      <c r="B60" s="7" t="inlineStr">
        <is>
          <t>2026-07-28T08:34:03Z</t>
        </is>
      </c>
      <c r="C60" s="7" t="inlineStr">
        <is>
          <t>vlm_free</t>
        </is>
      </c>
      <c r="D60" s="7" t="inlineStr">
        <is>
          <t>vlm_free_scoring</t>
        </is>
      </c>
      <c r="E60" s="7" t="n">
        <v>7</v>
      </c>
      <c r="F60" s="7" t="inlineStr">
        <is>
          <t>gemini-3.5-flash</t>
        </is>
      </c>
      <c r="G60" s="7" t="n">
        <v>717</v>
      </c>
      <c r="H60" s="7" t="n">
        <v>130</v>
      </c>
      <c r="I60" s="7" t="n">
        <v>1712</v>
      </c>
      <c r="J60" s="7" t="inlineStr">
        <is>
          <t>sdk_usage_metadata</t>
        </is>
      </c>
      <c r="K60" s="7" t="inlineStr">
        <is>
          <t>success</t>
        </is>
      </c>
      <c r="L60" s="7" t="inlineStr"/>
      <c r="M60" s="7" t="n">
        <v>19</v>
      </c>
    </row>
    <row r="61" ht="34" customHeight="1">
      <c r="A61" s="7" t="n">
        <v>60</v>
      </c>
      <c r="B61" s="7" t="inlineStr">
        <is>
          <t>2026-07-28T08:34:09Z</t>
        </is>
      </c>
      <c r="C61" s="7" t="inlineStr">
        <is>
          <t>common</t>
        </is>
      </c>
      <c r="D61" s="7" t="inlineStr">
        <is>
          <t>guided_descriptive_prompt</t>
        </is>
      </c>
      <c r="E61" s="7" t="n">
        <v>7</v>
      </c>
      <c r="F61" s="7" t="inlineStr">
        <is>
          <t>gemini-3.5-flash</t>
        </is>
      </c>
      <c r="G61" s="7" t="n">
        <v>578</v>
      </c>
      <c r="H61" s="7" t="n">
        <v>289</v>
      </c>
      <c r="I61" s="7" t="n">
        <v>1818</v>
      </c>
      <c r="J61" s="7" t="inlineStr">
        <is>
          <t>sdk_usage_metadata</t>
        </is>
      </c>
      <c r="K61" s="7" t="inlineStr">
        <is>
          <t>success</t>
        </is>
      </c>
      <c r="L61" s="7" t="inlineStr"/>
      <c r="M61" s="7" t="n">
        <v>31</v>
      </c>
    </row>
    <row r="62" ht="34" customHeight="1">
      <c r="A62" s="7" t="n">
        <v>61</v>
      </c>
      <c r="B62" s="7" t="inlineStr">
        <is>
          <t>2026-07-28T08:34:15Z</t>
        </is>
      </c>
      <c r="C62" s="7" t="inlineStr">
        <is>
          <t>common</t>
        </is>
      </c>
      <c r="D62" s="7" t="inlineStr">
        <is>
          <t>guided_question_set</t>
        </is>
      </c>
      <c r="E62" s="7" t="n">
        <v>7</v>
      </c>
      <c r="F62" s="7" t="inlineStr">
        <is>
          <t>gemini-3.5-flash</t>
        </is>
      </c>
      <c r="G62" s="7" t="n">
        <v>1769</v>
      </c>
      <c r="H62" s="7" t="n">
        <v>295</v>
      </c>
      <c r="I62" s="7" t="n">
        <v>3315</v>
      </c>
      <c r="J62" s="7" t="inlineStr">
        <is>
          <t>sdk_usage_metadata</t>
        </is>
      </c>
      <c r="K62" s="7" t="inlineStr">
        <is>
          <t>success</t>
        </is>
      </c>
      <c r="L62" s="7" t="inlineStr"/>
      <c r="M62" s="7" t="n">
        <v>32</v>
      </c>
    </row>
    <row r="63" ht="34" customHeight="1">
      <c r="A63" s="7" t="n">
        <v>62</v>
      </c>
      <c r="B63" s="7" t="inlineStr">
        <is>
          <t>2026-07-28T08:34:20Z</t>
        </is>
      </c>
      <c r="C63" s="7" t="inlineStr">
        <is>
          <t>common</t>
        </is>
      </c>
      <c r="D63" s="7" t="inlineStr">
        <is>
          <t>guided_causal_engine</t>
        </is>
      </c>
      <c r="E63" s="7" t="n">
        <v>7</v>
      </c>
      <c r="F63" s="7" t="inlineStr">
        <is>
          <t>gemini-3.5-flash</t>
        </is>
      </c>
      <c r="G63" s="7" t="n">
        <v>869</v>
      </c>
      <c r="H63" s="7" t="n">
        <v>234</v>
      </c>
      <c r="I63" s="7" t="n">
        <v>2091</v>
      </c>
      <c r="J63" s="7" t="inlineStr">
        <is>
          <t>sdk_usage_metadata</t>
        </is>
      </c>
      <c r="K63" s="7" t="inlineStr">
        <is>
          <t>success</t>
        </is>
      </c>
      <c r="L63" s="7" t="inlineStr"/>
      <c r="M63" s="7" t="n">
        <v>33</v>
      </c>
    </row>
    <row r="64" ht="34" customHeight="1">
      <c r="A64" s="7" t="n">
        <v>63</v>
      </c>
      <c r="B64" s="7" t="inlineStr">
        <is>
          <t>2026-07-28T08:34:24Z</t>
        </is>
      </c>
      <c r="C64" s="7" t="inlineStr">
        <is>
          <t>vlm_guided</t>
        </is>
      </c>
      <c r="D64" s="7" t="inlineStr">
        <is>
          <t>vlm_guided_scoring</t>
        </is>
      </c>
      <c r="E64" s="7" t="n">
        <v>7</v>
      </c>
      <c r="F64" s="7" t="inlineStr">
        <is>
          <t>gemini-3.5-flash</t>
        </is>
      </c>
      <c r="G64" s="7" t="n">
        <v>1089</v>
      </c>
      <c r="H64" s="7" t="n">
        <v>106</v>
      </c>
      <c r="I64" s="7" t="n">
        <v>1993</v>
      </c>
      <c r="J64" s="7" t="inlineStr">
        <is>
          <t>sdk_usage_metadata</t>
        </is>
      </c>
      <c r="K64" s="7" t="inlineStr">
        <is>
          <t>success</t>
        </is>
      </c>
      <c r="L64" s="7" t="inlineStr"/>
      <c r="M64" s="7" t="n">
        <v>11</v>
      </c>
    </row>
    <row r="65" ht="34" customHeight="1">
      <c r="A65" s="7" t="n">
        <v>64</v>
      </c>
      <c r="B65" s="7" t="inlineStr">
        <is>
          <t>2026-07-28T08:34:57Z</t>
        </is>
      </c>
      <c r="C65" s="7" t="inlineStr">
        <is>
          <t>vlm_free</t>
        </is>
      </c>
      <c r="D65" s="7" t="inlineStr">
        <is>
          <t>vlm_free_descriptive_causal</t>
        </is>
      </c>
      <c r="E65" s="7" t="n">
        <v>8</v>
      </c>
      <c r="F65" s="7" t="inlineStr">
        <is>
          <t>gemini-3.5-flash</t>
        </is>
      </c>
      <c r="G65" s="7" t="n">
        <v>738</v>
      </c>
      <c r="H65" s="7" t="n">
        <v>420</v>
      </c>
      <c r="I65" s="7" t="n">
        <v>2224</v>
      </c>
      <c r="J65" s="7" t="inlineStr">
        <is>
          <t>sdk_usage_metadata</t>
        </is>
      </c>
      <c r="K65" s="7" t="inlineStr">
        <is>
          <t>success</t>
        </is>
      </c>
      <c r="L65" s="7" t="inlineStr"/>
      <c r="M65" s="7" t="n">
        <v>20</v>
      </c>
    </row>
    <row r="66" ht="34" customHeight="1">
      <c r="A66" s="7" t="n">
        <v>65</v>
      </c>
      <c r="B66" s="7" t="inlineStr">
        <is>
          <t>2026-07-28T08:35:01Z</t>
        </is>
      </c>
      <c r="C66" s="7" t="inlineStr">
        <is>
          <t>vlm_free</t>
        </is>
      </c>
      <c r="D66" s="7" t="inlineStr">
        <is>
          <t>vlm_free_scoring</t>
        </is>
      </c>
      <c r="E66" s="7" t="n">
        <v>8</v>
      </c>
      <c r="F66" s="7" t="inlineStr">
        <is>
          <t>gemini-3.5-flash</t>
        </is>
      </c>
      <c r="G66" s="7" t="n">
        <v>716</v>
      </c>
      <c r="H66" s="7" t="n">
        <v>125</v>
      </c>
      <c r="I66" s="7" t="n">
        <v>1363</v>
      </c>
      <c r="J66" s="7" t="inlineStr">
        <is>
          <t>sdk_usage_metadata</t>
        </is>
      </c>
      <c r="K66" s="7" t="inlineStr">
        <is>
          <t>success</t>
        </is>
      </c>
      <c r="L66" s="7" t="inlineStr"/>
      <c r="M66" s="7" t="n">
        <v>21</v>
      </c>
    </row>
    <row r="67" ht="34" customHeight="1">
      <c r="A67" s="7" t="n">
        <v>66</v>
      </c>
      <c r="B67" s="7" t="inlineStr">
        <is>
          <t>2026-07-28T08:35:05Z</t>
        </is>
      </c>
      <c r="C67" s="7" t="inlineStr">
        <is>
          <t>vlm_free</t>
        </is>
      </c>
      <c r="D67" s="7" t="inlineStr">
        <is>
          <t>vlm_free_scoring</t>
        </is>
      </c>
      <c r="E67" s="7" t="n">
        <v>8</v>
      </c>
      <c r="F67" s="7" t="inlineStr">
        <is>
          <t>gemini-3.5-flash</t>
        </is>
      </c>
      <c r="G67" s="7" t="n">
        <v>716</v>
      </c>
      <c r="H67" s="7" t="n">
        <v>125</v>
      </c>
      <c r="I67" s="7" t="n">
        <v>1548</v>
      </c>
      <c r="J67" s="7" t="inlineStr">
        <is>
          <t>sdk_usage_metadata</t>
        </is>
      </c>
      <c r="K67" s="7" t="inlineStr">
        <is>
          <t>success</t>
        </is>
      </c>
      <c r="L67" s="7" t="inlineStr"/>
      <c r="M67" s="7" t="n">
        <v>22</v>
      </c>
    </row>
    <row r="68" ht="34" customHeight="1">
      <c r="A68" s="7" t="n">
        <v>67</v>
      </c>
      <c r="B68" s="7" t="inlineStr">
        <is>
          <t>2026-07-28T08:35:10Z</t>
        </is>
      </c>
      <c r="C68" s="7" t="inlineStr">
        <is>
          <t>vlm_free</t>
        </is>
      </c>
      <c r="D68" s="7" t="inlineStr">
        <is>
          <t>vlm_free_scoring</t>
        </is>
      </c>
      <c r="E68" s="7" t="n">
        <v>8</v>
      </c>
      <c r="F68" s="7" t="inlineStr">
        <is>
          <t>gemini-3.5-flash</t>
        </is>
      </c>
      <c r="G68" s="7" t="n">
        <v>716</v>
      </c>
      <c r="H68" s="7" t="n">
        <v>133</v>
      </c>
      <c r="I68" s="7" t="n">
        <v>1440</v>
      </c>
      <c r="J68" s="7" t="inlineStr">
        <is>
          <t>sdk_usage_metadata</t>
        </is>
      </c>
      <c r="K68" s="7" t="inlineStr">
        <is>
          <t>success</t>
        </is>
      </c>
      <c r="L68" s="7" t="inlineStr"/>
      <c r="M68" s="7" t="n">
        <v>23</v>
      </c>
    </row>
    <row r="69" ht="34" customHeight="1">
      <c r="A69" s="7" t="n">
        <v>68</v>
      </c>
      <c r="B69" s="7" t="inlineStr">
        <is>
          <t>2026-07-28T08:35:15Z</t>
        </is>
      </c>
      <c r="C69" s="7" t="inlineStr">
        <is>
          <t>common</t>
        </is>
      </c>
      <c r="D69" s="7" t="inlineStr">
        <is>
          <t>guided_descriptive_prompt</t>
        </is>
      </c>
      <c r="E69" s="7" t="n">
        <v>8</v>
      </c>
      <c r="F69" s="7" t="inlineStr">
        <is>
          <t>gemini-3.5-flash</t>
        </is>
      </c>
      <c r="G69" s="7" t="n">
        <v>578</v>
      </c>
      <c r="H69" s="7" t="n">
        <v>325</v>
      </c>
      <c r="I69" s="7" t="n">
        <v>1576</v>
      </c>
      <c r="J69" s="7" t="inlineStr">
        <is>
          <t>sdk_usage_metadata</t>
        </is>
      </c>
      <c r="K69" s="7" t="inlineStr">
        <is>
          <t>success</t>
        </is>
      </c>
      <c r="L69" s="7" t="inlineStr"/>
      <c r="M69" s="7" t="n">
        <v>34</v>
      </c>
    </row>
    <row r="70" ht="34" customHeight="1">
      <c r="A70" s="7" t="n">
        <v>69</v>
      </c>
      <c r="B70" s="7" t="inlineStr">
        <is>
          <t>2026-07-28T08:35:22Z</t>
        </is>
      </c>
      <c r="C70" s="7" t="inlineStr">
        <is>
          <t>common</t>
        </is>
      </c>
      <c r="D70" s="7" t="inlineStr">
        <is>
          <t>guided_question_set</t>
        </is>
      </c>
      <c r="E70" s="7" t="n">
        <v>8</v>
      </c>
      <c r="F70" s="7" t="inlineStr">
        <is>
          <t>gemini-3.5-flash</t>
        </is>
      </c>
      <c r="G70" s="7" t="n">
        <v>1805</v>
      </c>
      <c r="H70" s="7" t="n">
        <v>401</v>
      </c>
      <c r="I70" s="7" t="n">
        <v>3556</v>
      </c>
      <c r="J70" s="7" t="inlineStr">
        <is>
          <t>sdk_usage_metadata</t>
        </is>
      </c>
      <c r="K70" s="7" t="inlineStr">
        <is>
          <t>success</t>
        </is>
      </c>
      <c r="L70" s="7" t="inlineStr"/>
      <c r="M70" s="7" t="n">
        <v>35</v>
      </c>
    </row>
    <row r="71" ht="34" customHeight="1">
      <c r="A71" s="7" t="n">
        <v>70</v>
      </c>
      <c r="B71" s="7" t="inlineStr">
        <is>
          <t>2026-07-28T08:35:27Z</t>
        </is>
      </c>
      <c r="C71" s="7" t="inlineStr">
        <is>
          <t>common</t>
        </is>
      </c>
      <c r="D71" s="7" t="inlineStr">
        <is>
          <t>guided_causal_engine</t>
        </is>
      </c>
      <c r="E71" s="7" t="n">
        <v>8</v>
      </c>
      <c r="F71" s="7" t="inlineStr">
        <is>
          <t>gemini-3.5-flash</t>
        </is>
      </c>
      <c r="G71" s="7" t="n">
        <v>1011</v>
      </c>
      <c r="H71" s="7" t="n">
        <v>250</v>
      </c>
      <c r="I71" s="7" t="n">
        <v>2392</v>
      </c>
      <c r="J71" s="7" t="inlineStr">
        <is>
          <t>sdk_usage_metadata</t>
        </is>
      </c>
      <c r="K71" s="7" t="inlineStr">
        <is>
          <t>success</t>
        </is>
      </c>
      <c r="L71" s="7" t="inlineStr"/>
      <c r="M71" s="7" t="n">
        <v>36</v>
      </c>
    </row>
    <row r="72" ht="34" customHeight="1">
      <c r="A72" s="7" t="n">
        <v>71</v>
      </c>
      <c r="B72" s="7" t="inlineStr">
        <is>
          <t>2026-07-28T08:35:31Z</t>
        </is>
      </c>
      <c r="C72" s="7" t="inlineStr">
        <is>
          <t>vlm_guided</t>
        </is>
      </c>
      <c r="D72" s="7" t="inlineStr">
        <is>
          <t>vlm_guided_scoring</t>
        </is>
      </c>
      <c r="E72" s="7" t="n">
        <v>8</v>
      </c>
      <c r="F72" s="7" t="inlineStr">
        <is>
          <t>gemini-3.5-flash</t>
        </is>
      </c>
      <c r="G72" s="7" t="n">
        <v>1248</v>
      </c>
      <c r="H72" s="7" t="n">
        <v>104</v>
      </c>
      <c r="I72" s="7" t="n">
        <v>2157</v>
      </c>
      <c r="J72" s="7" t="inlineStr">
        <is>
          <t>sdk_usage_metadata</t>
        </is>
      </c>
      <c r="K72" s="7" t="inlineStr">
        <is>
          <t>success</t>
        </is>
      </c>
      <c r="L72" s="7" t="inlineStr"/>
      <c r="M72" s="7" t="n">
        <v>12</v>
      </c>
    </row>
    <row r="73" ht="34" customHeight="1">
      <c r="A73" s="7" t="n">
        <v>72</v>
      </c>
      <c r="B73" s="7" t="inlineStr">
        <is>
          <t>2026-07-28T08:36:07Z</t>
        </is>
      </c>
      <c r="C73" s="7" t="inlineStr">
        <is>
          <t>vlm_free</t>
        </is>
      </c>
      <c r="D73" s="7" t="inlineStr">
        <is>
          <t>vlm_free_descriptive_causal</t>
        </is>
      </c>
      <c r="E73" s="7" t="n">
        <v>9</v>
      </c>
      <c r="F73" s="7" t="inlineStr">
        <is>
          <t>gemini-3.5-flash</t>
        </is>
      </c>
      <c r="G73" s="7" t="n">
        <v>738</v>
      </c>
      <c r="H73" s="7" t="n">
        <v>611</v>
      </c>
      <c r="I73" s="7" t="n">
        <v>3046</v>
      </c>
      <c r="J73" s="7" t="inlineStr">
        <is>
          <t>sdk_usage_metadata</t>
        </is>
      </c>
      <c r="K73" s="7" t="inlineStr">
        <is>
          <t>success</t>
        </is>
      </c>
      <c r="L73" s="7" t="inlineStr"/>
      <c r="M73" s="7" t="n">
        <v>24</v>
      </c>
    </row>
    <row r="74" ht="34" customHeight="1">
      <c r="A74" s="7" t="n">
        <v>73</v>
      </c>
      <c r="B74" s="7" t="inlineStr">
        <is>
          <t>2026-07-28T08:36:10Z</t>
        </is>
      </c>
      <c r="C74" s="7" t="inlineStr">
        <is>
          <t>vlm_free</t>
        </is>
      </c>
      <c r="D74" s="7" t="inlineStr">
        <is>
          <t>vlm_free_scoring</t>
        </is>
      </c>
      <c r="E74" s="7" t="n">
        <v>9</v>
      </c>
      <c r="F74" s="7" t="inlineStr">
        <is>
          <t>gemini-3.5-flash</t>
        </is>
      </c>
      <c r="G74" s="7" t="n">
        <v>925</v>
      </c>
      <c r="H74" s="7" t="n">
        <v>154</v>
      </c>
      <c r="I74" s="7" t="n">
        <v>1655</v>
      </c>
      <c r="J74" s="7" t="inlineStr">
        <is>
          <t>sdk_usage_metadata</t>
        </is>
      </c>
      <c r="K74" s="7" t="inlineStr">
        <is>
          <t>success</t>
        </is>
      </c>
      <c r="L74" s="7" t="inlineStr"/>
      <c r="M74" s="7" t="n">
        <v>25</v>
      </c>
    </row>
    <row r="75" ht="34" customHeight="1">
      <c r="A75" s="7" t="n">
        <v>74</v>
      </c>
      <c r="B75" s="7" t="inlineStr">
        <is>
          <t>2026-07-28T08:36:15Z</t>
        </is>
      </c>
      <c r="C75" s="7" t="inlineStr">
        <is>
          <t>common</t>
        </is>
      </c>
      <c r="D75" s="7" t="inlineStr">
        <is>
          <t>guided_descriptive_prompt</t>
        </is>
      </c>
      <c r="E75" s="7" t="n">
        <v>9</v>
      </c>
      <c r="F75" s="7" t="inlineStr">
        <is>
          <t>gemini-3.5-flash</t>
        </is>
      </c>
      <c r="G75" s="7" t="n">
        <v>578</v>
      </c>
      <c r="H75" s="7" t="n">
        <v>301</v>
      </c>
      <c r="I75" s="7" t="n">
        <v>1820</v>
      </c>
      <c r="J75" s="7" t="inlineStr">
        <is>
          <t>sdk_usage_metadata</t>
        </is>
      </c>
      <c r="K75" s="7" t="inlineStr">
        <is>
          <t>success</t>
        </is>
      </c>
      <c r="L75" s="7" t="inlineStr"/>
      <c r="M75" s="7" t="n">
        <v>37</v>
      </c>
    </row>
    <row r="76" ht="34" customHeight="1">
      <c r="A76" s="7" t="n">
        <v>75</v>
      </c>
      <c r="B76" s="7" t="inlineStr">
        <is>
          <t>2026-07-28T08:36:22Z</t>
        </is>
      </c>
      <c r="C76" s="7" t="inlineStr">
        <is>
          <t>common</t>
        </is>
      </c>
      <c r="D76" s="7" t="inlineStr">
        <is>
          <t>guided_question_set</t>
        </is>
      </c>
      <c r="E76" s="7" t="n">
        <v>9</v>
      </c>
      <c r="F76" s="7" t="inlineStr">
        <is>
          <t>gemini-3.5-flash</t>
        </is>
      </c>
      <c r="G76" s="7" t="n">
        <v>1780</v>
      </c>
      <c r="H76" s="7" t="n">
        <v>338</v>
      </c>
      <c r="I76" s="7" t="n">
        <v>3356</v>
      </c>
      <c r="J76" s="7" t="inlineStr">
        <is>
          <t>sdk_usage_metadata</t>
        </is>
      </c>
      <c r="K76" s="7" t="inlineStr">
        <is>
          <t>success</t>
        </is>
      </c>
      <c r="L76" s="7" t="inlineStr"/>
      <c r="M76" s="7" t="n">
        <v>38</v>
      </c>
    </row>
    <row r="77" ht="34" customHeight="1">
      <c r="A77" s="7" t="n">
        <v>76</v>
      </c>
      <c r="B77" s="7" t="inlineStr">
        <is>
          <t>2026-07-28T08:36:29Z</t>
        </is>
      </c>
      <c r="C77" s="7" t="inlineStr">
        <is>
          <t>common</t>
        </is>
      </c>
      <c r="D77" s="7" t="inlineStr">
        <is>
          <t>guided_question_set</t>
        </is>
      </c>
      <c r="E77" s="7" t="n">
        <v>9</v>
      </c>
      <c r="F77" s="7" t="inlineStr">
        <is>
          <t>gemini-3.5-flash</t>
        </is>
      </c>
      <c r="G77" s="7" t="n">
        <v>1780</v>
      </c>
      <c r="H77" s="7" t="n">
        <v>335</v>
      </c>
      <c r="I77" s="7" t="n">
        <v>3245</v>
      </c>
      <c r="J77" s="7" t="inlineStr">
        <is>
          <t>sdk_usage_metadata</t>
        </is>
      </c>
      <c r="K77" s="7" t="inlineStr">
        <is>
          <t>success</t>
        </is>
      </c>
      <c r="L77" s="7" t="inlineStr"/>
      <c r="M77" s="7" t="n">
        <v>39</v>
      </c>
    </row>
    <row r="78" ht="34" customHeight="1">
      <c r="A78" s="7" t="n">
        <v>77</v>
      </c>
      <c r="B78" s="7" t="inlineStr">
        <is>
          <t>2026-07-28T08:36:34Z</t>
        </is>
      </c>
      <c r="C78" s="7" t="inlineStr">
        <is>
          <t>common</t>
        </is>
      </c>
      <c r="D78" s="7" t="inlineStr">
        <is>
          <t>guided_causal_engine</t>
        </is>
      </c>
      <c r="E78" s="7" t="n">
        <v>9</v>
      </c>
      <c r="F78" s="7" t="inlineStr">
        <is>
          <t>gemini-3.5-flash</t>
        </is>
      </c>
      <c r="G78" s="7" t="n">
        <v>920</v>
      </c>
      <c r="H78" s="7" t="n">
        <v>215</v>
      </c>
      <c r="I78" s="7" t="n">
        <v>2104</v>
      </c>
      <c r="J78" s="7" t="inlineStr">
        <is>
          <t>sdk_usage_metadata</t>
        </is>
      </c>
      <c r="K78" s="7" t="inlineStr">
        <is>
          <t>success</t>
        </is>
      </c>
      <c r="L78" s="7" t="inlineStr"/>
      <c r="M78" s="7" t="n">
        <v>40</v>
      </c>
    </row>
    <row r="79" ht="34" customHeight="1">
      <c r="A79" s="7" t="n">
        <v>78</v>
      </c>
      <c r="B79" s="7" t="inlineStr">
        <is>
          <t>2026-07-28T08:36:38Z</t>
        </is>
      </c>
      <c r="C79" s="7" t="inlineStr">
        <is>
          <t>vlm_guided</t>
        </is>
      </c>
      <c r="D79" s="7" t="inlineStr">
        <is>
          <t>vlm_guided_scoring</t>
        </is>
      </c>
      <c r="E79" s="7" t="n">
        <v>9</v>
      </c>
      <c r="F79" s="7" t="inlineStr">
        <is>
          <t>gemini-3.5-flash</t>
        </is>
      </c>
      <c r="G79" s="7" t="n">
        <v>1122</v>
      </c>
      <c r="H79" s="7" t="n">
        <v>103</v>
      </c>
      <c r="I79" s="7" t="n">
        <v>2138</v>
      </c>
      <c r="J79" s="7" t="inlineStr">
        <is>
          <t>sdk_usage_metadata</t>
        </is>
      </c>
      <c r="K79" s="7" t="inlineStr">
        <is>
          <t>success</t>
        </is>
      </c>
      <c r="L79" s="7" t="inlineStr"/>
      <c r="M79" s="7" t="n">
        <v>13</v>
      </c>
    </row>
    <row r="80" ht="34" customHeight="1">
      <c r="A80" s="7" t="n">
        <v>79</v>
      </c>
      <c r="B80" s="7" t="inlineStr">
        <is>
          <t>2026-07-28T08:37:10Z</t>
        </is>
      </c>
      <c r="C80" s="7" t="inlineStr">
        <is>
          <t>vlm_free</t>
        </is>
      </c>
      <c r="D80" s="7" t="inlineStr">
        <is>
          <t>vlm_free_descriptive_causal</t>
        </is>
      </c>
      <c r="E80" s="7" t="n">
        <v>10</v>
      </c>
      <c r="F80" s="7" t="inlineStr">
        <is>
          <t>gemini-3.5-flash</t>
        </is>
      </c>
      <c r="G80" s="7" t="n">
        <v>738</v>
      </c>
      <c r="H80" s="7" t="n">
        <v>411</v>
      </c>
      <c r="I80" s="7" t="n">
        <v>2238</v>
      </c>
      <c r="J80" s="7" t="inlineStr">
        <is>
          <t>sdk_usage_metadata</t>
        </is>
      </c>
      <c r="K80" s="7" t="inlineStr">
        <is>
          <t>success</t>
        </is>
      </c>
      <c r="L80" s="7" t="inlineStr"/>
      <c r="M80" s="7" t="n">
        <v>26</v>
      </c>
    </row>
    <row r="81" ht="34" customHeight="1">
      <c r="A81" s="7" t="n">
        <v>80</v>
      </c>
      <c r="B81" s="7" t="inlineStr">
        <is>
          <t>2026-07-28T08:37:14Z</t>
        </is>
      </c>
      <c r="C81" s="7" t="inlineStr">
        <is>
          <t>vlm_free</t>
        </is>
      </c>
      <c r="D81" s="7" t="inlineStr">
        <is>
          <t>vlm_free_scoring</t>
        </is>
      </c>
      <c r="E81" s="7" t="n">
        <v>10</v>
      </c>
      <c r="F81" s="7" t="inlineStr">
        <is>
          <t>gemini-3.5-flash</t>
        </is>
      </c>
      <c r="G81" s="7" t="n">
        <v>707</v>
      </c>
      <c r="H81" s="7" t="n">
        <v>129</v>
      </c>
      <c r="I81" s="7" t="n">
        <v>1401</v>
      </c>
      <c r="J81" s="7" t="inlineStr">
        <is>
          <t>sdk_usage_metadata</t>
        </is>
      </c>
      <c r="K81" s="7" t="inlineStr">
        <is>
          <t>success</t>
        </is>
      </c>
      <c r="L81" s="7" t="inlineStr"/>
      <c r="M81" s="7" t="n">
        <v>27</v>
      </c>
    </row>
    <row r="82" ht="34" customHeight="1">
      <c r="A82" s="7" t="n">
        <v>81</v>
      </c>
      <c r="B82" s="7" t="inlineStr">
        <is>
          <t>2026-07-28T08:37:17Z</t>
        </is>
      </c>
      <c r="C82" s="7" t="inlineStr">
        <is>
          <t>vlm_free</t>
        </is>
      </c>
      <c r="D82" s="7" t="inlineStr">
        <is>
          <t>vlm_free_scoring</t>
        </is>
      </c>
      <c r="E82" s="7" t="n">
        <v>10</v>
      </c>
      <c r="F82" s="7" t="inlineStr">
        <is>
          <t>gemini-3.5-flash</t>
        </is>
      </c>
      <c r="G82" s="7" t="n">
        <v>707</v>
      </c>
      <c r="H82" s="7" t="n">
        <v>106</v>
      </c>
      <c r="I82" s="7" t="n">
        <v>1331</v>
      </c>
      <c r="J82" s="7" t="inlineStr">
        <is>
          <t>sdk_usage_metadata</t>
        </is>
      </c>
      <c r="K82" s="7" t="inlineStr">
        <is>
          <t>success</t>
        </is>
      </c>
      <c r="L82" s="7" t="inlineStr"/>
      <c r="M82" s="7" t="n">
        <v>28</v>
      </c>
    </row>
    <row r="83" ht="34" customHeight="1">
      <c r="A83" s="7" t="n">
        <v>82</v>
      </c>
      <c r="B83" s="7" t="inlineStr">
        <is>
          <t>2026-07-28T08:37:23Z</t>
        </is>
      </c>
      <c r="C83" s="7" t="inlineStr">
        <is>
          <t>common</t>
        </is>
      </c>
      <c r="D83" s="7" t="inlineStr">
        <is>
          <t>guided_descriptive_prompt</t>
        </is>
      </c>
      <c r="E83" s="7" t="n">
        <v>10</v>
      </c>
      <c r="F83" s="7" t="inlineStr">
        <is>
          <t>gemini-3.5-flash</t>
        </is>
      </c>
      <c r="G83" s="7" t="n">
        <v>578</v>
      </c>
      <c r="H83" s="7" t="n">
        <v>295</v>
      </c>
      <c r="I83" s="7" t="n">
        <v>1750</v>
      </c>
      <c r="J83" s="7" t="inlineStr">
        <is>
          <t>sdk_usage_metadata</t>
        </is>
      </c>
      <c r="K83" s="7" t="inlineStr">
        <is>
          <t>success</t>
        </is>
      </c>
      <c r="L83" s="7" t="inlineStr"/>
      <c r="M83" s="7" t="n">
        <v>41</v>
      </c>
    </row>
    <row r="84" ht="34" customHeight="1">
      <c r="A84" s="7" t="n">
        <v>83</v>
      </c>
      <c r="B84" s="7" t="inlineStr">
        <is>
          <t>2026-07-28T08:37:30Z</t>
        </is>
      </c>
      <c r="C84" s="7" t="inlineStr">
        <is>
          <t>common</t>
        </is>
      </c>
      <c r="D84" s="7" t="inlineStr">
        <is>
          <t>guided_question_set</t>
        </is>
      </c>
      <c r="E84" s="7" t="n">
        <v>10</v>
      </c>
      <c r="F84" s="7" t="inlineStr">
        <is>
          <t>gemini-3.5-flash</t>
        </is>
      </c>
      <c r="G84" s="7" t="n">
        <v>1775</v>
      </c>
      <c r="H84" s="7" t="n">
        <v>388</v>
      </c>
      <c r="I84" s="7" t="n">
        <v>3652</v>
      </c>
      <c r="J84" s="7" t="inlineStr">
        <is>
          <t>sdk_usage_metadata</t>
        </is>
      </c>
      <c r="K84" s="7" t="inlineStr">
        <is>
          <t>success</t>
        </is>
      </c>
      <c r="L84" s="7" t="inlineStr"/>
      <c r="M84" s="7" t="n">
        <v>42</v>
      </c>
    </row>
    <row r="85" ht="34" customHeight="1">
      <c r="A85" s="7" t="n">
        <v>84</v>
      </c>
      <c r="B85" s="7" t="inlineStr">
        <is>
          <t>2026-07-28T08:37:35Z</t>
        </is>
      </c>
      <c r="C85" s="7" t="inlineStr">
        <is>
          <t>common</t>
        </is>
      </c>
      <c r="D85" s="7" t="inlineStr">
        <is>
          <t>guided_causal_engine</t>
        </is>
      </c>
      <c r="E85" s="7" t="n">
        <v>10</v>
      </c>
      <c r="F85" s="7" t="inlineStr">
        <is>
          <t>gemini-3.5-flash</t>
        </is>
      </c>
      <c r="G85" s="7" t="n">
        <v>968</v>
      </c>
      <c r="H85" s="7" t="n">
        <v>198</v>
      </c>
      <c r="I85" s="7" t="n">
        <v>2169</v>
      </c>
      <c r="J85" s="7" t="inlineStr">
        <is>
          <t>sdk_usage_metadata</t>
        </is>
      </c>
      <c r="K85" s="7" t="inlineStr">
        <is>
          <t>success</t>
        </is>
      </c>
      <c r="L85" s="7" t="inlineStr"/>
      <c r="M85" s="7" t="n">
        <v>43</v>
      </c>
    </row>
    <row r="86" ht="34" customHeight="1">
      <c r="A86" s="7" t="n">
        <v>85</v>
      </c>
      <c r="B86" s="7" t="inlineStr">
        <is>
          <t>2026-07-28T08:37:42Z</t>
        </is>
      </c>
      <c r="C86" s="7" t="inlineStr">
        <is>
          <t>common</t>
        </is>
      </c>
      <c r="D86" s="7" t="inlineStr">
        <is>
          <t>guided_causal_engine</t>
        </is>
      </c>
      <c r="E86" s="7" t="n">
        <v>10</v>
      </c>
      <c r="F86" s="7" t="inlineStr">
        <is>
          <t>gemini-3.5-flash</t>
        </is>
      </c>
      <c r="G86" s="7" t="n">
        <v>968</v>
      </c>
      <c r="H86" s="7" t="n">
        <v>219</v>
      </c>
      <c r="I86" s="7" t="n">
        <v>2296</v>
      </c>
      <c r="J86" s="7" t="inlineStr">
        <is>
          <t>sdk_usage_metadata</t>
        </is>
      </c>
      <c r="K86" s="7" t="inlineStr">
        <is>
          <t>success</t>
        </is>
      </c>
      <c r="L86" s="7" t="inlineStr"/>
      <c r="M86" s="7" t="n">
        <v>44</v>
      </c>
    </row>
    <row r="87" ht="34" customHeight="1">
      <c r="A87" s="7" t="n">
        <v>86</v>
      </c>
      <c r="B87" s="7" t="inlineStr">
        <is>
          <t>2026-07-28T08:37:48Z</t>
        </is>
      </c>
      <c r="C87" s="7" t="inlineStr">
        <is>
          <t>common</t>
        </is>
      </c>
      <c r="D87" s="7" t="inlineStr">
        <is>
          <t>guided_causal_engine</t>
        </is>
      </c>
      <c r="E87" s="7" t="n">
        <v>10</v>
      </c>
      <c r="F87" s="7" t="inlineStr">
        <is>
          <t>gemini-3.5-flash</t>
        </is>
      </c>
      <c r="G87" s="7" t="n">
        <v>968</v>
      </c>
      <c r="H87" s="7" t="n">
        <v>228</v>
      </c>
      <c r="I87" s="7" t="n">
        <v>2043</v>
      </c>
      <c r="J87" s="7" t="inlineStr">
        <is>
          <t>sdk_usage_metadata</t>
        </is>
      </c>
      <c r="K87" s="7" t="inlineStr">
        <is>
          <t>success</t>
        </is>
      </c>
      <c r="L87" s="7" t="inlineStr"/>
      <c r="M87" s="7" t="n">
        <v>45</v>
      </c>
    </row>
    <row r="88" ht="34" customHeight="1">
      <c r="A88" s="7" t="n">
        <v>87</v>
      </c>
      <c r="B88" s="7" t="inlineStr">
        <is>
          <t>2026-07-28T08:37:54Z</t>
        </is>
      </c>
      <c r="C88" s="7" t="inlineStr">
        <is>
          <t>common</t>
        </is>
      </c>
      <c r="D88" s="7" t="inlineStr">
        <is>
          <t>guided_causal_engine</t>
        </is>
      </c>
      <c r="E88" s="7" t="n">
        <v>10</v>
      </c>
      <c r="F88" s="7" t="inlineStr">
        <is>
          <t>gemini-3.5-flash</t>
        </is>
      </c>
      <c r="G88" s="7" t="n">
        <v>968</v>
      </c>
      <c r="H88" s="7" t="n">
        <v>249</v>
      </c>
      <c r="I88" s="7" t="n">
        <v>2158</v>
      </c>
      <c r="J88" s="7" t="inlineStr">
        <is>
          <t>sdk_usage_metadata</t>
        </is>
      </c>
      <c r="K88" s="7" t="inlineStr">
        <is>
          <t>success</t>
        </is>
      </c>
      <c r="L88" s="7" t="inlineStr"/>
      <c r="M88" s="7" t="n">
        <v>46</v>
      </c>
    </row>
    <row r="89" ht="34" customHeight="1">
      <c r="A89" s="7" t="n">
        <v>88</v>
      </c>
      <c r="B89" s="7" t="inlineStr">
        <is>
          <t>2026-07-28T08:37:58Z</t>
        </is>
      </c>
      <c r="C89" s="7" t="inlineStr">
        <is>
          <t>vlm_guided</t>
        </is>
      </c>
      <c r="D89" s="7" t="inlineStr">
        <is>
          <t>vlm_guided_scoring</t>
        </is>
      </c>
      <c r="E89" s="7" t="n">
        <v>10</v>
      </c>
      <c r="F89" s="7" t="inlineStr">
        <is>
          <t>gemini-3.5-flash</t>
        </is>
      </c>
      <c r="G89" s="7" t="n">
        <v>1203</v>
      </c>
      <c r="H89" s="7" t="n">
        <v>96</v>
      </c>
      <c r="I89" s="7" t="n">
        <v>2138</v>
      </c>
      <c r="J89" s="7" t="inlineStr">
        <is>
          <t>sdk_usage_metadata</t>
        </is>
      </c>
      <c r="K89" s="7" t="inlineStr">
        <is>
          <t>success</t>
        </is>
      </c>
      <c r="L89" s="7" t="inlineStr"/>
      <c r="M89" s="7" t="n">
        <v>14</v>
      </c>
    </row>
    <row r="90" ht="34" customHeight="1">
      <c r="A90" s="7" t="n">
        <v>89</v>
      </c>
      <c r="B90" s="7" t="inlineStr">
        <is>
          <t>2026-07-28T08:38:04Z</t>
        </is>
      </c>
      <c r="C90" s="7" t="inlineStr">
        <is>
          <t>vlm_guided</t>
        </is>
      </c>
      <c r="D90" s="7" t="inlineStr">
        <is>
          <t>vlm_guided_scoring</t>
        </is>
      </c>
      <c r="E90" s="7" t="n">
        <v>10</v>
      </c>
      <c r="F90" s="7" t="inlineStr">
        <is>
          <t>gemini-3.5-flash</t>
        </is>
      </c>
      <c r="G90" s="7" t="n">
        <v>1203</v>
      </c>
      <c r="H90" s="7" t="n">
        <v>115</v>
      </c>
      <c r="I90" s="7" t="n">
        <v>2235</v>
      </c>
      <c r="J90" s="7" t="inlineStr">
        <is>
          <t>sdk_usage_metadata</t>
        </is>
      </c>
      <c r="K90" s="7" t="inlineStr">
        <is>
          <t>success</t>
        </is>
      </c>
      <c r="L90" s="7" t="inlineStr"/>
      <c r="M90" s="7" t="n">
        <v>15</v>
      </c>
    </row>
    <row r="91" ht="34" customHeight="1">
      <c r="A91" s="7" t="n">
        <v>90</v>
      </c>
      <c r="B91" s="7" t="inlineStr">
        <is>
          <t>2026-07-28T08:38:42Z</t>
        </is>
      </c>
      <c r="C91" s="7" t="inlineStr">
        <is>
          <t>vlm_free</t>
        </is>
      </c>
      <c r="D91" s="7" t="inlineStr">
        <is>
          <t>vlm_free_descriptive_causal</t>
        </is>
      </c>
      <c r="E91" s="7" t="n">
        <v>11</v>
      </c>
      <c r="F91" s="7" t="inlineStr">
        <is>
          <t>gemini-3.5-flash</t>
        </is>
      </c>
      <c r="G91" s="7" t="n">
        <v>738</v>
      </c>
      <c r="H91" s="7" t="n">
        <v>437</v>
      </c>
      <c r="I91" s="7" t="n">
        <v>2447</v>
      </c>
      <c r="J91" s="7" t="inlineStr">
        <is>
          <t>sdk_usage_metadata</t>
        </is>
      </c>
      <c r="K91" s="7" t="inlineStr">
        <is>
          <t>success</t>
        </is>
      </c>
      <c r="L91" s="7" t="inlineStr"/>
      <c r="M91" s="7" t="n">
        <v>29</v>
      </c>
    </row>
    <row r="92" ht="34" customHeight="1">
      <c r="A92" s="7" t="n">
        <v>91</v>
      </c>
      <c r="B92" s="7" t="inlineStr">
        <is>
          <t>2026-07-28T08:38:46Z</t>
        </is>
      </c>
      <c r="C92" s="7" t="inlineStr">
        <is>
          <t>vlm_free</t>
        </is>
      </c>
      <c r="D92" s="7" t="inlineStr">
        <is>
          <t>vlm_free_scoring</t>
        </is>
      </c>
      <c r="E92" s="7" t="n">
        <v>11</v>
      </c>
      <c r="F92" s="7" t="inlineStr">
        <is>
          <t>gemini-3.5-flash</t>
        </is>
      </c>
      <c r="G92" s="7" t="n">
        <v>732</v>
      </c>
      <c r="H92" s="7" t="n">
        <v>104</v>
      </c>
      <c r="I92" s="7" t="n">
        <v>1654</v>
      </c>
      <c r="J92" s="7" t="inlineStr">
        <is>
          <t>sdk_usage_metadata</t>
        </is>
      </c>
      <c r="K92" s="7" t="inlineStr">
        <is>
          <t>success</t>
        </is>
      </c>
      <c r="L92" s="7" t="inlineStr"/>
      <c r="M92" s="7" t="n">
        <v>30</v>
      </c>
    </row>
    <row r="93" ht="34" customHeight="1">
      <c r="A93" s="7" t="n">
        <v>92</v>
      </c>
      <c r="B93" s="7" t="inlineStr">
        <is>
          <t>2026-07-28T08:38:51Z</t>
        </is>
      </c>
      <c r="C93" s="7" t="inlineStr">
        <is>
          <t>vlm_free</t>
        </is>
      </c>
      <c r="D93" s="7" t="inlineStr">
        <is>
          <t>vlm_free_scoring</t>
        </is>
      </c>
      <c r="E93" s="7" t="n">
        <v>11</v>
      </c>
      <c r="F93" s="7" t="inlineStr">
        <is>
          <t>gemini-3.5-flash</t>
        </is>
      </c>
      <c r="G93" s="7" t="n">
        <v>732</v>
      </c>
      <c r="H93" s="7" t="n">
        <v>118</v>
      </c>
      <c r="I93" s="7" t="n">
        <v>1527</v>
      </c>
      <c r="J93" s="7" t="inlineStr">
        <is>
          <t>sdk_usage_metadata</t>
        </is>
      </c>
      <c r="K93" s="7" t="inlineStr">
        <is>
          <t>success</t>
        </is>
      </c>
      <c r="L93" s="7" t="inlineStr"/>
      <c r="M93" s="7" t="n">
        <v>31</v>
      </c>
    </row>
    <row r="94" ht="34" customHeight="1">
      <c r="A94" s="7" t="n">
        <v>93</v>
      </c>
      <c r="B94" s="7" t="inlineStr">
        <is>
          <t>2026-07-28T08:38:55Z</t>
        </is>
      </c>
      <c r="C94" s="7" t="inlineStr">
        <is>
          <t>common</t>
        </is>
      </c>
      <c r="D94" s="7" t="inlineStr">
        <is>
          <t>guided_descriptive_prompt</t>
        </is>
      </c>
      <c r="E94" s="7" t="n">
        <v>11</v>
      </c>
      <c r="F94" s="7" t="inlineStr">
        <is>
          <t>gemini-3.5-flash</t>
        </is>
      </c>
      <c r="G94" s="7" t="n">
        <v>578</v>
      </c>
      <c r="H94" s="7" t="n">
        <v>281</v>
      </c>
      <c r="I94" s="7" t="n">
        <v>1516</v>
      </c>
      <c r="J94" s="7" t="inlineStr">
        <is>
          <t>sdk_usage_metadata</t>
        </is>
      </c>
      <c r="K94" s="7" t="inlineStr">
        <is>
          <t>success</t>
        </is>
      </c>
      <c r="L94" s="7" t="inlineStr"/>
      <c r="M94" s="7" t="n">
        <v>47</v>
      </c>
    </row>
    <row r="95" ht="34" customHeight="1">
      <c r="A95" s="7" t="n">
        <v>94</v>
      </c>
      <c r="B95" s="7" t="inlineStr">
        <is>
          <t>2026-07-28T08:39:01Z</t>
        </is>
      </c>
      <c r="C95" s="7" t="inlineStr">
        <is>
          <t>common</t>
        </is>
      </c>
      <c r="D95" s="7" t="inlineStr">
        <is>
          <t>guided_descriptive_prompt</t>
        </is>
      </c>
      <c r="E95" s="7" t="n">
        <v>11</v>
      </c>
      <c r="F95" s="7" t="inlineStr">
        <is>
          <t>gemini-3.5-flash</t>
        </is>
      </c>
      <c r="G95" s="7" t="n">
        <v>578</v>
      </c>
      <c r="H95" s="7" t="n">
        <v>351</v>
      </c>
      <c r="I95" s="7" t="n">
        <v>1694</v>
      </c>
      <c r="J95" s="7" t="inlineStr">
        <is>
          <t>sdk_usage_metadata</t>
        </is>
      </c>
      <c r="K95" s="7" t="inlineStr">
        <is>
          <t>success</t>
        </is>
      </c>
      <c r="L95" s="7" t="inlineStr"/>
      <c r="M95" s="7" t="n">
        <v>48</v>
      </c>
    </row>
    <row r="96" ht="34" customHeight="1">
      <c r="A96" s="7" t="n">
        <v>95</v>
      </c>
      <c r="B96" s="7" t="inlineStr">
        <is>
          <t>2026-07-28T08:39:09Z</t>
        </is>
      </c>
      <c r="C96" s="7" t="inlineStr">
        <is>
          <t>common</t>
        </is>
      </c>
      <c r="D96" s="7" t="inlineStr">
        <is>
          <t>guided_descriptive_prompt</t>
        </is>
      </c>
      <c r="E96" s="7" t="n">
        <v>11</v>
      </c>
      <c r="F96" s="7" t="inlineStr">
        <is>
          <t>gemini-3.5-flash</t>
        </is>
      </c>
      <c r="G96" s="7" t="n">
        <v>578</v>
      </c>
      <c r="H96" s="7" t="n">
        <v>282</v>
      </c>
      <c r="I96" s="7" t="n">
        <v>2065</v>
      </c>
      <c r="J96" s="7" t="inlineStr">
        <is>
          <t>sdk_usage_metadata</t>
        </is>
      </c>
      <c r="K96" s="7" t="inlineStr">
        <is>
          <t>success</t>
        </is>
      </c>
      <c r="L96" s="7" t="inlineStr"/>
      <c r="M96" s="7" t="n">
        <v>49</v>
      </c>
    </row>
    <row r="97" ht="34" customHeight="1">
      <c r="A97" s="7" t="n">
        <v>96</v>
      </c>
      <c r="B97" s="7" t="inlineStr">
        <is>
          <t>2026-07-28T08:39:18Z</t>
        </is>
      </c>
      <c r="C97" s="7" t="inlineStr">
        <is>
          <t>common</t>
        </is>
      </c>
      <c r="D97" s="7" t="inlineStr">
        <is>
          <t>guided_descriptive_prompt</t>
        </is>
      </c>
      <c r="E97" s="7" t="n">
        <v>11</v>
      </c>
      <c r="F97" s="7" t="inlineStr">
        <is>
          <t>gemini-3.5-flash</t>
        </is>
      </c>
      <c r="G97" s="7" t="n">
        <v>578</v>
      </c>
      <c r="H97" s="7" t="n">
        <v>349</v>
      </c>
      <c r="I97" s="7" t="n">
        <v>2182</v>
      </c>
      <c r="J97" s="7" t="inlineStr">
        <is>
          <t>sdk_usage_metadata</t>
        </is>
      </c>
      <c r="K97" s="7" t="inlineStr">
        <is>
          <t>success</t>
        </is>
      </c>
      <c r="L97" s="7" t="inlineStr"/>
      <c r="M97" s="7" t="n">
        <v>50</v>
      </c>
    </row>
    <row r="98" ht="34" customHeight="1">
      <c r="A98" s="7" t="n">
        <v>97</v>
      </c>
      <c r="B98" s="7" t="inlineStr">
        <is>
          <t>2026-07-28T08:39:25Z</t>
        </is>
      </c>
      <c r="C98" s="7" t="inlineStr">
        <is>
          <t>common</t>
        </is>
      </c>
      <c r="D98" s="7" t="inlineStr">
        <is>
          <t>guided_descriptive_prompt</t>
        </is>
      </c>
      <c r="E98" s="7" t="n">
        <v>11</v>
      </c>
      <c r="F98" s="7" t="inlineStr">
        <is>
          <t>gemini-3.5-flash</t>
        </is>
      </c>
      <c r="G98" s="7" t="n">
        <v>578</v>
      </c>
      <c r="H98" s="7" t="n">
        <v>336</v>
      </c>
      <c r="I98" s="7" t="n">
        <v>2081</v>
      </c>
      <c r="J98" s="7" t="inlineStr">
        <is>
          <t>sdk_usage_metadata</t>
        </is>
      </c>
      <c r="K98" s="7" t="inlineStr">
        <is>
          <t>success</t>
        </is>
      </c>
      <c r="L98" s="7" t="inlineStr"/>
      <c r="M98" s="7" t="n">
        <v>51</v>
      </c>
    </row>
    <row r="99" ht="34" customHeight="1">
      <c r="A99" s="7" t="n">
        <v>98</v>
      </c>
      <c r="B99" s="7" t="inlineStr">
        <is>
          <t>2026-07-28T08:39:32Z</t>
        </is>
      </c>
      <c r="C99" s="7" t="inlineStr">
        <is>
          <t>common</t>
        </is>
      </c>
      <c r="D99" s="7" t="inlineStr">
        <is>
          <t>guided_descriptive_prompt</t>
        </is>
      </c>
      <c r="E99" s="7" t="n">
        <v>11</v>
      </c>
      <c r="F99" s="7" t="inlineStr">
        <is>
          <t>gemini-3.5-flash</t>
        </is>
      </c>
      <c r="G99" s="7" t="n">
        <v>578</v>
      </c>
      <c r="H99" s="7" t="n">
        <v>310</v>
      </c>
      <c r="I99" s="7" t="n">
        <v>1580</v>
      </c>
      <c r="J99" s="7" t="inlineStr">
        <is>
          <t>sdk_usage_metadata</t>
        </is>
      </c>
      <c r="K99" s="7" t="inlineStr">
        <is>
          <t>success</t>
        </is>
      </c>
      <c r="L99" s="7" t="inlineStr"/>
      <c r="M99" s="7" t="n">
        <v>52</v>
      </c>
    </row>
    <row r="100" ht="34" customHeight="1">
      <c r="A100" s="7" t="n">
        <v>99</v>
      </c>
      <c r="B100" s="7" t="inlineStr">
        <is>
          <t>2026-07-28T08:39:39Z</t>
        </is>
      </c>
      <c r="C100" s="7" t="inlineStr">
        <is>
          <t>common</t>
        </is>
      </c>
      <c r="D100" s="7" t="inlineStr">
        <is>
          <t>guided_question_set</t>
        </is>
      </c>
      <c r="E100" s="7" t="n">
        <v>11</v>
      </c>
      <c r="F100" s="7" t="inlineStr">
        <is>
          <t>gemini-3.5-flash</t>
        </is>
      </c>
      <c r="G100" s="7" t="n">
        <v>1789</v>
      </c>
      <c r="H100" s="7" t="n">
        <v>331</v>
      </c>
      <c r="I100" s="7" t="n">
        <v>3493</v>
      </c>
      <c r="J100" s="7" t="inlineStr">
        <is>
          <t>sdk_usage_metadata</t>
        </is>
      </c>
      <c r="K100" s="7" t="inlineStr">
        <is>
          <t>success</t>
        </is>
      </c>
      <c r="L100" s="7" t="inlineStr"/>
      <c r="M100" s="7" t="n">
        <v>53</v>
      </c>
    </row>
    <row r="101" ht="34" customHeight="1">
      <c r="A101" s="7" t="n">
        <v>100</v>
      </c>
      <c r="B101" s="7" t="inlineStr">
        <is>
          <t>2026-07-28T08:39:44Z</t>
        </is>
      </c>
      <c r="C101" s="7" t="inlineStr">
        <is>
          <t>common</t>
        </is>
      </c>
      <c r="D101" s="7" t="inlineStr">
        <is>
          <t>guided_causal_engine</t>
        </is>
      </c>
      <c r="E101" s="7" t="n">
        <v>11</v>
      </c>
      <c r="F101" s="7" t="inlineStr">
        <is>
          <t>gemini-3.5-flash</t>
        </is>
      </c>
      <c r="G101" s="7" t="n">
        <v>924</v>
      </c>
      <c r="H101" s="7" t="n">
        <v>253</v>
      </c>
      <c r="I101" s="7" t="n">
        <v>2142</v>
      </c>
      <c r="J101" s="7" t="inlineStr">
        <is>
          <t>sdk_usage_metadata</t>
        </is>
      </c>
      <c r="K101" s="7" t="inlineStr">
        <is>
          <t>success</t>
        </is>
      </c>
      <c r="L101" s="7" t="inlineStr"/>
      <c r="M101" s="7" t="n">
        <v>54</v>
      </c>
    </row>
    <row r="102" ht="34" customHeight="1">
      <c r="A102" s="7" t="n">
        <v>101</v>
      </c>
      <c r="B102" s="7" t="inlineStr">
        <is>
          <t>2026-07-28T08:39:47Z</t>
        </is>
      </c>
      <c r="C102" s="7" t="inlineStr">
        <is>
          <t>vlm_guided</t>
        </is>
      </c>
      <c r="D102" s="7" t="inlineStr">
        <is>
          <t>vlm_guided_scoring</t>
        </is>
      </c>
      <c r="E102" s="7" t="n">
        <v>11</v>
      </c>
      <c r="F102" s="7" t="inlineStr">
        <is>
          <t>gemini-3.5-flash</t>
        </is>
      </c>
      <c r="G102" s="7" t="n">
        <v>1163</v>
      </c>
      <c r="H102" s="7" t="n">
        <v>97</v>
      </c>
      <c r="I102" s="7" t="n">
        <v>1881</v>
      </c>
      <c r="J102" s="7" t="inlineStr">
        <is>
          <t>sdk_usage_metadata</t>
        </is>
      </c>
      <c r="K102" s="7" t="inlineStr">
        <is>
          <t>success</t>
        </is>
      </c>
      <c r="L102" s="7" t="inlineStr"/>
      <c r="M102" s="7" t="n">
        <v>16</v>
      </c>
    </row>
    <row r="103" ht="34" customHeight="1">
      <c r="A103" s="7" t="n">
        <v>102</v>
      </c>
      <c r="B103" s="7" t="inlineStr">
        <is>
          <t>2026-07-28T08:40:24Z</t>
        </is>
      </c>
      <c r="C103" s="7" t="inlineStr">
        <is>
          <t>vlm_free</t>
        </is>
      </c>
      <c r="D103" s="7" t="inlineStr">
        <is>
          <t>vlm_free_descriptive_causal</t>
        </is>
      </c>
      <c r="E103" s="7" t="n">
        <v>12</v>
      </c>
      <c r="F103" s="7" t="inlineStr">
        <is>
          <t>gemini-3.5-flash</t>
        </is>
      </c>
      <c r="G103" s="7" t="n">
        <v>738</v>
      </c>
      <c r="H103" s="7" t="n">
        <v>526</v>
      </c>
      <c r="I103" s="7" t="n">
        <v>2698</v>
      </c>
      <c r="J103" s="7" t="inlineStr">
        <is>
          <t>sdk_usage_metadata</t>
        </is>
      </c>
      <c r="K103" s="7" t="inlineStr">
        <is>
          <t>success</t>
        </is>
      </c>
      <c r="L103" s="7" t="inlineStr"/>
      <c r="M103" s="7" t="n">
        <v>32</v>
      </c>
    </row>
    <row r="104" ht="34" customHeight="1">
      <c r="A104" s="7" t="n">
        <v>103</v>
      </c>
      <c r="B104" s="7" t="inlineStr">
        <is>
          <t>2026-07-28T08:40:27Z</t>
        </is>
      </c>
      <c r="C104" s="7" t="inlineStr">
        <is>
          <t>vlm_free</t>
        </is>
      </c>
      <c r="D104" s="7" t="inlineStr">
        <is>
          <t>vlm_free_scoring</t>
        </is>
      </c>
      <c r="E104" s="7" t="n">
        <v>12</v>
      </c>
      <c r="F104" s="7" t="inlineStr">
        <is>
          <t>gemini-3.5-flash</t>
        </is>
      </c>
      <c r="G104" s="7" t="n">
        <v>822</v>
      </c>
      <c r="H104" s="7" t="n">
        <v>112</v>
      </c>
      <c r="I104" s="7" t="n">
        <v>1589</v>
      </c>
      <c r="J104" s="7" t="inlineStr">
        <is>
          <t>sdk_usage_metadata</t>
        </is>
      </c>
      <c r="K104" s="7" t="inlineStr">
        <is>
          <t>success</t>
        </is>
      </c>
      <c r="L104" s="7" t="inlineStr"/>
      <c r="M104" s="7" t="n">
        <v>33</v>
      </c>
    </row>
    <row r="105" ht="34" customHeight="1">
      <c r="A105" s="7" t="n">
        <v>104</v>
      </c>
      <c r="B105" s="7" t="inlineStr">
        <is>
          <t>2026-07-28T08:40:32Z</t>
        </is>
      </c>
      <c r="C105" s="7" t="inlineStr">
        <is>
          <t>common</t>
        </is>
      </c>
      <c r="D105" s="7" t="inlineStr">
        <is>
          <t>guided_descriptive_prompt</t>
        </is>
      </c>
      <c r="E105" s="7" t="n">
        <v>12</v>
      </c>
      <c r="F105" s="7" t="inlineStr">
        <is>
          <t>gemini-3.5-flash</t>
        </is>
      </c>
      <c r="G105" s="7" t="n">
        <v>578</v>
      </c>
      <c r="H105" s="7" t="n">
        <v>329</v>
      </c>
      <c r="I105" s="7" t="n">
        <v>1717</v>
      </c>
      <c r="J105" s="7" t="inlineStr">
        <is>
          <t>sdk_usage_metadata</t>
        </is>
      </c>
      <c r="K105" s="7" t="inlineStr">
        <is>
          <t>success</t>
        </is>
      </c>
      <c r="L105" s="7" t="inlineStr"/>
      <c r="M105" s="7" t="n">
        <v>55</v>
      </c>
    </row>
    <row r="106" ht="34" customHeight="1">
      <c r="A106" s="7" t="n">
        <v>105</v>
      </c>
      <c r="B106" s="7" t="inlineStr">
        <is>
          <t>2026-07-28T08:40:38Z</t>
        </is>
      </c>
      <c r="C106" s="7" t="inlineStr">
        <is>
          <t>common</t>
        </is>
      </c>
      <c r="D106" s="7" t="inlineStr">
        <is>
          <t>guided_descriptive_prompt</t>
        </is>
      </c>
      <c r="E106" s="7" t="n">
        <v>12</v>
      </c>
      <c r="F106" s="7" t="inlineStr">
        <is>
          <t>gemini-3.5-flash</t>
        </is>
      </c>
      <c r="G106" s="7" t="n">
        <v>578</v>
      </c>
      <c r="H106" s="7" t="n">
        <v>312</v>
      </c>
      <c r="I106" s="7" t="n">
        <v>1677</v>
      </c>
      <c r="J106" s="7" t="inlineStr">
        <is>
          <t>sdk_usage_metadata</t>
        </is>
      </c>
      <c r="K106" s="7" t="inlineStr">
        <is>
          <t>success</t>
        </is>
      </c>
      <c r="L106" s="7" t="inlineStr"/>
      <c r="M106" s="7" t="n">
        <v>56</v>
      </c>
    </row>
    <row r="107" ht="34" customHeight="1">
      <c r="A107" s="7" t="n">
        <v>106</v>
      </c>
      <c r="B107" s="7" t="inlineStr">
        <is>
          <t>2026-07-28T08:40:46Z</t>
        </is>
      </c>
      <c r="C107" s="7" t="inlineStr">
        <is>
          <t>common</t>
        </is>
      </c>
      <c r="D107" s="7" t="inlineStr">
        <is>
          <t>guided_question_set</t>
        </is>
      </c>
      <c r="E107" s="7" t="n">
        <v>12</v>
      </c>
      <c r="F107" s="7" t="inlineStr">
        <is>
          <t>gemini-3.5-flash</t>
        </is>
      </c>
      <c r="G107" s="7" t="n">
        <v>1792</v>
      </c>
      <c r="H107" s="7" t="n">
        <v>310</v>
      </c>
      <c r="I107" s="7" t="n">
        <v>3741</v>
      </c>
      <c r="J107" s="7" t="inlineStr">
        <is>
          <t>sdk_usage_metadata</t>
        </is>
      </c>
      <c r="K107" s="7" t="inlineStr">
        <is>
          <t>success</t>
        </is>
      </c>
      <c r="L107" s="7" t="inlineStr"/>
      <c r="M107" s="7" t="n">
        <v>57</v>
      </c>
    </row>
    <row r="108" ht="34" customHeight="1">
      <c r="A108" s="7" t="n">
        <v>107</v>
      </c>
      <c r="B108" s="7" t="inlineStr">
        <is>
          <t>2026-07-28T08:40:53Z</t>
        </is>
      </c>
      <c r="C108" s="7" t="inlineStr">
        <is>
          <t>common</t>
        </is>
      </c>
      <c r="D108" s="7" t="inlineStr">
        <is>
          <t>guided_question_set</t>
        </is>
      </c>
      <c r="E108" s="7" t="n">
        <v>12</v>
      </c>
      <c r="F108" s="7" t="inlineStr">
        <is>
          <t>gemini-3.5-flash</t>
        </is>
      </c>
      <c r="G108" s="7" t="n">
        <v>1792</v>
      </c>
      <c r="H108" s="7" t="n">
        <v>367</v>
      </c>
      <c r="I108" s="7" t="n">
        <v>3560</v>
      </c>
      <c r="J108" s="7" t="inlineStr">
        <is>
          <t>sdk_usage_metadata</t>
        </is>
      </c>
      <c r="K108" s="7" t="inlineStr">
        <is>
          <t>success</t>
        </is>
      </c>
      <c r="L108" s="7" t="inlineStr"/>
      <c r="M108" s="7" t="n">
        <v>58</v>
      </c>
    </row>
    <row r="109" ht="34" customHeight="1">
      <c r="A109" s="7" t="n">
        <v>108</v>
      </c>
      <c r="B109" s="7" t="inlineStr">
        <is>
          <t>2026-07-28T08:40:58Z</t>
        </is>
      </c>
      <c r="C109" s="7" t="inlineStr">
        <is>
          <t>common</t>
        </is>
      </c>
      <c r="D109" s="7" t="inlineStr">
        <is>
          <t>guided_causal_engine</t>
        </is>
      </c>
      <c r="E109" s="7" t="n">
        <v>12</v>
      </c>
      <c r="F109" s="7" t="inlineStr">
        <is>
          <t>gemini-3.5-flash</t>
        </is>
      </c>
      <c r="G109" s="7" t="n">
        <v>964</v>
      </c>
      <c r="H109" s="7" t="n">
        <v>211</v>
      </c>
      <c r="I109" s="7" t="n">
        <v>2123</v>
      </c>
      <c r="J109" s="7" t="inlineStr">
        <is>
          <t>sdk_usage_metadata</t>
        </is>
      </c>
      <c r="K109" s="7" t="inlineStr">
        <is>
          <t>success</t>
        </is>
      </c>
      <c r="L109" s="7" t="inlineStr"/>
      <c r="M109" s="7" t="n">
        <v>59</v>
      </c>
    </row>
    <row r="110" ht="34" customHeight="1">
      <c r="A110" s="7" t="n">
        <v>109</v>
      </c>
      <c r="B110" s="7" t="inlineStr">
        <is>
          <t>2026-07-28T08:41:03Z</t>
        </is>
      </c>
      <c r="C110" s="7" t="inlineStr">
        <is>
          <t>vlm_guided</t>
        </is>
      </c>
      <c r="D110" s="7" t="inlineStr">
        <is>
          <t>vlm_guided_scoring</t>
        </is>
      </c>
      <c r="E110" s="7" t="n">
        <v>12</v>
      </c>
      <c r="F110" s="7" t="inlineStr">
        <is>
          <t>gemini-3.5-flash</t>
        </is>
      </c>
      <c r="G110" s="7" t="n">
        <v>1162</v>
      </c>
      <c r="H110" s="7" t="n">
        <v>96</v>
      </c>
      <c r="I110" s="7" t="n">
        <v>2062</v>
      </c>
      <c r="J110" s="7" t="inlineStr">
        <is>
          <t>sdk_usage_metadata</t>
        </is>
      </c>
      <c r="K110" s="7" t="inlineStr">
        <is>
          <t>success</t>
        </is>
      </c>
      <c r="L110" s="7" t="inlineStr"/>
      <c r="M110" s="7" t="n">
        <v>17</v>
      </c>
    </row>
    <row r="111" ht="34" customHeight="1">
      <c r="A111" s="7" t="n">
        <v>110</v>
      </c>
      <c r="B111" s="7" t="inlineStr">
        <is>
          <t>2026-07-28T08:41:35Z</t>
        </is>
      </c>
      <c r="C111" s="7" t="inlineStr">
        <is>
          <t>vlm_free</t>
        </is>
      </c>
      <c r="D111" s="7" t="inlineStr">
        <is>
          <t>vlm_free_descriptive_causal</t>
        </is>
      </c>
      <c r="E111" s="7" t="n">
        <v>13</v>
      </c>
      <c r="F111" s="7" t="inlineStr">
        <is>
          <t>gemini-3.5-flash</t>
        </is>
      </c>
      <c r="G111" s="7" t="n">
        <v>738</v>
      </c>
      <c r="H111" s="7" t="n">
        <v>451</v>
      </c>
      <c r="I111" s="7" t="n">
        <v>2577</v>
      </c>
      <c r="J111" s="7" t="inlineStr">
        <is>
          <t>sdk_usage_metadata</t>
        </is>
      </c>
      <c r="K111" s="7" t="inlineStr">
        <is>
          <t>success</t>
        </is>
      </c>
      <c r="L111" s="7" t="inlineStr"/>
      <c r="M111" s="7" t="n">
        <v>34</v>
      </c>
    </row>
    <row r="112" ht="34" customHeight="1">
      <c r="A112" s="7" t="n">
        <v>111</v>
      </c>
      <c r="B112" s="7" t="inlineStr">
        <is>
          <t>2026-07-28T08:41:39Z</t>
        </is>
      </c>
      <c r="C112" s="7" t="inlineStr">
        <is>
          <t>vlm_free</t>
        </is>
      </c>
      <c r="D112" s="7" t="inlineStr">
        <is>
          <t>vlm_free_scoring</t>
        </is>
      </c>
      <c r="E112" s="7" t="n">
        <v>13</v>
      </c>
      <c r="F112" s="7" t="inlineStr">
        <is>
          <t>gemini-3.5-flash</t>
        </is>
      </c>
      <c r="G112" s="7" t="n">
        <v>747</v>
      </c>
      <c r="H112" s="7" t="n">
        <v>113</v>
      </c>
      <c r="I112" s="7" t="n">
        <v>1566</v>
      </c>
      <c r="J112" s="7" t="inlineStr">
        <is>
          <t>sdk_usage_metadata</t>
        </is>
      </c>
      <c r="K112" s="7" t="inlineStr">
        <is>
          <t>success</t>
        </is>
      </c>
      <c r="L112" s="7" t="inlineStr"/>
      <c r="M112" s="7" t="n">
        <v>35</v>
      </c>
    </row>
    <row r="113" ht="34" customHeight="1">
      <c r="A113" s="7" t="n">
        <v>112</v>
      </c>
      <c r="B113" s="7" t="inlineStr">
        <is>
          <t>2026-07-28T08:41:45Z</t>
        </is>
      </c>
      <c r="C113" s="7" t="inlineStr">
        <is>
          <t>common</t>
        </is>
      </c>
      <c r="D113" s="7" t="inlineStr">
        <is>
          <t>guided_descriptive_prompt</t>
        </is>
      </c>
      <c r="E113" s="7" t="n">
        <v>13</v>
      </c>
      <c r="F113" s="7" t="inlineStr">
        <is>
          <t>gemini-3.5-flash</t>
        </is>
      </c>
      <c r="G113" s="7" t="n">
        <v>578</v>
      </c>
      <c r="H113" s="7" t="n">
        <v>349</v>
      </c>
      <c r="I113" s="7" t="n">
        <v>1942</v>
      </c>
      <c r="J113" s="7" t="inlineStr">
        <is>
          <t>sdk_usage_metadata</t>
        </is>
      </c>
      <c r="K113" s="7" t="inlineStr">
        <is>
          <t>success</t>
        </is>
      </c>
      <c r="L113" s="7" t="inlineStr"/>
      <c r="M113" s="7" t="n">
        <v>60</v>
      </c>
    </row>
    <row r="114" ht="34" customHeight="1">
      <c r="A114" s="7" t="n">
        <v>113</v>
      </c>
      <c r="B114" s="7" t="inlineStr">
        <is>
          <t>2026-07-28T08:41:53Z</t>
        </is>
      </c>
      <c r="C114" s="7" t="inlineStr">
        <is>
          <t>common</t>
        </is>
      </c>
      <c r="D114" s="7" t="inlineStr">
        <is>
          <t>guided_question_set</t>
        </is>
      </c>
      <c r="E114" s="7" t="n">
        <v>13</v>
      </c>
      <c r="F114" s="7" t="inlineStr">
        <is>
          <t>gemini-3.5-flash</t>
        </is>
      </c>
      <c r="G114" s="7" t="n">
        <v>1829</v>
      </c>
      <c r="H114" s="7" t="n">
        <v>358</v>
      </c>
      <c r="I114" s="7" t="n">
        <v>3945</v>
      </c>
      <c r="J114" s="7" t="inlineStr">
        <is>
          <t>sdk_usage_metadata</t>
        </is>
      </c>
      <c r="K114" s="7" t="inlineStr">
        <is>
          <t>success</t>
        </is>
      </c>
      <c r="L114" s="7" t="inlineStr"/>
      <c r="M114" s="7" t="n">
        <v>61</v>
      </c>
    </row>
    <row r="115" ht="34" customHeight="1">
      <c r="A115" s="7" t="n">
        <v>114</v>
      </c>
      <c r="B115" s="7" t="inlineStr">
        <is>
          <t>2026-07-28T08:41:59Z</t>
        </is>
      </c>
      <c r="C115" s="7" t="inlineStr">
        <is>
          <t>common</t>
        </is>
      </c>
      <c r="D115" s="7" t="inlineStr">
        <is>
          <t>guided_causal_engine</t>
        </is>
      </c>
      <c r="E115" s="7" t="n">
        <v>13</v>
      </c>
      <c r="F115" s="7" t="inlineStr">
        <is>
          <t>gemini-3.5-flash</t>
        </is>
      </c>
      <c r="G115" s="7" t="n">
        <v>992</v>
      </c>
      <c r="H115" s="7" t="n">
        <v>249</v>
      </c>
      <c r="I115" s="7" t="n">
        <v>2317</v>
      </c>
      <c r="J115" s="7" t="inlineStr">
        <is>
          <t>sdk_usage_metadata</t>
        </is>
      </c>
      <c r="K115" s="7" t="inlineStr">
        <is>
          <t>success</t>
        </is>
      </c>
      <c r="L115" s="7" t="inlineStr"/>
      <c r="M115" s="7" t="n">
        <v>62</v>
      </c>
    </row>
    <row r="116" ht="34" customHeight="1">
      <c r="A116" s="7" t="n">
        <v>115</v>
      </c>
      <c r="B116" s="7" t="inlineStr">
        <is>
          <t>2026-07-28T08:42:03Z</t>
        </is>
      </c>
      <c r="C116" s="7" t="inlineStr">
        <is>
          <t>vlm_guided</t>
        </is>
      </c>
      <c r="D116" s="7" t="inlineStr">
        <is>
          <t>vlm_guided_scoring</t>
        </is>
      </c>
      <c r="E116" s="7" t="n">
        <v>13</v>
      </c>
      <c r="F116" s="7" t="inlineStr">
        <is>
          <t>gemini-3.5-flash</t>
        </is>
      </c>
      <c r="G116" s="7" t="n">
        <v>1228</v>
      </c>
      <c r="H116" s="7" t="n">
        <v>107</v>
      </c>
      <c r="I116" s="7" t="n">
        <v>2195</v>
      </c>
      <c r="J116" s="7" t="inlineStr">
        <is>
          <t>sdk_usage_metadata</t>
        </is>
      </c>
      <c r="K116" s="7" t="inlineStr">
        <is>
          <t>success</t>
        </is>
      </c>
      <c r="L116" s="7" t="inlineStr"/>
      <c r="M116" s="7" t="n">
        <v>18</v>
      </c>
    </row>
    <row r="117" ht="34" customHeight="1">
      <c r="A117" s="7" t="n">
        <v>116</v>
      </c>
      <c r="B117" s="7" t="inlineStr">
        <is>
          <t>2026-07-28T08:42:35Z</t>
        </is>
      </c>
      <c r="C117" s="7" t="inlineStr">
        <is>
          <t>vlm_free</t>
        </is>
      </c>
      <c r="D117" s="7" t="inlineStr">
        <is>
          <t>vlm_free_descriptive_causal</t>
        </is>
      </c>
      <c r="E117" s="7" t="n">
        <v>14</v>
      </c>
      <c r="F117" s="7" t="inlineStr">
        <is>
          <t>gemini-3.5-flash</t>
        </is>
      </c>
      <c r="G117" s="7" t="n">
        <v>738</v>
      </c>
      <c r="H117" s="7" t="n">
        <v>411</v>
      </c>
      <c r="I117" s="7" t="n">
        <v>2534</v>
      </c>
      <c r="J117" s="7" t="inlineStr">
        <is>
          <t>sdk_usage_metadata</t>
        </is>
      </c>
      <c r="K117" s="7" t="inlineStr">
        <is>
          <t>success</t>
        </is>
      </c>
      <c r="L117" s="7" t="inlineStr"/>
      <c r="M117" s="7" t="n">
        <v>36</v>
      </c>
    </row>
    <row r="118" ht="34" customHeight="1">
      <c r="A118" s="7" t="n">
        <v>117</v>
      </c>
      <c r="B118" s="7" t="inlineStr">
        <is>
          <t>2026-07-28T08:42:39Z</t>
        </is>
      </c>
      <c r="C118" s="7" t="inlineStr">
        <is>
          <t>vlm_free</t>
        </is>
      </c>
      <c r="D118" s="7" t="inlineStr">
        <is>
          <t>vlm_free_scoring</t>
        </is>
      </c>
      <c r="E118" s="7" t="n">
        <v>14</v>
      </c>
      <c r="F118" s="7" t="inlineStr">
        <is>
          <t>gemini-3.5-flash</t>
        </is>
      </c>
      <c r="G118" s="7" t="n">
        <v>706</v>
      </c>
      <c r="H118" s="7" t="n">
        <v>117</v>
      </c>
      <c r="I118" s="7" t="n">
        <v>1335</v>
      </c>
      <c r="J118" s="7" t="inlineStr">
        <is>
          <t>sdk_usage_metadata</t>
        </is>
      </c>
      <c r="K118" s="7" t="inlineStr">
        <is>
          <t>success</t>
        </is>
      </c>
      <c r="L118" s="7" t="inlineStr"/>
      <c r="M118" s="7" t="n">
        <v>37</v>
      </c>
    </row>
    <row r="119" ht="34" customHeight="1">
      <c r="A119" s="7" t="n">
        <v>118</v>
      </c>
      <c r="B119" s="7" t="inlineStr">
        <is>
          <t>2026-07-28T08:42:44Z</t>
        </is>
      </c>
      <c r="C119" s="7" t="inlineStr">
        <is>
          <t>common</t>
        </is>
      </c>
      <c r="D119" s="7" t="inlineStr">
        <is>
          <t>guided_descriptive_prompt</t>
        </is>
      </c>
      <c r="E119" s="7" t="n">
        <v>14</v>
      </c>
      <c r="F119" s="7" t="inlineStr">
        <is>
          <t>gemini-3.5-flash</t>
        </is>
      </c>
      <c r="G119" s="7" t="n">
        <v>578</v>
      </c>
      <c r="H119" s="7" t="n">
        <v>299</v>
      </c>
      <c r="I119" s="7" t="n">
        <v>1813</v>
      </c>
      <c r="J119" s="7" t="inlineStr">
        <is>
          <t>sdk_usage_metadata</t>
        </is>
      </c>
      <c r="K119" s="7" t="inlineStr">
        <is>
          <t>success</t>
        </is>
      </c>
      <c r="L119" s="7" t="inlineStr"/>
      <c r="M119" s="7" t="n">
        <v>63</v>
      </c>
    </row>
    <row r="120" ht="34" customHeight="1">
      <c r="A120" s="7" t="n">
        <v>119</v>
      </c>
      <c r="B120" s="7" t="inlineStr">
        <is>
          <t>2026-07-28T08:42:51Z</t>
        </is>
      </c>
      <c r="C120" s="7" t="inlineStr">
        <is>
          <t>common</t>
        </is>
      </c>
      <c r="D120" s="7" t="inlineStr">
        <is>
          <t>guided_question_set</t>
        </is>
      </c>
      <c r="E120" s="7" t="n">
        <v>14</v>
      </c>
      <c r="F120" s="7" t="inlineStr">
        <is>
          <t>gemini-3.5-flash</t>
        </is>
      </c>
      <c r="G120" s="7" t="n">
        <v>1779</v>
      </c>
      <c r="H120" s="7" t="n">
        <v>296</v>
      </c>
      <c r="I120" s="7" t="n">
        <v>3413</v>
      </c>
      <c r="J120" s="7" t="inlineStr">
        <is>
          <t>sdk_usage_metadata</t>
        </is>
      </c>
      <c r="K120" s="7" t="inlineStr">
        <is>
          <t>success</t>
        </is>
      </c>
      <c r="L120" s="7" t="inlineStr"/>
      <c r="M120" s="7" t="n">
        <v>64</v>
      </c>
    </row>
    <row r="121" ht="34" customHeight="1">
      <c r="A121" s="7" t="n">
        <v>120</v>
      </c>
      <c r="B121" s="7" t="inlineStr">
        <is>
          <t>2026-07-28T08:42:59Z</t>
        </is>
      </c>
      <c r="C121" s="7" t="inlineStr">
        <is>
          <t>common</t>
        </is>
      </c>
      <c r="D121" s="7" t="inlineStr">
        <is>
          <t>guided_question_set</t>
        </is>
      </c>
      <c r="E121" s="7" t="n">
        <v>14</v>
      </c>
      <c r="F121" s="7" t="inlineStr">
        <is>
          <t>gemini-3.5-flash</t>
        </is>
      </c>
      <c r="G121" s="7" t="n">
        <v>1779</v>
      </c>
      <c r="H121" s="7" t="n">
        <v>303</v>
      </c>
      <c r="I121" s="7" t="n">
        <v>3404</v>
      </c>
      <c r="J121" s="7" t="inlineStr">
        <is>
          <t>sdk_usage_metadata</t>
        </is>
      </c>
      <c r="K121" s="7" t="inlineStr">
        <is>
          <t>success</t>
        </is>
      </c>
      <c r="L121" s="7" t="inlineStr"/>
      <c r="M121" s="7" t="n">
        <v>65</v>
      </c>
    </row>
    <row r="122" ht="34" customHeight="1">
      <c r="A122" s="7" t="n">
        <v>121</v>
      </c>
      <c r="B122" s="7" t="inlineStr">
        <is>
          <t>2026-07-28T08:43:03Z</t>
        </is>
      </c>
      <c r="C122" s="7" t="inlineStr">
        <is>
          <t>common</t>
        </is>
      </c>
      <c r="D122" s="7" t="inlineStr">
        <is>
          <t>guided_causal_engine</t>
        </is>
      </c>
      <c r="E122" s="7" t="n">
        <v>14</v>
      </c>
      <c r="F122" s="7" t="inlineStr">
        <is>
          <t>gemini-3.5-flash</t>
        </is>
      </c>
      <c r="G122" s="7" t="n">
        <v>887</v>
      </c>
      <c r="H122" s="7" t="n">
        <v>48</v>
      </c>
      <c r="I122" s="7" t="n">
        <v>1752</v>
      </c>
      <c r="J122" s="7" t="inlineStr">
        <is>
          <t>sdk_usage_metadata</t>
        </is>
      </c>
      <c r="K122" s="7" t="inlineStr">
        <is>
          <t>success</t>
        </is>
      </c>
      <c r="L122" s="7" t="inlineStr"/>
      <c r="M122" s="7" t="n">
        <v>66</v>
      </c>
    </row>
    <row r="123" ht="34" customHeight="1">
      <c r="A123" s="7" t="n">
        <v>122</v>
      </c>
      <c r="B123" s="7" t="inlineStr">
        <is>
          <t>2026-07-28T08:43:09Z</t>
        </is>
      </c>
      <c r="C123" s="7" t="inlineStr">
        <is>
          <t>common</t>
        </is>
      </c>
      <c r="D123" s="7" t="inlineStr">
        <is>
          <t>guided_causal_engine</t>
        </is>
      </c>
      <c r="E123" s="7" t="n">
        <v>14</v>
      </c>
      <c r="F123" s="7" t="inlineStr">
        <is>
          <t>gemini-3.5-flash</t>
        </is>
      </c>
      <c r="G123" s="7" t="n">
        <v>887</v>
      </c>
      <c r="H123" s="7" t="n">
        <v>111</v>
      </c>
      <c r="I123" s="7" t="n">
        <v>1917</v>
      </c>
      <c r="J123" s="7" t="inlineStr">
        <is>
          <t>sdk_usage_metadata</t>
        </is>
      </c>
      <c r="K123" s="7" t="inlineStr">
        <is>
          <t>success</t>
        </is>
      </c>
      <c r="L123" s="7" t="inlineStr"/>
      <c r="M123" s="7" t="n">
        <v>67</v>
      </c>
    </row>
    <row r="124" ht="34" customHeight="1">
      <c r="A124" s="7" t="n">
        <v>123</v>
      </c>
      <c r="B124" s="7" t="inlineStr">
        <is>
          <t>2026-07-28T08:43:12Z</t>
        </is>
      </c>
      <c r="C124" s="7" t="inlineStr">
        <is>
          <t>vlm_guided</t>
        </is>
      </c>
      <c r="D124" s="7" t="inlineStr">
        <is>
          <t>vlm_guided_scoring</t>
        </is>
      </c>
      <c r="E124" s="7" t="n">
        <v>14</v>
      </c>
      <c r="F124" s="7" t="inlineStr">
        <is>
          <t>gemini-3.5-flash</t>
        </is>
      </c>
      <c r="G124" s="7" t="n">
        <v>985</v>
      </c>
      <c r="H124" s="7" t="n">
        <v>77</v>
      </c>
      <c r="I124" s="7" t="n">
        <v>1782</v>
      </c>
      <c r="J124" s="7" t="inlineStr">
        <is>
          <t>sdk_usage_metadata</t>
        </is>
      </c>
      <c r="K124" s="7" t="inlineStr">
        <is>
          <t>success</t>
        </is>
      </c>
      <c r="L124" s="7" t="inlineStr"/>
      <c r="M124" s="7" t="n">
        <v>19</v>
      </c>
    </row>
    <row r="125" ht="34" customHeight="1">
      <c r="A125" s="7" t="n">
        <v>124</v>
      </c>
      <c r="B125" s="7" t="inlineStr">
        <is>
          <t>2026-07-28T08:43:45Z</t>
        </is>
      </c>
      <c r="C125" s="7" t="inlineStr">
        <is>
          <t>vlm_free</t>
        </is>
      </c>
      <c r="D125" s="7" t="inlineStr">
        <is>
          <t>vlm_free_descriptive_causal</t>
        </is>
      </c>
      <c r="E125" s="7" t="n">
        <v>15</v>
      </c>
      <c r="F125" s="7" t="inlineStr">
        <is>
          <t>gemini-3.5-flash</t>
        </is>
      </c>
      <c r="G125" s="7" t="n">
        <v>738</v>
      </c>
      <c r="H125" s="7" t="n">
        <v>471</v>
      </c>
      <c r="I125" s="7" t="n">
        <v>2562</v>
      </c>
      <c r="J125" s="7" t="inlineStr">
        <is>
          <t>sdk_usage_metadata</t>
        </is>
      </c>
      <c r="K125" s="7" t="inlineStr">
        <is>
          <t>success</t>
        </is>
      </c>
      <c r="L125" s="7" t="inlineStr"/>
      <c r="M125" s="7" t="n">
        <v>38</v>
      </c>
    </row>
    <row r="126" ht="34" customHeight="1">
      <c r="A126" s="7" t="n">
        <v>125</v>
      </c>
      <c r="B126" s="7" t="inlineStr">
        <is>
          <t>2026-07-28T08:43:49Z</t>
        </is>
      </c>
      <c r="C126" s="7" t="inlineStr">
        <is>
          <t>vlm_free</t>
        </is>
      </c>
      <c r="D126" s="7" t="inlineStr">
        <is>
          <t>vlm_free_scoring</t>
        </is>
      </c>
      <c r="E126" s="7" t="n">
        <v>15</v>
      </c>
      <c r="F126" s="7" t="inlineStr">
        <is>
          <t>gemini-3.5-flash</t>
        </is>
      </c>
      <c r="G126" s="7" t="n">
        <v>766</v>
      </c>
      <c r="H126" s="7" t="n">
        <v>111</v>
      </c>
      <c r="I126" s="7" t="n">
        <v>1621</v>
      </c>
      <c r="J126" s="7" t="inlineStr">
        <is>
          <t>sdk_usage_metadata</t>
        </is>
      </c>
      <c r="K126" s="7" t="inlineStr">
        <is>
          <t>success</t>
        </is>
      </c>
      <c r="L126" s="7" t="inlineStr"/>
      <c r="M126" s="7" t="n">
        <v>39</v>
      </c>
    </row>
    <row r="127" ht="34" customHeight="1">
      <c r="A127" s="7" t="n">
        <v>126</v>
      </c>
      <c r="B127" s="7" t="inlineStr">
        <is>
          <t>2026-07-28T08:43:55Z</t>
        </is>
      </c>
      <c r="C127" s="7" t="inlineStr">
        <is>
          <t>common</t>
        </is>
      </c>
      <c r="D127" s="7" t="inlineStr">
        <is>
          <t>guided_descriptive_prompt</t>
        </is>
      </c>
      <c r="E127" s="7" t="n">
        <v>15</v>
      </c>
      <c r="F127" s="7" t="inlineStr">
        <is>
          <t>gemini-3.5-flash</t>
        </is>
      </c>
      <c r="G127" s="7" t="n">
        <v>578</v>
      </c>
      <c r="H127" s="7" t="n">
        <v>321</v>
      </c>
      <c r="I127" s="7" t="n">
        <v>1696</v>
      </c>
      <c r="J127" s="7" t="inlineStr">
        <is>
          <t>sdk_usage_metadata</t>
        </is>
      </c>
      <c r="K127" s="7" t="inlineStr">
        <is>
          <t>success</t>
        </is>
      </c>
      <c r="L127" s="7" t="inlineStr"/>
      <c r="M127" s="7" t="n">
        <v>68</v>
      </c>
    </row>
    <row r="128" ht="34" customHeight="1">
      <c r="A128" s="7" t="n">
        <v>127</v>
      </c>
      <c r="B128" s="7" t="inlineStr">
        <is>
          <t>2026-07-28T08:44:02Z</t>
        </is>
      </c>
      <c r="C128" s="7" t="inlineStr">
        <is>
          <t>common</t>
        </is>
      </c>
      <c r="D128" s="7" t="inlineStr">
        <is>
          <t>guided_question_set</t>
        </is>
      </c>
      <c r="E128" s="7" t="n">
        <v>15</v>
      </c>
      <c r="F128" s="7" t="inlineStr">
        <is>
          <t>gemini-3.5-flash</t>
        </is>
      </c>
      <c r="G128" s="7" t="n">
        <v>1801</v>
      </c>
      <c r="H128" s="7" t="n">
        <v>264</v>
      </c>
      <c r="I128" s="7" t="n">
        <v>3342</v>
      </c>
      <c r="J128" s="7" t="inlineStr">
        <is>
          <t>sdk_usage_metadata</t>
        </is>
      </c>
      <c r="K128" s="7" t="inlineStr">
        <is>
          <t>success</t>
        </is>
      </c>
      <c r="L128" s="7" t="inlineStr"/>
      <c r="M128" s="7" t="n">
        <v>69</v>
      </c>
    </row>
    <row r="129" ht="34" customHeight="1">
      <c r="A129" s="7" t="n">
        <v>128</v>
      </c>
      <c r="B129" s="7" t="inlineStr">
        <is>
          <t>2026-07-28T08:44:08Z</t>
        </is>
      </c>
      <c r="C129" s="7" t="inlineStr">
        <is>
          <t>common</t>
        </is>
      </c>
      <c r="D129" s="7" t="inlineStr">
        <is>
          <t>guided_causal_engine</t>
        </is>
      </c>
      <c r="E129" s="7" t="n">
        <v>15</v>
      </c>
      <c r="F129" s="7" t="inlineStr">
        <is>
          <t>gemini-3.5-flash</t>
        </is>
      </c>
      <c r="G129" s="7" t="n">
        <v>870</v>
      </c>
      <c r="H129" s="7" t="n">
        <v>217</v>
      </c>
      <c r="I129" s="7" t="n">
        <v>2230</v>
      </c>
      <c r="J129" s="7" t="inlineStr">
        <is>
          <t>sdk_usage_metadata</t>
        </is>
      </c>
      <c r="K129" s="7" t="inlineStr">
        <is>
          <t>success</t>
        </is>
      </c>
      <c r="L129" s="7" t="inlineStr"/>
      <c r="M129" s="7" t="n">
        <v>70</v>
      </c>
    </row>
    <row r="130" ht="34" customHeight="1">
      <c r="A130" s="7" t="n">
        <v>129</v>
      </c>
      <c r="B130" s="7" t="inlineStr">
        <is>
          <t>2026-07-28T08:44:12Z</t>
        </is>
      </c>
      <c r="C130" s="7" t="inlineStr">
        <is>
          <t>vlm_guided</t>
        </is>
      </c>
      <c r="D130" s="7" t="inlineStr">
        <is>
          <t>vlm_guided_scoring</t>
        </is>
      </c>
      <c r="E130" s="7" t="n">
        <v>15</v>
      </c>
      <c r="F130" s="7" t="inlineStr">
        <is>
          <t>gemini-3.5-flash</t>
        </is>
      </c>
      <c r="G130" s="7" t="n">
        <v>1074</v>
      </c>
      <c r="H130" s="7" t="n">
        <v>101</v>
      </c>
      <c r="I130" s="7" t="n">
        <v>2019</v>
      </c>
      <c r="J130" s="7" t="inlineStr">
        <is>
          <t>sdk_usage_metadata</t>
        </is>
      </c>
      <c r="K130" s="7" t="inlineStr">
        <is>
          <t>success</t>
        </is>
      </c>
      <c r="L130" s="7" t="inlineStr"/>
      <c r="M130" s="7" t="n">
        <v>20</v>
      </c>
    </row>
    <row r="131" ht="34" customHeight="1">
      <c r="A131" s="7" t="n">
        <v>130</v>
      </c>
      <c r="B131" s="7" t="inlineStr">
        <is>
          <t>2026-07-28T08:44:35Z</t>
        </is>
      </c>
      <c r="C131" s="7" t="inlineStr">
        <is>
          <t>vlm_free</t>
        </is>
      </c>
      <c r="D131" s="7" t="inlineStr">
        <is>
          <t>vlm_free_descriptive_causal</t>
        </is>
      </c>
      <c r="E131" s="7" t="n">
        <v>16</v>
      </c>
      <c r="F131" s="7" t="inlineStr">
        <is>
          <t>gemini-3.5-flash</t>
        </is>
      </c>
      <c r="G131" s="7" t="n">
        <v>606</v>
      </c>
      <c r="H131" s="7" t="n">
        <v>503</v>
      </c>
      <c r="I131" s="7" t="n">
        <v>1946</v>
      </c>
      <c r="J131" s="7" t="inlineStr">
        <is>
          <t>sdk_usage_metadata</t>
        </is>
      </c>
      <c r="K131" s="7" t="inlineStr">
        <is>
          <t>success</t>
        </is>
      </c>
      <c r="L131" s="7" t="inlineStr"/>
      <c r="M131" s="7" t="n">
        <v>40</v>
      </c>
    </row>
    <row r="132" ht="34" customHeight="1">
      <c r="A132" s="7" t="n">
        <v>131</v>
      </c>
      <c r="B132" s="7" t="inlineStr">
        <is>
          <t>2026-07-28T08:44:40Z</t>
        </is>
      </c>
      <c r="C132" s="7" t="inlineStr">
        <is>
          <t>vlm_free</t>
        </is>
      </c>
      <c r="D132" s="7" t="inlineStr">
        <is>
          <t>vlm_free_scoring</t>
        </is>
      </c>
      <c r="E132" s="7" t="n">
        <v>16</v>
      </c>
      <c r="F132" s="7" t="inlineStr">
        <is>
          <t>gemini-3.5-flash</t>
        </is>
      </c>
      <c r="G132" s="7" t="n">
        <v>799</v>
      </c>
      <c r="H132" s="7" t="n">
        <v>135</v>
      </c>
      <c r="I132" s="7" t="n">
        <v>1786</v>
      </c>
      <c r="J132" s="7" t="inlineStr">
        <is>
          <t>sdk_usage_metadata</t>
        </is>
      </c>
      <c r="K132" s="7" t="inlineStr">
        <is>
          <t>success</t>
        </is>
      </c>
      <c r="L132" s="7" t="inlineStr"/>
      <c r="M132" s="7" t="n">
        <v>41</v>
      </c>
    </row>
    <row r="133" ht="34" customHeight="1">
      <c r="A133" s="7" t="n">
        <v>132</v>
      </c>
      <c r="B133" s="7" t="inlineStr">
        <is>
          <t>2026-07-28T08:44:46Z</t>
        </is>
      </c>
      <c r="C133" s="7" t="inlineStr">
        <is>
          <t>vlm_free</t>
        </is>
      </c>
      <c r="D133" s="7" t="inlineStr">
        <is>
          <t>vlm_free_scoring</t>
        </is>
      </c>
      <c r="E133" s="7" t="n">
        <v>16</v>
      </c>
      <c r="F133" s="7" t="inlineStr">
        <is>
          <t>gemini-3.5-flash</t>
        </is>
      </c>
      <c r="G133" s="7" t="n">
        <v>799</v>
      </c>
      <c r="H133" s="7" t="n">
        <v>161</v>
      </c>
      <c r="I133" s="7" t="n">
        <v>1929</v>
      </c>
      <c r="J133" s="7" t="inlineStr">
        <is>
          <t>sdk_usage_metadata</t>
        </is>
      </c>
      <c r="K133" s="7" t="inlineStr">
        <is>
          <t>success</t>
        </is>
      </c>
      <c r="L133" s="7" t="inlineStr"/>
      <c r="M133" s="7" t="n">
        <v>42</v>
      </c>
    </row>
    <row r="134" ht="34" customHeight="1">
      <c r="A134" s="7" t="n">
        <v>133</v>
      </c>
      <c r="B134" s="7" t="inlineStr">
        <is>
          <t>2026-07-28T08:44:52Z</t>
        </is>
      </c>
      <c r="C134" s="7" t="inlineStr">
        <is>
          <t>vlm_free</t>
        </is>
      </c>
      <c r="D134" s="7" t="inlineStr">
        <is>
          <t>vlm_free_scoring</t>
        </is>
      </c>
      <c r="E134" s="7" t="n">
        <v>16</v>
      </c>
      <c r="F134" s="7" t="inlineStr">
        <is>
          <t>gemini-3.5-flash</t>
        </is>
      </c>
      <c r="G134" s="7" t="n">
        <v>799</v>
      </c>
      <c r="H134" s="7" t="n">
        <v>122</v>
      </c>
      <c r="I134" s="7" t="n">
        <v>1679</v>
      </c>
      <c r="J134" s="7" t="inlineStr">
        <is>
          <t>sdk_usage_metadata</t>
        </is>
      </c>
      <c r="K134" s="7" t="inlineStr">
        <is>
          <t>success</t>
        </is>
      </c>
      <c r="L134" s="7" t="inlineStr"/>
      <c r="M134" s="7" t="n">
        <v>43</v>
      </c>
    </row>
    <row r="135" ht="34" customHeight="1">
      <c r="A135" s="7" t="n">
        <v>134</v>
      </c>
      <c r="B135" s="7" t="inlineStr">
        <is>
          <t>2026-07-28T08:44:58Z</t>
        </is>
      </c>
      <c r="C135" s="7" t="inlineStr">
        <is>
          <t>common</t>
        </is>
      </c>
      <c r="D135" s="7" t="inlineStr">
        <is>
          <t>guided_descriptive_prompt</t>
        </is>
      </c>
      <c r="E135" s="7" t="n">
        <v>16</v>
      </c>
      <c r="F135" s="7" t="inlineStr">
        <is>
          <t>gemini-3.5-flash</t>
        </is>
      </c>
      <c r="G135" s="7" t="n">
        <v>446</v>
      </c>
      <c r="H135" s="7" t="n">
        <v>298</v>
      </c>
      <c r="I135" s="7" t="n">
        <v>1671</v>
      </c>
      <c r="J135" s="7" t="inlineStr">
        <is>
          <t>sdk_usage_metadata</t>
        </is>
      </c>
      <c r="K135" s="7" t="inlineStr">
        <is>
          <t>success</t>
        </is>
      </c>
      <c r="L135" s="7" t="inlineStr"/>
      <c r="M135" s="7" t="n">
        <v>71</v>
      </c>
    </row>
    <row r="136" ht="34" customHeight="1">
      <c r="A136" s="7" t="n">
        <v>135</v>
      </c>
      <c r="B136" s="7" t="inlineStr">
        <is>
          <t>2026-07-28T08:45:05Z</t>
        </is>
      </c>
      <c r="C136" s="7" t="inlineStr">
        <is>
          <t>common</t>
        </is>
      </c>
      <c r="D136" s="7" t="inlineStr">
        <is>
          <t>guided_question_set</t>
        </is>
      </c>
      <c r="E136" s="7" t="n">
        <v>16</v>
      </c>
      <c r="F136" s="7" t="inlineStr">
        <is>
          <t>gemini-3.5-flash</t>
        </is>
      </c>
      <c r="G136" s="7" t="n">
        <v>1778</v>
      </c>
      <c r="H136" s="7" t="n">
        <v>282</v>
      </c>
      <c r="I136" s="7" t="n">
        <v>3206</v>
      </c>
      <c r="J136" s="7" t="inlineStr">
        <is>
          <t>sdk_usage_metadata</t>
        </is>
      </c>
      <c r="K136" s="7" t="inlineStr">
        <is>
          <t>success</t>
        </is>
      </c>
      <c r="L136" s="7" t="inlineStr"/>
      <c r="M136" s="7" t="n">
        <v>72</v>
      </c>
    </row>
    <row r="137" ht="34" customHeight="1">
      <c r="A137" s="7" t="n">
        <v>136</v>
      </c>
      <c r="B137" s="7" t="inlineStr">
        <is>
          <t>2026-07-28T08:45:13Z</t>
        </is>
      </c>
      <c r="C137" s="7" t="inlineStr">
        <is>
          <t>common</t>
        </is>
      </c>
      <c r="D137" s="7" t="inlineStr">
        <is>
          <t>guided_question_set</t>
        </is>
      </c>
      <c r="E137" s="7" t="n">
        <v>16</v>
      </c>
      <c r="F137" s="7" t="inlineStr">
        <is>
          <t>gemini-3.5-flash</t>
        </is>
      </c>
      <c r="G137" s="7" t="n">
        <v>1778</v>
      </c>
      <c r="H137" s="7" t="n">
        <v>329</v>
      </c>
      <c r="I137" s="7" t="n">
        <v>3414</v>
      </c>
      <c r="J137" s="7" t="inlineStr">
        <is>
          <t>sdk_usage_metadata</t>
        </is>
      </c>
      <c r="K137" s="7" t="inlineStr">
        <is>
          <t>success</t>
        </is>
      </c>
      <c r="L137" s="7" t="inlineStr"/>
      <c r="M137" s="7" t="n">
        <v>73</v>
      </c>
    </row>
    <row r="138" ht="34" customHeight="1">
      <c r="A138" s="7" t="n">
        <v>137</v>
      </c>
      <c r="B138" s="7" t="inlineStr">
        <is>
          <t>2026-07-28T08:45:19Z</t>
        </is>
      </c>
      <c r="C138" s="7" t="inlineStr">
        <is>
          <t>common</t>
        </is>
      </c>
      <c r="D138" s="7" t="inlineStr">
        <is>
          <t>guided_causal_engine</t>
        </is>
      </c>
      <c r="E138" s="7" t="n">
        <v>16</v>
      </c>
      <c r="F138" s="7" t="inlineStr">
        <is>
          <t>gemini-3.5-flash</t>
        </is>
      </c>
      <c r="G138" s="7" t="n">
        <v>911</v>
      </c>
      <c r="H138" s="7" t="n">
        <v>219</v>
      </c>
      <c r="I138" s="7" t="n">
        <v>2179</v>
      </c>
      <c r="J138" s="7" t="inlineStr">
        <is>
          <t>sdk_usage_metadata</t>
        </is>
      </c>
      <c r="K138" s="7" t="inlineStr">
        <is>
          <t>success</t>
        </is>
      </c>
      <c r="L138" s="7" t="inlineStr"/>
      <c r="M138" s="7" t="n">
        <v>74</v>
      </c>
    </row>
    <row r="139" ht="34" customHeight="1">
      <c r="A139" s="7" t="n">
        <v>138</v>
      </c>
      <c r="B139" s="7" t="inlineStr">
        <is>
          <t>2026-07-28T08:45:23Z</t>
        </is>
      </c>
      <c r="C139" s="7" t="inlineStr">
        <is>
          <t>vlm_guided</t>
        </is>
      </c>
      <c r="D139" s="7" t="inlineStr">
        <is>
          <t>vlm_guided_scoring</t>
        </is>
      </c>
      <c r="E139" s="7" t="n">
        <v>16</v>
      </c>
      <c r="F139" s="7" t="inlineStr">
        <is>
          <t>gemini-3.5-flash</t>
        </is>
      </c>
      <c r="G139" s="7" t="n">
        <v>1117</v>
      </c>
      <c r="H139" s="7" t="n">
        <v>85</v>
      </c>
      <c r="I139" s="7" t="n">
        <v>2049</v>
      </c>
      <c r="J139" s="7" t="inlineStr">
        <is>
          <t>sdk_usage_metadata</t>
        </is>
      </c>
      <c r="K139" s="7" t="inlineStr">
        <is>
          <t>success</t>
        </is>
      </c>
      <c r="L139" s="7" t="inlineStr"/>
      <c r="M139" s="7" t="n">
        <v>21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s>
  <sheetData>
    <row r="1" ht="16" customHeight="1">
      <c r="A1" s="6" t="inlineStr">
        <is>
          <t>window_id</t>
        </is>
      </c>
      <c r="B1" s="6" t="inlineStr">
        <is>
          <t>start_time_s</t>
        </is>
      </c>
      <c r="C1" s="6" t="inlineStr">
        <is>
          <t>end_time_s</t>
        </is>
      </c>
      <c r="D1" s="6" t="inlineStr">
        <is>
          <t>S1_contribution</t>
        </is>
      </c>
      <c r="E1" s="6" t="inlineStr">
        <is>
          <t>S2_contribution</t>
        </is>
      </c>
      <c r="F1" s="6" t="inlineStr">
        <is>
          <t>S3_contribution</t>
        </is>
      </c>
      <c r="G1" s="6" t="inlineStr">
        <is>
          <t>S4_contribution</t>
        </is>
      </c>
      <c r="H1" s="6" t="inlineStr">
        <is>
          <t>S5_contribution</t>
        </is>
      </c>
      <c r="I1" s="6" t="inlineStr">
        <is>
          <t>S6_contribution</t>
        </is>
      </c>
      <c r="J1" s="6" t="inlineStr">
        <is>
          <t>S7_contribution</t>
        </is>
      </c>
      <c r="K1" s="6" t="inlineStr">
        <is>
          <t>S1_contribution_pct</t>
        </is>
      </c>
      <c r="L1" s="6" t="inlineStr">
        <is>
          <t>S2_contribution_pct</t>
        </is>
      </c>
      <c r="M1" s="6" t="inlineStr">
        <is>
          <t>S3_contribution_pct</t>
        </is>
      </c>
      <c r="N1" s="6" t="inlineStr">
        <is>
          <t>S4_contribution_pct</t>
        </is>
      </c>
      <c r="O1" s="6" t="inlineStr">
        <is>
          <t>S5_contribution_pct</t>
        </is>
      </c>
      <c r="P1" s="6" t="inlineStr">
        <is>
          <t>S6_contribution_pct</t>
        </is>
      </c>
      <c r="Q1" s="6" t="inlineStr">
        <is>
          <t>S7_contribution_pct</t>
        </is>
      </c>
      <c r="R1" s="6" t="inlineStr">
        <is>
          <t>instantaneous_risk_score_ahp</t>
        </is>
      </c>
    </row>
    <row r="2" ht="34" customHeight="1">
      <c r="A2" s="7" t="n">
        <v>0</v>
      </c>
      <c r="B2" s="7" t="n">
        <v>0</v>
      </c>
      <c r="C2" s="7" t="n">
        <v>4</v>
      </c>
      <c r="D2" s="7" t="n">
        <v>0</v>
      </c>
      <c r="E2" s="7" t="n">
        <v>2.0546</v>
      </c>
      <c r="F2" s="7" t="n">
        <v>1.4763</v>
      </c>
      <c r="G2" s="7" t="n">
        <v>0.1261</v>
      </c>
      <c r="H2" s="7" t="n">
        <v>0</v>
      </c>
      <c r="I2" s="7" t="n">
        <v>31.6021</v>
      </c>
      <c r="J2" s="7" t="n">
        <v>0</v>
      </c>
      <c r="K2" s="7" t="n">
        <v>0</v>
      </c>
      <c r="L2" s="7" t="n">
        <v>5.83</v>
      </c>
      <c r="M2" s="7" t="n">
        <v>4.19</v>
      </c>
      <c r="N2" s="7" t="n">
        <v>0.36</v>
      </c>
      <c r="O2" s="7" t="n">
        <v>0</v>
      </c>
      <c r="P2" s="7" t="n">
        <v>89.63</v>
      </c>
      <c r="Q2" s="7" t="n">
        <v>0</v>
      </c>
      <c r="R2" s="7" t="n">
        <v>35.26</v>
      </c>
    </row>
    <row r="3" ht="34" customHeight="1">
      <c r="A3" s="7" t="n">
        <v>1</v>
      </c>
      <c r="B3" s="7" t="n">
        <v>2</v>
      </c>
      <c r="C3" s="7" t="n">
        <v>6</v>
      </c>
      <c r="D3" s="7" t="n">
        <v>0</v>
      </c>
      <c r="E3" s="7" t="n">
        <v>3.0251</v>
      </c>
      <c r="F3" s="7" t="n">
        <v>1.4763</v>
      </c>
      <c r="G3" s="7" t="n">
        <v>0.1261</v>
      </c>
      <c r="H3" s="7" t="n">
        <v>0.7999000000000001</v>
      </c>
      <c r="I3" s="7" t="n">
        <v>31.6021</v>
      </c>
      <c r="J3" s="7" t="n">
        <v>0</v>
      </c>
      <c r="K3" s="7" t="n">
        <v>0</v>
      </c>
      <c r="L3" s="7" t="n">
        <v>8.17</v>
      </c>
      <c r="M3" s="7" t="n">
        <v>3.99</v>
      </c>
      <c r="N3" s="7" t="n">
        <v>0.34</v>
      </c>
      <c r="O3" s="7" t="n">
        <v>2.16</v>
      </c>
      <c r="P3" s="7" t="n">
        <v>85.34</v>
      </c>
      <c r="Q3" s="7" t="n">
        <v>0</v>
      </c>
      <c r="R3" s="7" t="n">
        <v>37.03</v>
      </c>
    </row>
    <row r="4" ht="34" customHeight="1">
      <c r="A4" s="7" t="n">
        <v>2</v>
      </c>
      <c r="B4" s="7" t="n">
        <v>4</v>
      </c>
      <c r="C4" s="7" t="n">
        <v>8</v>
      </c>
      <c r="D4" s="7" t="n">
        <v>2.7725</v>
      </c>
      <c r="E4" s="7" t="n">
        <v>2.0546</v>
      </c>
      <c r="F4" s="7" t="n">
        <v>0.1609</v>
      </c>
      <c r="G4" s="7" t="n">
        <v>2.1824</v>
      </c>
      <c r="H4" s="7" t="n">
        <v>0</v>
      </c>
      <c r="I4" s="7" t="n">
        <v>0.9169</v>
      </c>
      <c r="J4" s="7" t="n">
        <v>0</v>
      </c>
      <c r="K4" s="7" t="n">
        <v>34.27</v>
      </c>
      <c r="L4" s="7" t="n">
        <v>25.4</v>
      </c>
      <c r="M4" s="7" t="n">
        <v>1.99</v>
      </c>
      <c r="N4" s="7" t="n">
        <v>26.98</v>
      </c>
      <c r="O4" s="7" t="n">
        <v>0</v>
      </c>
      <c r="P4" s="7" t="n">
        <v>11.33</v>
      </c>
      <c r="Q4" s="7" t="n">
        <v>0</v>
      </c>
      <c r="R4" s="7" t="n">
        <v>8.09</v>
      </c>
    </row>
    <row r="5" ht="34" customHeight="1">
      <c r="A5" s="7" t="n">
        <v>3</v>
      </c>
      <c r="B5" s="7" t="n">
        <v>6</v>
      </c>
      <c r="C5" s="7" t="n">
        <v>10</v>
      </c>
      <c r="D5" s="7" t="n">
        <v>2.7725</v>
      </c>
      <c r="E5" s="7" t="n">
        <v>2.0546</v>
      </c>
      <c r="F5" s="7" t="n">
        <v>1.4763</v>
      </c>
      <c r="G5" s="7" t="n">
        <v>2.1824</v>
      </c>
      <c r="H5" s="7" t="n">
        <v>0</v>
      </c>
      <c r="I5" s="7" t="n">
        <v>31.6021</v>
      </c>
      <c r="J5" s="7" t="n">
        <v>0</v>
      </c>
      <c r="K5" s="7" t="n">
        <v>6.92</v>
      </c>
      <c r="L5" s="7" t="n">
        <v>5.12</v>
      </c>
      <c r="M5" s="7" t="n">
        <v>3.68</v>
      </c>
      <c r="N5" s="7" t="n">
        <v>5.44</v>
      </c>
      <c r="O5" s="7" t="n">
        <v>0</v>
      </c>
      <c r="P5" s="7" t="n">
        <v>78.83</v>
      </c>
      <c r="Q5" s="7" t="n">
        <v>0</v>
      </c>
      <c r="R5" s="7" t="n">
        <v>40.09</v>
      </c>
    </row>
    <row r="6" ht="34" customHeight="1">
      <c r="A6" s="7" t="n">
        <v>4</v>
      </c>
      <c r="B6" s="7" t="n">
        <v>8</v>
      </c>
      <c r="C6" s="7" t="n">
        <v>12</v>
      </c>
      <c r="D6" s="7" t="n">
        <v>5.545</v>
      </c>
      <c r="E6" s="7" t="n">
        <v>2.0546</v>
      </c>
      <c r="F6" s="7" t="n">
        <v>0.1609</v>
      </c>
      <c r="G6" s="7" t="n">
        <v>2.1824</v>
      </c>
      <c r="H6" s="7" t="n">
        <v>0.7999000000000001</v>
      </c>
      <c r="I6" s="7" t="n">
        <v>0.9169</v>
      </c>
      <c r="J6" s="7" t="n">
        <v>0</v>
      </c>
      <c r="K6" s="7" t="n">
        <v>47.56</v>
      </c>
      <c r="L6" s="7" t="n">
        <v>17.62</v>
      </c>
      <c r="M6" s="7" t="n">
        <v>1.38</v>
      </c>
      <c r="N6" s="7" t="n">
        <v>18.72</v>
      </c>
      <c r="O6" s="7" t="n">
        <v>6.86</v>
      </c>
      <c r="P6" s="7" t="n">
        <v>7.86</v>
      </c>
      <c r="Q6" s="7" t="n">
        <v>0</v>
      </c>
      <c r="R6" s="7" t="n">
        <v>11.66</v>
      </c>
    </row>
    <row r="7" ht="34" customHeight="1">
      <c r="A7" s="7" t="n">
        <v>5</v>
      </c>
      <c r="B7" s="7" t="n">
        <v>10</v>
      </c>
      <c r="C7" s="7" t="n">
        <v>14</v>
      </c>
      <c r="D7" s="7" t="n">
        <v>5.545</v>
      </c>
      <c r="E7" s="7" t="n">
        <v>3.4835</v>
      </c>
      <c r="F7" s="7" t="n">
        <v>4.4886</v>
      </c>
      <c r="G7" s="7" t="n">
        <v>2.1824</v>
      </c>
      <c r="H7" s="7" t="n">
        <v>0.7999000000000001</v>
      </c>
      <c r="I7" s="7" t="n">
        <v>0.9169</v>
      </c>
      <c r="J7" s="7" t="n">
        <v>0</v>
      </c>
      <c r="K7" s="7" t="n">
        <v>31.83</v>
      </c>
      <c r="L7" s="7" t="n">
        <v>20</v>
      </c>
      <c r="M7" s="7" t="n">
        <v>25.77</v>
      </c>
      <c r="N7" s="7" t="n">
        <v>12.53</v>
      </c>
      <c r="O7" s="7" t="n">
        <v>4.59</v>
      </c>
      <c r="P7" s="7" t="n">
        <v>5.26</v>
      </c>
      <c r="Q7" s="7" t="n">
        <v>0</v>
      </c>
      <c r="R7" s="7" t="n">
        <v>17.42</v>
      </c>
    </row>
    <row r="8" ht="34" customHeight="1">
      <c r="A8" s="7" t="n">
        <v>6</v>
      </c>
      <c r="B8" s="7" t="n">
        <v>12</v>
      </c>
      <c r="C8" s="7" t="n">
        <v>16</v>
      </c>
      <c r="D8" s="7" t="n">
        <v>5.545</v>
      </c>
      <c r="E8" s="7" t="n">
        <v>3.0251</v>
      </c>
      <c r="F8" s="7" t="n">
        <v>1.4763</v>
      </c>
      <c r="G8" s="7" t="n">
        <v>11.8195</v>
      </c>
      <c r="H8" s="7" t="n">
        <v>4.2221</v>
      </c>
      <c r="I8" s="7" t="n">
        <v>0.9169</v>
      </c>
      <c r="J8" s="7" t="n">
        <v>0</v>
      </c>
      <c r="K8" s="7" t="n">
        <v>20.54</v>
      </c>
      <c r="L8" s="7" t="n">
        <v>11.2</v>
      </c>
      <c r="M8" s="7" t="n">
        <v>5.47</v>
      </c>
      <c r="N8" s="7" t="n">
        <v>43.78</v>
      </c>
      <c r="O8" s="7" t="n">
        <v>15.64</v>
      </c>
      <c r="P8" s="7" t="n">
        <v>3.4</v>
      </c>
      <c r="Q8" s="7" t="n">
        <v>0</v>
      </c>
      <c r="R8" s="7" t="n">
        <v>27</v>
      </c>
    </row>
    <row r="9" ht="34" customHeight="1">
      <c r="A9" s="7" t="n">
        <v>7</v>
      </c>
      <c r="B9" s="7" t="n">
        <v>14</v>
      </c>
      <c r="C9" s="7" t="n">
        <v>18</v>
      </c>
      <c r="D9" s="7" t="n">
        <v>0</v>
      </c>
      <c r="E9" s="7" t="n">
        <v>3.0251</v>
      </c>
      <c r="F9" s="7" t="n">
        <v>0.1609</v>
      </c>
      <c r="G9" s="7" t="n">
        <v>2.1824</v>
      </c>
      <c r="H9" s="7" t="n">
        <v>0.7999000000000001</v>
      </c>
      <c r="I9" s="7" t="n">
        <v>0.9169</v>
      </c>
      <c r="J9" s="7" t="n">
        <v>0</v>
      </c>
      <c r="K9" s="7" t="n">
        <v>0</v>
      </c>
      <c r="L9" s="7" t="n">
        <v>42.67</v>
      </c>
      <c r="M9" s="7" t="n">
        <v>2.27</v>
      </c>
      <c r="N9" s="7" t="n">
        <v>30.78</v>
      </c>
      <c r="O9" s="7" t="n">
        <v>11.28</v>
      </c>
      <c r="P9" s="7" t="n">
        <v>12.93</v>
      </c>
      <c r="Q9" s="7" t="n">
        <v>0</v>
      </c>
      <c r="R9" s="7" t="n">
        <v>7.09</v>
      </c>
    </row>
    <row r="10" ht="34" customHeight="1">
      <c r="A10" s="7" t="n">
        <v>8</v>
      </c>
      <c r="B10" s="7" t="n">
        <v>16</v>
      </c>
      <c r="C10" s="7" t="n">
        <v>20</v>
      </c>
      <c r="D10" s="7" t="n">
        <v>8.317500000000001</v>
      </c>
      <c r="E10" s="7" t="n">
        <v>3.4835</v>
      </c>
      <c r="F10" s="7" t="n">
        <v>4.4886</v>
      </c>
      <c r="G10" s="7" t="n">
        <v>11.8195</v>
      </c>
      <c r="H10" s="7" t="n">
        <v>4.2221</v>
      </c>
      <c r="I10" s="7" t="n">
        <v>0.9169</v>
      </c>
      <c r="J10" s="7" t="n">
        <v>0</v>
      </c>
      <c r="K10" s="7" t="n">
        <v>25.02</v>
      </c>
      <c r="L10" s="7" t="n">
        <v>10.48</v>
      </c>
      <c r="M10" s="7" t="n">
        <v>13.5</v>
      </c>
      <c r="N10" s="7" t="n">
        <v>35.55</v>
      </c>
      <c r="O10" s="7" t="n">
        <v>12.7</v>
      </c>
      <c r="P10" s="7" t="n">
        <v>2.76</v>
      </c>
      <c r="Q10" s="7" t="n">
        <v>0</v>
      </c>
      <c r="R10" s="7" t="n">
        <v>33.25</v>
      </c>
    </row>
    <row r="11" ht="34" customHeight="1">
      <c r="A11" s="7" t="n">
        <v>9</v>
      </c>
      <c r="B11" s="7" t="n">
        <v>18</v>
      </c>
      <c r="C11" s="7" t="n">
        <v>22</v>
      </c>
      <c r="D11" s="7" t="n">
        <v>5.545</v>
      </c>
      <c r="E11" s="7" t="n">
        <v>3.4835</v>
      </c>
      <c r="F11" s="7" t="n">
        <v>1.4763</v>
      </c>
      <c r="G11" s="7" t="n">
        <v>11.8195</v>
      </c>
      <c r="H11" s="7" t="n">
        <v>4.2221</v>
      </c>
      <c r="I11" s="7" t="n">
        <v>0.9169</v>
      </c>
      <c r="J11" s="7" t="n">
        <v>0</v>
      </c>
      <c r="K11" s="7" t="n">
        <v>20.19</v>
      </c>
      <c r="L11" s="7" t="n">
        <v>12.69</v>
      </c>
      <c r="M11" s="7" t="n">
        <v>5.38</v>
      </c>
      <c r="N11" s="7" t="n">
        <v>43.04</v>
      </c>
      <c r="O11" s="7" t="n">
        <v>15.38</v>
      </c>
      <c r="P11" s="7" t="n">
        <v>3.34</v>
      </c>
      <c r="Q11" s="7" t="n">
        <v>0</v>
      </c>
      <c r="R11" s="7" t="n">
        <v>27.46</v>
      </c>
    </row>
    <row r="12" ht="34" customHeight="1">
      <c r="A12" s="7" t="n">
        <v>10</v>
      </c>
      <c r="B12" s="7" t="n">
        <v>20</v>
      </c>
      <c r="C12" s="7" t="n">
        <v>24</v>
      </c>
      <c r="D12" s="7" t="n">
        <v>5.545</v>
      </c>
      <c r="E12" s="7" t="n">
        <v>3.4835</v>
      </c>
      <c r="F12" s="7" t="n">
        <v>4.4886</v>
      </c>
      <c r="G12" s="7" t="n">
        <v>2.1824</v>
      </c>
      <c r="H12" s="7" t="n">
        <v>4.2221</v>
      </c>
      <c r="I12" s="7" t="n">
        <v>0.9169</v>
      </c>
      <c r="J12" s="7" t="n">
        <v>0</v>
      </c>
      <c r="K12" s="7" t="n">
        <v>26.61</v>
      </c>
      <c r="L12" s="7" t="n">
        <v>16.72</v>
      </c>
      <c r="M12" s="7" t="n">
        <v>21.54</v>
      </c>
      <c r="N12" s="7" t="n">
        <v>10.47</v>
      </c>
      <c r="O12" s="7" t="n">
        <v>20.26</v>
      </c>
      <c r="P12" s="7" t="n">
        <v>4.4</v>
      </c>
      <c r="Q12" s="7" t="n">
        <v>0</v>
      </c>
      <c r="R12" s="7" t="n">
        <v>20.84</v>
      </c>
    </row>
    <row r="13" ht="34" customHeight="1">
      <c r="A13" s="7" t="n">
        <v>11</v>
      </c>
      <c r="B13" s="7" t="n">
        <v>22</v>
      </c>
      <c r="C13" s="7" t="n">
        <v>26</v>
      </c>
      <c r="D13" s="7" t="n">
        <v>8.317500000000001</v>
      </c>
      <c r="E13" s="7" t="n">
        <v>3.7</v>
      </c>
      <c r="F13" s="7" t="n">
        <v>5.3912</v>
      </c>
      <c r="G13" s="7" t="n">
        <v>11.8195</v>
      </c>
      <c r="H13" s="7" t="n">
        <v>4.2221</v>
      </c>
      <c r="I13" s="7" t="n">
        <v>0.9169</v>
      </c>
      <c r="J13" s="7" t="n">
        <v>0</v>
      </c>
      <c r="K13" s="7" t="n">
        <v>24.2</v>
      </c>
      <c r="L13" s="7" t="n">
        <v>10.77</v>
      </c>
      <c r="M13" s="7" t="n">
        <v>15.69</v>
      </c>
      <c r="N13" s="7" t="n">
        <v>34.39</v>
      </c>
      <c r="O13" s="7" t="n">
        <v>12.28</v>
      </c>
      <c r="P13" s="7" t="n">
        <v>2.67</v>
      </c>
      <c r="Q13" s="7" t="n">
        <v>0</v>
      </c>
      <c r="R13" s="7" t="n">
        <v>34.37</v>
      </c>
    </row>
    <row r="14" ht="34" customHeight="1">
      <c r="A14" s="7" t="n">
        <v>12</v>
      </c>
      <c r="B14" s="7" t="n">
        <v>24</v>
      </c>
      <c r="C14" s="7" t="n">
        <v>28</v>
      </c>
      <c r="D14" s="7" t="n">
        <v>2.7725</v>
      </c>
      <c r="E14" s="7" t="n">
        <v>3.4835</v>
      </c>
      <c r="F14" s="7" t="n">
        <v>4.4886</v>
      </c>
      <c r="G14" s="7" t="n">
        <v>2.1824</v>
      </c>
      <c r="H14" s="7" t="n">
        <v>4.2221</v>
      </c>
      <c r="I14" s="7" t="n">
        <v>0.9169</v>
      </c>
      <c r="J14" s="7" t="n">
        <v>0</v>
      </c>
      <c r="K14" s="7" t="n">
        <v>15.34</v>
      </c>
      <c r="L14" s="7" t="n">
        <v>19.28</v>
      </c>
      <c r="M14" s="7" t="n">
        <v>24.84</v>
      </c>
      <c r="N14" s="7" t="n">
        <v>12.08</v>
      </c>
      <c r="O14" s="7" t="n">
        <v>23.37</v>
      </c>
      <c r="P14" s="7" t="n">
        <v>5.07</v>
      </c>
      <c r="Q14" s="7" t="n">
        <v>0</v>
      </c>
      <c r="R14" s="7" t="n">
        <v>18.07</v>
      </c>
    </row>
    <row r="15" ht="34" customHeight="1">
      <c r="A15" s="7" t="n">
        <v>13</v>
      </c>
      <c r="B15" s="7" t="n">
        <v>26</v>
      </c>
      <c r="C15" s="7" t="n">
        <v>30</v>
      </c>
      <c r="D15" s="7" t="n">
        <v>5.545</v>
      </c>
      <c r="E15" s="7" t="n">
        <v>3.4835</v>
      </c>
      <c r="F15" s="7" t="n">
        <v>1.4763</v>
      </c>
      <c r="G15" s="7" t="n">
        <v>11.8195</v>
      </c>
      <c r="H15" s="7" t="n">
        <v>4.2221</v>
      </c>
      <c r="I15" s="7" t="n">
        <v>0.9169</v>
      </c>
      <c r="J15" s="7" t="n">
        <v>0</v>
      </c>
      <c r="K15" s="7" t="n">
        <v>20.19</v>
      </c>
      <c r="L15" s="7" t="n">
        <v>12.69</v>
      </c>
      <c r="M15" s="7" t="n">
        <v>5.38</v>
      </c>
      <c r="N15" s="7" t="n">
        <v>43.04</v>
      </c>
      <c r="O15" s="7" t="n">
        <v>15.38</v>
      </c>
      <c r="P15" s="7" t="n">
        <v>3.34</v>
      </c>
      <c r="Q15" s="7" t="n">
        <v>0</v>
      </c>
      <c r="R15" s="7" t="n">
        <v>27.46</v>
      </c>
    </row>
    <row r="16" ht="34" customHeight="1">
      <c r="A16" s="7" t="n">
        <v>14</v>
      </c>
      <c r="B16" s="7" t="n">
        <v>28</v>
      </c>
      <c r="C16" s="7" t="n">
        <v>32</v>
      </c>
      <c r="D16" s="7" t="n">
        <v>0</v>
      </c>
      <c r="E16" s="7" t="n">
        <v>0</v>
      </c>
      <c r="F16" s="7" t="n">
        <v>0.1609</v>
      </c>
      <c r="G16" s="7" t="n">
        <v>0.1261</v>
      </c>
      <c r="H16" s="7" t="n">
        <v>0.7999000000000001</v>
      </c>
      <c r="I16" s="7" t="n">
        <v>0.9169</v>
      </c>
      <c r="J16" s="7" t="n">
        <v>0</v>
      </c>
      <c r="K16" s="7" t="n">
        <v>0</v>
      </c>
      <c r="L16" s="7" t="n">
        <v>0</v>
      </c>
      <c r="M16" s="7" t="n">
        <v>8.039999999999999</v>
      </c>
      <c r="N16" s="7" t="n">
        <v>6.3</v>
      </c>
      <c r="O16" s="7" t="n">
        <v>40</v>
      </c>
      <c r="P16" s="7" t="n">
        <v>45.84</v>
      </c>
      <c r="Q16" s="7" t="n">
        <v>0</v>
      </c>
      <c r="R16" s="7" t="n">
        <v>2</v>
      </c>
    </row>
    <row r="17" ht="34" customHeight="1">
      <c r="A17" s="7" t="n">
        <v>15</v>
      </c>
      <c r="B17" s="7" t="n">
        <v>30</v>
      </c>
      <c r="C17" s="7" t="n">
        <v>34</v>
      </c>
      <c r="D17" s="7" t="n">
        <v>2.7725</v>
      </c>
      <c r="E17" s="7" t="n">
        <v>2.0546</v>
      </c>
      <c r="F17" s="7" t="n">
        <v>0.1609</v>
      </c>
      <c r="G17" s="7" t="n">
        <v>0.1261</v>
      </c>
      <c r="H17" s="7" t="n">
        <v>0.7999000000000001</v>
      </c>
      <c r="I17" s="7" t="n">
        <v>31.6021</v>
      </c>
      <c r="J17" s="7" t="n">
        <v>0</v>
      </c>
      <c r="K17" s="7" t="n">
        <v>7.39</v>
      </c>
      <c r="L17" s="7" t="n">
        <v>5.48</v>
      </c>
      <c r="M17" s="7" t="n">
        <v>0.43</v>
      </c>
      <c r="N17" s="7" t="n">
        <v>0.34</v>
      </c>
      <c r="O17" s="7" t="n">
        <v>2.13</v>
      </c>
      <c r="P17" s="7" t="n">
        <v>84.23</v>
      </c>
      <c r="Q17" s="7" t="n">
        <v>0</v>
      </c>
      <c r="R17" s="7" t="n">
        <v>37.52</v>
      </c>
    </row>
    <row r="18" ht="34" customHeight="1">
      <c r="A18" s="7" t="n">
        <v>16</v>
      </c>
      <c r="B18" s="7" t="n">
        <v>32</v>
      </c>
      <c r="C18" s="7" t="n">
        <v>34</v>
      </c>
      <c r="D18" s="7" t="n">
        <v>2.7725</v>
      </c>
      <c r="E18" s="7" t="n">
        <v>3.0251</v>
      </c>
      <c r="F18" s="7" t="n">
        <v>1.4763</v>
      </c>
      <c r="G18" s="7" t="n">
        <v>0.1261</v>
      </c>
      <c r="H18" s="7" t="n">
        <v>0</v>
      </c>
      <c r="I18" s="7" t="n">
        <v>31.6021</v>
      </c>
      <c r="J18" s="7" t="n">
        <v>0</v>
      </c>
      <c r="K18" s="7" t="n">
        <v>7.11</v>
      </c>
      <c r="L18" s="7" t="n">
        <v>7.76</v>
      </c>
      <c r="M18" s="7" t="n">
        <v>3.79</v>
      </c>
      <c r="N18" s="7" t="n">
        <v>0.32</v>
      </c>
      <c r="O18" s="7" t="n">
        <v>0</v>
      </c>
      <c r="P18" s="7" t="n">
        <v>81.03</v>
      </c>
      <c r="Q18" s="7" t="n">
        <v>0</v>
      </c>
      <c r="R18" s="7" t="n">
        <v>39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0" customWidth="1" min="4" max="4"/>
    <col width="12" customWidth="1" min="5" max="5"/>
    <col width="6" customWidth="1" min="6" max="6"/>
    <col width="12" customWidth="1" min="7" max="7"/>
    <col width="7" customWidth="1" min="8" max="8"/>
    <col width="12" customWidth="1" min="9" max="9"/>
    <col width="12" customWidth="1" min="10" max="10"/>
  </cols>
  <sheetData>
    <row r="1" ht="16" customHeight="1">
      <c r="A1" s="6" t="inlineStr">
        <is>
          <t>window_id</t>
        </is>
      </c>
      <c r="B1" s="6" t="inlineStr">
        <is>
          <t>start_time_s</t>
        </is>
      </c>
      <c r="C1" s="6" t="inlineStr">
        <is>
          <t>end_time_s</t>
        </is>
      </c>
      <c r="D1" s="6" t="inlineStr">
        <is>
          <t>risk_code</t>
        </is>
      </c>
      <c r="E1" s="6" t="inlineStr">
        <is>
          <t>risk_label</t>
        </is>
      </c>
      <c r="F1" s="6" t="inlineStr">
        <is>
          <t>raw</t>
        </is>
      </c>
      <c r="G1" s="6" t="inlineStr">
        <is>
          <t>transformed</t>
        </is>
      </c>
      <c r="H1" s="6" t="inlineStr">
        <is>
          <t>weight</t>
        </is>
      </c>
      <c r="I1" s="6" t="inlineStr">
        <is>
          <t>contribution</t>
        </is>
      </c>
      <c r="J1" s="6" t="inlineStr">
        <is>
          <t>contribution_pct</t>
        </is>
      </c>
    </row>
    <row r="2" ht="34" customHeight="1">
      <c r="A2" s="7" t="n">
        <v>0</v>
      </c>
      <c r="B2" s="7" t="n">
        <v>0</v>
      </c>
      <c r="C2" s="7" t="n">
        <v>4</v>
      </c>
      <c r="D2" s="7" t="inlineStr">
        <is>
          <t>S1</t>
        </is>
      </c>
      <c r="E2" s="7" t="inlineStr">
        <is>
          <t>Interferenza tra persone e mezzi di movimentazione negli spazi comuni</t>
        </is>
      </c>
      <c r="F2" s="7" t="n">
        <v>0</v>
      </c>
      <c r="G2" s="7" t="n">
        <v>0</v>
      </c>
      <c r="H2" s="7" t="n">
        <v>0.1109</v>
      </c>
      <c r="I2" s="7" t="n">
        <v>0</v>
      </c>
      <c r="J2" s="7" t="n">
        <v>0</v>
      </c>
    </row>
    <row r="3" ht="34" customHeight="1">
      <c r="A3" s="7" t="n">
        <v>0</v>
      </c>
      <c r="B3" s="7" t="n">
        <v>0</v>
      </c>
      <c r="C3" s="7" t="n">
        <v>4</v>
      </c>
      <c r="D3" s="7" t="inlineStr">
        <is>
          <t>S2</t>
        </is>
      </c>
      <c r="E3" s="7" t="inlineStr">
        <is>
          <t>Riduzione della visibilità durante lo svolgimento di un'attività</t>
        </is>
      </c>
      <c r="F3" s="7" t="n">
        <v>0.25</v>
      </c>
      <c r="G3" s="7" t="n">
        <v>0.5553</v>
      </c>
      <c r="H3" s="7" t="n">
        <v>0.037</v>
      </c>
      <c r="I3" s="7" t="n">
        <v>2.0546</v>
      </c>
      <c r="J3" s="7" t="n">
        <v>5.83</v>
      </c>
    </row>
    <row r="4" ht="34" customHeight="1">
      <c r="A4" s="7" t="n">
        <v>0</v>
      </c>
      <c r="B4" s="7" t="n">
        <v>0</v>
      </c>
      <c r="C4" s="7" t="n">
        <v>4</v>
      </c>
      <c r="D4" s="7" t="inlineStr">
        <is>
          <t>S3</t>
        </is>
      </c>
      <c r="E4" s="7" t="inlineStr">
        <is>
          <t>Comportamenti non conformi durante lo svolgimento di un'attività</t>
        </is>
      </c>
      <c r="F4" s="7" t="n">
        <v>0.25</v>
      </c>
      <c r="G4" s="7" t="n">
        <v>0.2689</v>
      </c>
      <c r="H4" s="7" t="n">
        <v>0.0549</v>
      </c>
      <c r="I4" s="7" t="n">
        <v>1.4763</v>
      </c>
      <c r="J4" s="7" t="n">
        <v>4.19</v>
      </c>
    </row>
    <row r="5" ht="34" customHeight="1">
      <c r="A5" s="7" t="n">
        <v>0</v>
      </c>
      <c r="B5" s="7" t="n">
        <v>0</v>
      </c>
      <c r="C5" s="7" t="n">
        <v>4</v>
      </c>
      <c r="D5" s="7" t="inlineStr">
        <is>
          <t>S4</t>
        </is>
      </c>
      <c r="E5" s="7" t="inlineStr">
        <is>
          <t>Interferenza tra mezzo e infrastrutture interne all'impianto</t>
        </is>
      </c>
      <c r="F5" s="7" t="n">
        <v>0</v>
      </c>
      <c r="G5" s="7" t="n">
        <v>0.008200000000000001</v>
      </c>
      <c r="H5" s="7" t="n">
        <v>0.1538</v>
      </c>
      <c r="I5" s="7" t="n">
        <v>0.1261</v>
      </c>
      <c r="J5" s="7" t="n">
        <v>0.36</v>
      </c>
    </row>
    <row r="6" ht="34" customHeight="1">
      <c r="A6" s="7" t="n">
        <v>0</v>
      </c>
      <c r="B6" s="7" t="n">
        <v>0</v>
      </c>
      <c r="C6" s="7" t="n">
        <v>4</v>
      </c>
      <c r="D6" s="7" t="inlineStr">
        <is>
          <t>S5</t>
        </is>
      </c>
      <c r="E6" s="7" t="inlineStr">
        <is>
          <t>Instabilità di elementi strutturali o di stoccaggio soggetti a urto o sovraccarico</t>
        </is>
      </c>
      <c r="F6" s="7" t="n">
        <v>0</v>
      </c>
      <c r="G6" s="7" t="n">
        <v>0</v>
      </c>
      <c r="H6" s="7" t="n">
        <v>0.2228</v>
      </c>
      <c r="I6" s="7" t="n">
        <v>0</v>
      </c>
      <c r="J6" s="7" t="n">
        <v>0</v>
      </c>
    </row>
    <row r="7" ht="34" customHeight="1">
      <c r="A7" s="7" t="n">
        <v>0</v>
      </c>
      <c r="B7" s="7" t="n">
        <v>0</v>
      </c>
      <c r="C7" s="7" t="n">
        <v>4</v>
      </c>
      <c r="D7" s="7" t="inlineStr">
        <is>
          <t>S6</t>
        </is>
      </c>
      <c r="E7" s="7" t="inlineStr">
        <is>
          <t>Accesso a organi meccanici in movimento durante operazioni manuali</t>
        </is>
      </c>
      <c r="F7" s="7" t="n">
        <v>0.5</v>
      </c>
      <c r="G7" s="7" t="n">
        <v>0.9167999999999999</v>
      </c>
      <c r="H7" s="7" t="n">
        <v>0.3447</v>
      </c>
      <c r="I7" s="7" t="n">
        <v>31.6021</v>
      </c>
      <c r="J7" s="7" t="n">
        <v>89.63</v>
      </c>
    </row>
    <row r="8" ht="34" customHeight="1">
      <c r="A8" s="7" t="n">
        <v>0</v>
      </c>
      <c r="B8" s="7" t="n">
        <v>0</v>
      </c>
      <c r="C8" s="7" t="n">
        <v>4</v>
      </c>
      <c r="D8" s="7" t="inlineStr">
        <is>
          <t>S7</t>
        </is>
      </c>
      <c r="E8" s="7" t="inlineStr">
        <is>
          <t>Movimentazione manuale di carichi pesanti o instabili senza ausili meccanici adeguati</t>
        </is>
      </c>
      <c r="F8" s="7" t="n">
        <v>0</v>
      </c>
      <c r="G8" s="7" t="n">
        <v>0</v>
      </c>
      <c r="H8" s="7" t="n">
        <v>0.0759</v>
      </c>
      <c r="I8" s="7" t="n">
        <v>0</v>
      </c>
      <c r="J8" s="7" t="n">
        <v>0</v>
      </c>
    </row>
    <row r="9" ht="34" customHeight="1">
      <c r="A9" s="7" t="n">
        <v>1</v>
      </c>
      <c r="B9" s="7" t="n">
        <v>2</v>
      </c>
      <c r="C9" s="7" t="n">
        <v>6</v>
      </c>
      <c r="D9" s="7" t="inlineStr">
        <is>
          <t>S1</t>
        </is>
      </c>
      <c r="E9" s="7" t="inlineStr">
        <is>
          <t>Interferenza tra persone e mezzi di movimentazione negli spazi comuni</t>
        </is>
      </c>
      <c r="F9" s="7" t="n">
        <v>0</v>
      </c>
      <c r="G9" s="7" t="n">
        <v>0</v>
      </c>
      <c r="H9" s="7" t="n">
        <v>0.1109</v>
      </c>
      <c r="I9" s="7" t="n">
        <v>0</v>
      </c>
      <c r="J9" s="7" t="n">
        <v>0</v>
      </c>
    </row>
    <row r="10" ht="34" customHeight="1">
      <c r="A10" s="7" t="n">
        <v>1</v>
      </c>
      <c r="B10" s="7" t="n">
        <v>2</v>
      </c>
      <c r="C10" s="7" t="n">
        <v>6</v>
      </c>
      <c r="D10" s="7" t="inlineStr">
        <is>
          <t>S2</t>
        </is>
      </c>
      <c r="E10" s="7" t="inlineStr">
        <is>
          <t>Riduzione della visibilità durante lo svolgimento di un'attività</t>
        </is>
      </c>
      <c r="F10" s="7" t="n">
        <v>0.5</v>
      </c>
      <c r="G10" s="7" t="n">
        <v>0.8176</v>
      </c>
      <c r="H10" s="7" t="n">
        <v>0.037</v>
      </c>
      <c r="I10" s="7" t="n">
        <v>3.0251</v>
      </c>
      <c r="J10" s="7" t="n">
        <v>8.17</v>
      </c>
    </row>
    <row r="11" ht="34" customHeight="1">
      <c r="A11" s="7" t="n">
        <v>1</v>
      </c>
      <c r="B11" s="7" t="n">
        <v>2</v>
      </c>
      <c r="C11" s="7" t="n">
        <v>6</v>
      </c>
      <c r="D11" s="7" t="inlineStr">
        <is>
          <t>S3</t>
        </is>
      </c>
      <c r="E11" s="7" t="inlineStr">
        <is>
          <t>Comportamenti non conformi durante lo svolgimento di un'attività</t>
        </is>
      </c>
      <c r="F11" s="7" t="n">
        <v>0.25</v>
      </c>
      <c r="G11" s="7" t="n">
        <v>0.2689</v>
      </c>
      <c r="H11" s="7" t="n">
        <v>0.0549</v>
      </c>
      <c r="I11" s="7" t="n">
        <v>1.4763</v>
      </c>
      <c r="J11" s="7" t="n">
        <v>3.99</v>
      </c>
    </row>
    <row r="12" ht="34" customHeight="1">
      <c r="A12" s="7" t="n">
        <v>1</v>
      </c>
      <c r="B12" s="7" t="n">
        <v>2</v>
      </c>
      <c r="C12" s="7" t="n">
        <v>6</v>
      </c>
      <c r="D12" s="7" t="inlineStr">
        <is>
          <t>S4</t>
        </is>
      </c>
      <c r="E12" s="7" t="inlineStr">
        <is>
          <t>Interferenza tra mezzo e infrastrutture interne all'impianto</t>
        </is>
      </c>
      <c r="F12" s="7" t="n">
        <v>0</v>
      </c>
      <c r="G12" s="7" t="n">
        <v>0.008200000000000001</v>
      </c>
      <c r="H12" s="7" t="n">
        <v>0.1538</v>
      </c>
      <c r="I12" s="7" t="n">
        <v>0.1261</v>
      </c>
      <c r="J12" s="7" t="n">
        <v>0.34</v>
      </c>
    </row>
    <row r="13" ht="34" customHeight="1">
      <c r="A13" s="7" t="n">
        <v>1</v>
      </c>
      <c r="B13" s="7" t="n">
        <v>2</v>
      </c>
      <c r="C13" s="7" t="n">
        <v>6</v>
      </c>
      <c r="D13" s="7" t="inlineStr">
        <is>
          <t>S5</t>
        </is>
      </c>
      <c r="E13" s="7" t="inlineStr">
        <is>
          <t>Instabilità di elementi strutturali o di stoccaggio soggetti a urto o sovraccarico</t>
        </is>
      </c>
      <c r="F13" s="7" t="n">
        <v>0.25</v>
      </c>
      <c r="G13" s="7" t="n">
        <v>0.0359</v>
      </c>
      <c r="H13" s="7" t="n">
        <v>0.2228</v>
      </c>
      <c r="I13" s="7" t="n">
        <v>0.7999000000000001</v>
      </c>
      <c r="J13" s="7" t="n">
        <v>2.16</v>
      </c>
    </row>
    <row r="14" ht="34" customHeight="1">
      <c r="A14" s="7" t="n">
        <v>1</v>
      </c>
      <c r="B14" s="7" t="n">
        <v>2</v>
      </c>
      <c r="C14" s="7" t="n">
        <v>6</v>
      </c>
      <c r="D14" s="7" t="inlineStr">
        <is>
          <t>S6</t>
        </is>
      </c>
      <c r="E14" s="7" t="inlineStr">
        <is>
          <t>Accesso a organi meccanici in movimento durante operazioni manuali</t>
        </is>
      </c>
      <c r="F14" s="7" t="n">
        <v>0.5</v>
      </c>
      <c r="G14" s="7" t="n">
        <v>0.9167999999999999</v>
      </c>
      <c r="H14" s="7" t="n">
        <v>0.3447</v>
      </c>
      <c r="I14" s="7" t="n">
        <v>31.6021</v>
      </c>
      <c r="J14" s="7" t="n">
        <v>85.34</v>
      </c>
    </row>
    <row r="15" ht="34" customHeight="1">
      <c r="A15" s="7" t="n">
        <v>1</v>
      </c>
      <c r="B15" s="7" t="n">
        <v>2</v>
      </c>
      <c r="C15" s="7" t="n">
        <v>6</v>
      </c>
      <c r="D15" s="7" t="inlineStr">
        <is>
          <t>S7</t>
        </is>
      </c>
      <c r="E15" s="7" t="inlineStr">
        <is>
          <t>Movimentazione manuale di carichi pesanti o instabili senza ausili meccanici adeguati</t>
        </is>
      </c>
      <c r="F15" s="7" t="n">
        <v>0</v>
      </c>
      <c r="G15" s="7" t="n">
        <v>0</v>
      </c>
      <c r="H15" s="7" t="n">
        <v>0.0759</v>
      </c>
      <c r="I15" s="7" t="n">
        <v>0</v>
      </c>
      <c r="J15" s="7" t="n">
        <v>0</v>
      </c>
    </row>
    <row r="16" ht="34" customHeight="1">
      <c r="A16" s="7" t="n">
        <v>2</v>
      </c>
      <c r="B16" s="7" t="n">
        <v>4</v>
      </c>
      <c r="C16" s="7" t="n">
        <v>8</v>
      </c>
      <c r="D16" s="7" t="inlineStr">
        <is>
          <t>S1</t>
        </is>
      </c>
      <c r="E16" s="7" t="inlineStr">
        <is>
          <t>Interferenza tra persone e mezzi di movimentazione negli spazi comuni</t>
        </is>
      </c>
      <c r="F16" s="7" t="n">
        <v>0.25</v>
      </c>
      <c r="G16" s="7" t="n">
        <v>0.25</v>
      </c>
      <c r="H16" s="7" t="n">
        <v>0.1109</v>
      </c>
      <c r="I16" s="7" t="n">
        <v>2.7725</v>
      </c>
      <c r="J16" s="7" t="n">
        <v>34.27</v>
      </c>
    </row>
    <row r="17" ht="34" customHeight="1">
      <c r="A17" s="7" t="n">
        <v>2</v>
      </c>
      <c r="B17" s="7" t="n">
        <v>4</v>
      </c>
      <c r="C17" s="7" t="n">
        <v>8</v>
      </c>
      <c r="D17" s="7" t="inlineStr">
        <is>
          <t>S2</t>
        </is>
      </c>
      <c r="E17" s="7" t="inlineStr">
        <is>
          <t>Riduzione della visibilità durante lo svolgimento di un'attività</t>
        </is>
      </c>
      <c r="F17" s="7" t="n">
        <v>0.25</v>
      </c>
      <c r="G17" s="7" t="n">
        <v>0.5553</v>
      </c>
      <c r="H17" s="7" t="n">
        <v>0.037</v>
      </c>
      <c r="I17" s="7" t="n">
        <v>2.0546</v>
      </c>
      <c r="J17" s="7" t="n">
        <v>25.4</v>
      </c>
    </row>
    <row r="18" ht="34" customHeight="1">
      <c r="A18" s="7" t="n">
        <v>2</v>
      </c>
      <c r="B18" s="7" t="n">
        <v>4</v>
      </c>
      <c r="C18" s="7" t="n">
        <v>8</v>
      </c>
      <c r="D18" s="7" t="inlineStr">
        <is>
          <t>S3</t>
        </is>
      </c>
      <c r="E18" s="7" t="inlineStr">
        <is>
          <t>Comportamenti non conformi durante lo svolgimento di un'attività</t>
        </is>
      </c>
      <c r="F18" s="7" t="n">
        <v>0</v>
      </c>
      <c r="G18" s="7" t="n">
        <v>0.0293</v>
      </c>
      <c r="H18" s="7" t="n">
        <v>0.0549</v>
      </c>
      <c r="I18" s="7" t="n">
        <v>0.1609</v>
      </c>
      <c r="J18" s="7" t="n">
        <v>1.99</v>
      </c>
    </row>
    <row r="19" ht="34" customHeight="1">
      <c r="A19" s="7" t="n">
        <v>2</v>
      </c>
      <c r="B19" s="7" t="n">
        <v>4</v>
      </c>
      <c r="C19" s="7" t="n">
        <v>8</v>
      </c>
      <c r="D19" s="7" t="inlineStr">
        <is>
          <t>S4</t>
        </is>
      </c>
      <c r="E19" s="7" t="inlineStr">
        <is>
          <t>Interferenza tra mezzo e infrastrutture interne all'impianto</t>
        </is>
      </c>
      <c r="F19" s="7" t="n">
        <v>0.25</v>
      </c>
      <c r="G19" s="7" t="n">
        <v>0.1419</v>
      </c>
      <c r="H19" s="7" t="n">
        <v>0.1538</v>
      </c>
      <c r="I19" s="7" t="n">
        <v>2.1824</v>
      </c>
      <c r="J19" s="7" t="n">
        <v>26.98</v>
      </c>
    </row>
    <row r="20" ht="34" customHeight="1">
      <c r="A20" s="7" t="n">
        <v>2</v>
      </c>
      <c r="B20" s="7" t="n">
        <v>4</v>
      </c>
      <c r="C20" s="7" t="n">
        <v>8</v>
      </c>
      <c r="D20" s="7" t="inlineStr">
        <is>
          <t>S5</t>
        </is>
      </c>
      <c r="E20" s="7" t="inlineStr">
        <is>
          <t>Instabilità di elementi strutturali o di stoccaggio soggetti a urto o sovraccarico</t>
        </is>
      </c>
      <c r="F20" s="7" t="n">
        <v>0</v>
      </c>
      <c r="G20" s="7" t="n">
        <v>0</v>
      </c>
      <c r="H20" s="7" t="n">
        <v>0.2228</v>
      </c>
      <c r="I20" s="7" t="n">
        <v>0</v>
      </c>
      <c r="J20" s="7" t="n">
        <v>0</v>
      </c>
    </row>
    <row r="21" ht="34" customHeight="1">
      <c r="A21" s="7" t="n">
        <v>2</v>
      </c>
      <c r="B21" s="7" t="n">
        <v>4</v>
      </c>
      <c r="C21" s="7" t="n">
        <v>8</v>
      </c>
      <c r="D21" s="7" t="inlineStr">
        <is>
          <t>S6</t>
        </is>
      </c>
      <c r="E21" s="7" t="inlineStr">
        <is>
          <t>Accesso a organi meccanici in movimento durante operazioni manuali</t>
        </is>
      </c>
      <c r="F21" s="7" t="n">
        <v>0</v>
      </c>
      <c r="G21" s="7" t="n">
        <v>0.0266</v>
      </c>
      <c r="H21" s="7" t="n">
        <v>0.3447</v>
      </c>
      <c r="I21" s="7" t="n">
        <v>0.9169</v>
      </c>
      <c r="J21" s="7" t="n">
        <v>11.33</v>
      </c>
    </row>
    <row r="22" ht="34" customHeight="1">
      <c r="A22" s="7" t="n">
        <v>2</v>
      </c>
      <c r="B22" s="7" t="n">
        <v>4</v>
      </c>
      <c r="C22" s="7" t="n">
        <v>8</v>
      </c>
      <c r="D22" s="7" t="inlineStr">
        <is>
          <t>S7</t>
        </is>
      </c>
      <c r="E22" s="7" t="inlineStr">
        <is>
          <t>Movimentazione manuale di carichi pesanti o instabili senza ausili meccanici adeguati</t>
        </is>
      </c>
      <c r="F22" s="7" t="n">
        <v>0</v>
      </c>
      <c r="G22" s="7" t="n">
        <v>0</v>
      </c>
      <c r="H22" s="7" t="n">
        <v>0.0759</v>
      </c>
      <c r="I22" s="7" t="n">
        <v>0</v>
      </c>
      <c r="J22" s="7" t="n">
        <v>0</v>
      </c>
    </row>
    <row r="23" ht="34" customHeight="1">
      <c r="A23" s="7" t="n">
        <v>3</v>
      </c>
      <c r="B23" s="7" t="n">
        <v>6</v>
      </c>
      <c r="C23" s="7" t="n">
        <v>10</v>
      </c>
      <c r="D23" s="7" t="inlineStr">
        <is>
          <t>S1</t>
        </is>
      </c>
      <c r="E23" s="7" t="inlineStr">
        <is>
          <t>Interferenza tra persone e mezzi di movimentazione negli spazi comuni</t>
        </is>
      </c>
      <c r="F23" s="7" t="n">
        <v>0.25</v>
      </c>
      <c r="G23" s="7" t="n">
        <v>0.25</v>
      </c>
      <c r="H23" s="7" t="n">
        <v>0.1109</v>
      </c>
      <c r="I23" s="7" t="n">
        <v>2.7725</v>
      </c>
      <c r="J23" s="7" t="n">
        <v>6.92</v>
      </c>
    </row>
    <row r="24" ht="34" customHeight="1">
      <c r="A24" s="7" t="n">
        <v>3</v>
      </c>
      <c r="B24" s="7" t="n">
        <v>6</v>
      </c>
      <c r="C24" s="7" t="n">
        <v>10</v>
      </c>
      <c r="D24" s="7" t="inlineStr">
        <is>
          <t>S2</t>
        </is>
      </c>
      <c r="E24" s="7" t="inlineStr">
        <is>
          <t>Riduzione della visibilità durante lo svolgimento di un'attività</t>
        </is>
      </c>
      <c r="F24" s="7" t="n">
        <v>0.25</v>
      </c>
      <c r="G24" s="7" t="n">
        <v>0.5553</v>
      </c>
      <c r="H24" s="7" t="n">
        <v>0.037</v>
      </c>
      <c r="I24" s="7" t="n">
        <v>2.0546</v>
      </c>
      <c r="J24" s="7" t="n">
        <v>5.12</v>
      </c>
    </row>
    <row r="25" ht="34" customHeight="1">
      <c r="A25" s="7" t="n">
        <v>3</v>
      </c>
      <c r="B25" s="7" t="n">
        <v>6</v>
      </c>
      <c r="C25" s="7" t="n">
        <v>10</v>
      </c>
      <c r="D25" s="7" t="inlineStr">
        <is>
          <t>S3</t>
        </is>
      </c>
      <c r="E25" s="7" t="inlineStr">
        <is>
          <t>Comportamenti non conformi durante lo svolgimento di un'attività</t>
        </is>
      </c>
      <c r="F25" s="7" t="n">
        <v>0.25</v>
      </c>
      <c r="G25" s="7" t="n">
        <v>0.2689</v>
      </c>
      <c r="H25" s="7" t="n">
        <v>0.0549</v>
      </c>
      <c r="I25" s="7" t="n">
        <v>1.4763</v>
      </c>
      <c r="J25" s="7" t="n">
        <v>3.68</v>
      </c>
    </row>
    <row r="26" ht="34" customHeight="1">
      <c r="A26" s="7" t="n">
        <v>3</v>
      </c>
      <c r="B26" s="7" t="n">
        <v>6</v>
      </c>
      <c r="C26" s="7" t="n">
        <v>10</v>
      </c>
      <c r="D26" s="7" t="inlineStr">
        <is>
          <t>S4</t>
        </is>
      </c>
      <c r="E26" s="7" t="inlineStr">
        <is>
          <t>Interferenza tra mezzo e infrastrutture interne all'impianto</t>
        </is>
      </c>
      <c r="F26" s="7" t="n">
        <v>0.25</v>
      </c>
      <c r="G26" s="7" t="n">
        <v>0.1419</v>
      </c>
      <c r="H26" s="7" t="n">
        <v>0.1538</v>
      </c>
      <c r="I26" s="7" t="n">
        <v>2.1824</v>
      </c>
      <c r="J26" s="7" t="n">
        <v>5.44</v>
      </c>
    </row>
    <row r="27" ht="34" customHeight="1">
      <c r="A27" s="7" t="n">
        <v>3</v>
      </c>
      <c r="B27" s="7" t="n">
        <v>6</v>
      </c>
      <c r="C27" s="7" t="n">
        <v>10</v>
      </c>
      <c r="D27" s="7" t="inlineStr">
        <is>
          <t>S5</t>
        </is>
      </c>
      <c r="E27" s="7" t="inlineStr">
        <is>
          <t>Instabilità di elementi strutturali o di stoccaggio soggetti a urto o sovraccarico</t>
        </is>
      </c>
      <c r="F27" s="7" t="n">
        <v>0</v>
      </c>
      <c r="G27" s="7" t="n">
        <v>0</v>
      </c>
      <c r="H27" s="7" t="n">
        <v>0.2228</v>
      </c>
      <c r="I27" s="7" t="n">
        <v>0</v>
      </c>
      <c r="J27" s="7" t="n">
        <v>0</v>
      </c>
    </row>
    <row r="28" ht="34" customHeight="1">
      <c r="A28" s="7" t="n">
        <v>3</v>
      </c>
      <c r="B28" s="7" t="n">
        <v>6</v>
      </c>
      <c r="C28" s="7" t="n">
        <v>10</v>
      </c>
      <c r="D28" s="7" t="inlineStr">
        <is>
          <t>S6</t>
        </is>
      </c>
      <c r="E28" s="7" t="inlineStr">
        <is>
          <t>Accesso a organi meccanici in movimento durante operazioni manuali</t>
        </is>
      </c>
      <c r="F28" s="7" t="n">
        <v>0.5</v>
      </c>
      <c r="G28" s="7" t="n">
        <v>0.9167999999999999</v>
      </c>
      <c r="H28" s="7" t="n">
        <v>0.3447</v>
      </c>
      <c r="I28" s="7" t="n">
        <v>31.6021</v>
      </c>
      <c r="J28" s="7" t="n">
        <v>78.83</v>
      </c>
    </row>
    <row r="29" ht="34" customHeight="1">
      <c r="A29" s="7" t="n">
        <v>3</v>
      </c>
      <c r="B29" s="7" t="n">
        <v>6</v>
      </c>
      <c r="C29" s="7" t="n">
        <v>10</v>
      </c>
      <c r="D29" s="7" t="inlineStr">
        <is>
          <t>S7</t>
        </is>
      </c>
      <c r="E29" s="7" t="inlineStr">
        <is>
          <t>Movimentazione manuale di carichi pesanti o instabili senza ausili meccanici adeguati</t>
        </is>
      </c>
      <c r="F29" s="7" t="n">
        <v>0</v>
      </c>
      <c r="G29" s="7" t="n">
        <v>0</v>
      </c>
      <c r="H29" s="7" t="n">
        <v>0.0759</v>
      </c>
      <c r="I29" s="7" t="n">
        <v>0</v>
      </c>
      <c r="J29" s="7" t="n">
        <v>0</v>
      </c>
    </row>
    <row r="30" ht="34" customHeight="1">
      <c r="A30" s="7" t="n">
        <v>4</v>
      </c>
      <c r="B30" s="7" t="n">
        <v>8</v>
      </c>
      <c r="C30" s="7" t="n">
        <v>12</v>
      </c>
      <c r="D30" s="7" t="inlineStr">
        <is>
          <t>S1</t>
        </is>
      </c>
      <c r="E30" s="7" t="inlineStr">
        <is>
          <t>Interferenza tra persone e mezzi di movimentazione negli spazi comuni</t>
        </is>
      </c>
      <c r="F30" s="7" t="n">
        <v>0.5</v>
      </c>
      <c r="G30" s="7" t="n">
        <v>0.5</v>
      </c>
      <c r="H30" s="7" t="n">
        <v>0.1109</v>
      </c>
      <c r="I30" s="7" t="n">
        <v>5.545</v>
      </c>
      <c r="J30" s="7" t="n">
        <v>47.56</v>
      </c>
    </row>
    <row r="31" ht="34" customHeight="1">
      <c r="A31" s="7" t="n">
        <v>4</v>
      </c>
      <c r="B31" s="7" t="n">
        <v>8</v>
      </c>
      <c r="C31" s="7" t="n">
        <v>12</v>
      </c>
      <c r="D31" s="7" t="inlineStr">
        <is>
          <t>S2</t>
        </is>
      </c>
      <c r="E31" s="7" t="inlineStr">
        <is>
          <t>Riduzione della visibilità durante lo svolgimento di un'attività</t>
        </is>
      </c>
      <c r="F31" s="7" t="n">
        <v>0.25</v>
      </c>
      <c r="G31" s="7" t="n">
        <v>0.5553</v>
      </c>
      <c r="H31" s="7" t="n">
        <v>0.037</v>
      </c>
      <c r="I31" s="7" t="n">
        <v>2.0546</v>
      </c>
      <c r="J31" s="7" t="n">
        <v>17.62</v>
      </c>
    </row>
    <row r="32" ht="34" customHeight="1">
      <c r="A32" s="7" t="n">
        <v>4</v>
      </c>
      <c r="B32" s="7" t="n">
        <v>8</v>
      </c>
      <c r="C32" s="7" t="n">
        <v>12</v>
      </c>
      <c r="D32" s="7" t="inlineStr">
        <is>
          <t>S3</t>
        </is>
      </c>
      <c r="E32" s="7" t="inlineStr">
        <is>
          <t>Comportamenti non conformi durante lo svolgimento di un'attività</t>
        </is>
      </c>
      <c r="F32" s="7" t="n">
        <v>0</v>
      </c>
      <c r="G32" s="7" t="n">
        <v>0.0293</v>
      </c>
      <c r="H32" s="7" t="n">
        <v>0.0549</v>
      </c>
      <c r="I32" s="7" t="n">
        <v>0.1609</v>
      </c>
      <c r="J32" s="7" t="n">
        <v>1.38</v>
      </c>
    </row>
    <row r="33" ht="34" customHeight="1">
      <c r="A33" s="7" t="n">
        <v>4</v>
      </c>
      <c r="B33" s="7" t="n">
        <v>8</v>
      </c>
      <c r="C33" s="7" t="n">
        <v>12</v>
      </c>
      <c r="D33" s="7" t="inlineStr">
        <is>
          <t>S4</t>
        </is>
      </c>
      <c r="E33" s="7" t="inlineStr">
        <is>
          <t>Interferenza tra mezzo e infrastrutture interne all'impianto</t>
        </is>
      </c>
      <c r="F33" s="7" t="n">
        <v>0.25</v>
      </c>
      <c r="G33" s="7" t="n">
        <v>0.1419</v>
      </c>
      <c r="H33" s="7" t="n">
        <v>0.1538</v>
      </c>
      <c r="I33" s="7" t="n">
        <v>2.1824</v>
      </c>
      <c r="J33" s="7" t="n">
        <v>18.72</v>
      </c>
    </row>
    <row r="34" ht="34" customHeight="1">
      <c r="A34" s="7" t="n">
        <v>4</v>
      </c>
      <c r="B34" s="7" t="n">
        <v>8</v>
      </c>
      <c r="C34" s="7" t="n">
        <v>12</v>
      </c>
      <c r="D34" s="7" t="inlineStr">
        <is>
          <t>S5</t>
        </is>
      </c>
      <c r="E34" s="7" t="inlineStr">
        <is>
          <t>Instabilità di elementi strutturali o di stoccaggio soggetti a urto o sovraccarico</t>
        </is>
      </c>
      <c r="F34" s="7" t="n">
        <v>0.25</v>
      </c>
      <c r="G34" s="7" t="n">
        <v>0.0359</v>
      </c>
      <c r="H34" s="7" t="n">
        <v>0.2228</v>
      </c>
      <c r="I34" s="7" t="n">
        <v>0.7999000000000001</v>
      </c>
      <c r="J34" s="7" t="n">
        <v>6.86</v>
      </c>
    </row>
    <row r="35" ht="34" customHeight="1">
      <c r="A35" s="7" t="n">
        <v>4</v>
      </c>
      <c r="B35" s="7" t="n">
        <v>8</v>
      </c>
      <c r="C35" s="7" t="n">
        <v>12</v>
      </c>
      <c r="D35" s="7" t="inlineStr">
        <is>
          <t>S6</t>
        </is>
      </c>
      <c r="E35" s="7" t="inlineStr">
        <is>
          <t>Accesso a organi meccanici in movimento durante operazioni manuali</t>
        </is>
      </c>
      <c r="F35" s="7" t="n">
        <v>0</v>
      </c>
      <c r="G35" s="7" t="n">
        <v>0.0266</v>
      </c>
      <c r="H35" s="7" t="n">
        <v>0.3447</v>
      </c>
      <c r="I35" s="7" t="n">
        <v>0.9169</v>
      </c>
      <c r="J35" s="7" t="n">
        <v>7.86</v>
      </c>
    </row>
    <row r="36" ht="34" customHeight="1">
      <c r="A36" s="7" t="n">
        <v>4</v>
      </c>
      <c r="B36" s="7" t="n">
        <v>8</v>
      </c>
      <c r="C36" s="7" t="n">
        <v>12</v>
      </c>
      <c r="D36" s="7" t="inlineStr">
        <is>
          <t>S7</t>
        </is>
      </c>
      <c r="E36" s="7" t="inlineStr">
        <is>
          <t>Movimentazione manuale di carichi pesanti o instabili senza ausili meccanici adeguati</t>
        </is>
      </c>
      <c r="F36" s="7" t="n">
        <v>0</v>
      </c>
      <c r="G36" s="7" t="n">
        <v>0</v>
      </c>
      <c r="H36" s="7" t="n">
        <v>0.0759</v>
      </c>
      <c r="I36" s="7" t="n">
        <v>0</v>
      </c>
      <c r="J36" s="7" t="n">
        <v>0</v>
      </c>
    </row>
    <row r="37" ht="34" customHeight="1">
      <c r="A37" s="7" t="n">
        <v>5</v>
      </c>
      <c r="B37" s="7" t="n">
        <v>10</v>
      </c>
      <c r="C37" s="7" t="n">
        <v>14</v>
      </c>
      <c r="D37" s="7" t="inlineStr">
        <is>
          <t>S1</t>
        </is>
      </c>
      <c r="E37" s="7" t="inlineStr">
        <is>
          <t>Interferenza tra persone e mezzi di movimentazione negli spazi comuni</t>
        </is>
      </c>
      <c r="F37" s="7" t="n">
        <v>0.5</v>
      </c>
      <c r="G37" s="7" t="n">
        <v>0.5</v>
      </c>
      <c r="H37" s="7" t="n">
        <v>0.1109</v>
      </c>
      <c r="I37" s="7" t="n">
        <v>5.545</v>
      </c>
      <c r="J37" s="7" t="n">
        <v>31.83</v>
      </c>
    </row>
    <row r="38" ht="34" customHeight="1">
      <c r="A38" s="7" t="n">
        <v>5</v>
      </c>
      <c r="B38" s="7" t="n">
        <v>10</v>
      </c>
      <c r="C38" s="7" t="n">
        <v>14</v>
      </c>
      <c r="D38" s="7" t="inlineStr">
        <is>
          <t>S2</t>
        </is>
      </c>
      <c r="E38" s="7" t="inlineStr">
        <is>
          <t>Riduzione della visibilità durante lo svolgimento di un'attività</t>
        </is>
      </c>
      <c r="F38" s="7" t="n">
        <v>0.75</v>
      </c>
      <c r="G38" s="7" t="n">
        <v>0.9415</v>
      </c>
      <c r="H38" s="7" t="n">
        <v>0.037</v>
      </c>
      <c r="I38" s="7" t="n">
        <v>3.4835</v>
      </c>
      <c r="J38" s="7" t="n">
        <v>20</v>
      </c>
    </row>
    <row r="39" ht="34" customHeight="1">
      <c r="A39" s="7" t="n">
        <v>5</v>
      </c>
      <c r="B39" s="7" t="n">
        <v>10</v>
      </c>
      <c r="C39" s="7" t="n">
        <v>14</v>
      </c>
      <c r="D39" s="7" t="inlineStr">
        <is>
          <t>S3</t>
        </is>
      </c>
      <c r="E39" s="7" t="inlineStr">
        <is>
          <t>Comportamenti non conformi durante lo svolgimento di un'attività</t>
        </is>
      </c>
      <c r="F39" s="7" t="n">
        <v>0.5</v>
      </c>
      <c r="G39" s="7" t="n">
        <v>0.8176</v>
      </c>
      <c r="H39" s="7" t="n">
        <v>0.0549</v>
      </c>
      <c r="I39" s="7" t="n">
        <v>4.4886</v>
      </c>
      <c r="J39" s="7" t="n">
        <v>25.77</v>
      </c>
    </row>
    <row r="40" ht="34" customHeight="1">
      <c r="A40" s="7" t="n">
        <v>5</v>
      </c>
      <c r="B40" s="7" t="n">
        <v>10</v>
      </c>
      <c r="C40" s="7" t="n">
        <v>14</v>
      </c>
      <c r="D40" s="7" t="inlineStr">
        <is>
          <t>S4</t>
        </is>
      </c>
      <c r="E40" s="7" t="inlineStr">
        <is>
          <t>Interferenza tra mezzo e infrastrutture interne all'impianto</t>
        </is>
      </c>
      <c r="F40" s="7" t="n">
        <v>0.25</v>
      </c>
      <c r="G40" s="7" t="n">
        <v>0.1419</v>
      </c>
      <c r="H40" s="7" t="n">
        <v>0.1538</v>
      </c>
      <c r="I40" s="7" t="n">
        <v>2.1824</v>
      </c>
      <c r="J40" s="7" t="n">
        <v>12.53</v>
      </c>
    </row>
    <row r="41" ht="34" customHeight="1">
      <c r="A41" s="7" t="n">
        <v>5</v>
      </c>
      <c r="B41" s="7" t="n">
        <v>10</v>
      </c>
      <c r="C41" s="7" t="n">
        <v>14</v>
      </c>
      <c r="D41" s="7" t="inlineStr">
        <is>
          <t>S5</t>
        </is>
      </c>
      <c r="E41" s="7" t="inlineStr">
        <is>
          <t>Instabilità di elementi strutturali o di stoccaggio soggetti a urto o sovraccarico</t>
        </is>
      </c>
      <c r="F41" s="7" t="n">
        <v>0.25</v>
      </c>
      <c r="G41" s="7" t="n">
        <v>0.0359</v>
      </c>
      <c r="H41" s="7" t="n">
        <v>0.2228</v>
      </c>
      <c r="I41" s="7" t="n">
        <v>0.7999000000000001</v>
      </c>
      <c r="J41" s="7" t="n">
        <v>4.59</v>
      </c>
    </row>
    <row r="42" ht="34" customHeight="1">
      <c r="A42" s="7" t="n">
        <v>5</v>
      </c>
      <c r="B42" s="7" t="n">
        <v>10</v>
      </c>
      <c r="C42" s="7" t="n">
        <v>14</v>
      </c>
      <c r="D42" s="7" t="inlineStr">
        <is>
          <t>S6</t>
        </is>
      </c>
      <c r="E42" s="7" t="inlineStr">
        <is>
          <t>Accesso a organi meccanici in movimento durante operazioni manuali</t>
        </is>
      </c>
      <c r="F42" s="7" t="n">
        <v>0</v>
      </c>
      <c r="G42" s="7" t="n">
        <v>0.0266</v>
      </c>
      <c r="H42" s="7" t="n">
        <v>0.3447</v>
      </c>
      <c r="I42" s="7" t="n">
        <v>0.9169</v>
      </c>
      <c r="J42" s="7" t="n">
        <v>5.26</v>
      </c>
    </row>
    <row r="43" ht="34" customHeight="1">
      <c r="A43" s="7" t="n">
        <v>5</v>
      </c>
      <c r="B43" s="7" t="n">
        <v>10</v>
      </c>
      <c r="C43" s="7" t="n">
        <v>14</v>
      </c>
      <c r="D43" s="7" t="inlineStr">
        <is>
          <t>S7</t>
        </is>
      </c>
      <c r="E43" s="7" t="inlineStr">
        <is>
          <t>Movimentazione manuale di carichi pesanti o instabili senza ausili meccanici adeguati</t>
        </is>
      </c>
      <c r="F43" s="7" t="n">
        <v>0</v>
      </c>
      <c r="G43" s="7" t="n">
        <v>0</v>
      </c>
      <c r="H43" s="7" t="n">
        <v>0.0759</v>
      </c>
      <c r="I43" s="7" t="n">
        <v>0</v>
      </c>
      <c r="J43" s="7" t="n">
        <v>0</v>
      </c>
    </row>
    <row r="44" ht="34" customHeight="1">
      <c r="A44" s="7" t="n">
        <v>6</v>
      </c>
      <c r="B44" s="7" t="n">
        <v>12</v>
      </c>
      <c r="C44" s="7" t="n">
        <v>16</v>
      </c>
      <c r="D44" s="7" t="inlineStr">
        <is>
          <t>S1</t>
        </is>
      </c>
      <c r="E44" s="7" t="inlineStr">
        <is>
          <t>Interferenza tra persone e mezzi di movimentazione negli spazi comuni</t>
        </is>
      </c>
      <c r="F44" s="7" t="n">
        <v>0.5</v>
      </c>
      <c r="G44" s="7" t="n">
        <v>0.5</v>
      </c>
      <c r="H44" s="7" t="n">
        <v>0.1109</v>
      </c>
      <c r="I44" s="7" t="n">
        <v>5.545</v>
      </c>
      <c r="J44" s="7" t="n">
        <v>20.54</v>
      </c>
    </row>
    <row r="45" ht="34" customHeight="1">
      <c r="A45" s="7" t="n">
        <v>6</v>
      </c>
      <c r="B45" s="7" t="n">
        <v>12</v>
      </c>
      <c r="C45" s="7" t="n">
        <v>16</v>
      </c>
      <c r="D45" s="7" t="inlineStr">
        <is>
          <t>S2</t>
        </is>
      </c>
      <c r="E45" s="7" t="inlineStr">
        <is>
          <t>Riduzione della visibilità durante lo svolgimento di un'attività</t>
        </is>
      </c>
      <c r="F45" s="7" t="n">
        <v>0.5</v>
      </c>
      <c r="G45" s="7" t="n">
        <v>0.8176</v>
      </c>
      <c r="H45" s="7" t="n">
        <v>0.037</v>
      </c>
      <c r="I45" s="7" t="n">
        <v>3.0251</v>
      </c>
      <c r="J45" s="7" t="n">
        <v>11.2</v>
      </c>
    </row>
    <row r="46" ht="34" customHeight="1">
      <c r="A46" s="7" t="n">
        <v>6</v>
      </c>
      <c r="B46" s="7" t="n">
        <v>12</v>
      </c>
      <c r="C46" s="7" t="n">
        <v>16</v>
      </c>
      <c r="D46" s="7" t="inlineStr">
        <is>
          <t>S3</t>
        </is>
      </c>
      <c r="E46" s="7" t="inlineStr">
        <is>
          <t>Comportamenti non conformi durante lo svolgimento di un'attività</t>
        </is>
      </c>
      <c r="F46" s="7" t="n">
        <v>0.25</v>
      </c>
      <c r="G46" s="7" t="n">
        <v>0.2689</v>
      </c>
      <c r="H46" s="7" t="n">
        <v>0.0549</v>
      </c>
      <c r="I46" s="7" t="n">
        <v>1.4763</v>
      </c>
      <c r="J46" s="7" t="n">
        <v>5.47</v>
      </c>
    </row>
    <row r="47" ht="34" customHeight="1">
      <c r="A47" s="7" t="n">
        <v>6</v>
      </c>
      <c r="B47" s="7" t="n">
        <v>12</v>
      </c>
      <c r="C47" s="7" t="n">
        <v>16</v>
      </c>
      <c r="D47" s="7" t="inlineStr">
        <is>
          <t>S4</t>
        </is>
      </c>
      <c r="E47" s="7" t="inlineStr">
        <is>
          <t>Interferenza tra mezzo e infrastrutture interne all'impianto</t>
        </is>
      </c>
      <c r="F47" s="7" t="n">
        <v>0.5</v>
      </c>
      <c r="G47" s="7" t="n">
        <v>0.7685</v>
      </c>
      <c r="H47" s="7" t="n">
        <v>0.1538</v>
      </c>
      <c r="I47" s="7" t="n">
        <v>11.8195</v>
      </c>
      <c r="J47" s="7" t="n">
        <v>43.78</v>
      </c>
    </row>
    <row r="48" ht="34" customHeight="1">
      <c r="A48" s="7" t="n">
        <v>6</v>
      </c>
      <c r="B48" s="7" t="n">
        <v>12</v>
      </c>
      <c r="C48" s="7" t="n">
        <v>16</v>
      </c>
      <c r="D48" s="7" t="inlineStr">
        <is>
          <t>S5</t>
        </is>
      </c>
      <c r="E48" s="7" t="inlineStr">
        <is>
          <t>Instabilità di elementi strutturali o di stoccaggio soggetti a urto o sovraccarico</t>
        </is>
      </c>
      <c r="F48" s="7" t="n">
        <v>0.5</v>
      </c>
      <c r="G48" s="7" t="n">
        <v>0.1895</v>
      </c>
      <c r="H48" s="7" t="n">
        <v>0.2228</v>
      </c>
      <c r="I48" s="7" t="n">
        <v>4.2221</v>
      </c>
      <c r="J48" s="7" t="n">
        <v>15.64</v>
      </c>
    </row>
    <row r="49" ht="34" customHeight="1">
      <c r="A49" s="7" t="n">
        <v>6</v>
      </c>
      <c r="B49" s="7" t="n">
        <v>12</v>
      </c>
      <c r="C49" s="7" t="n">
        <v>16</v>
      </c>
      <c r="D49" s="7" t="inlineStr">
        <is>
          <t>S6</t>
        </is>
      </c>
      <c r="E49" s="7" t="inlineStr">
        <is>
          <t>Accesso a organi meccanici in movimento durante operazioni manuali</t>
        </is>
      </c>
      <c r="F49" s="7" t="n">
        <v>0</v>
      </c>
      <c r="G49" s="7" t="n">
        <v>0.0266</v>
      </c>
      <c r="H49" s="7" t="n">
        <v>0.3447</v>
      </c>
      <c r="I49" s="7" t="n">
        <v>0.9169</v>
      </c>
      <c r="J49" s="7" t="n">
        <v>3.4</v>
      </c>
    </row>
    <row r="50" ht="34" customHeight="1">
      <c r="A50" s="7" t="n">
        <v>6</v>
      </c>
      <c r="B50" s="7" t="n">
        <v>12</v>
      </c>
      <c r="C50" s="7" t="n">
        <v>16</v>
      </c>
      <c r="D50" s="7" t="inlineStr">
        <is>
          <t>S7</t>
        </is>
      </c>
      <c r="E50" s="7" t="inlineStr">
        <is>
          <t>Movimentazione manuale di carichi pesanti o instabili senza ausili meccanici adeguati</t>
        </is>
      </c>
      <c r="F50" s="7" t="n">
        <v>0</v>
      </c>
      <c r="G50" s="7" t="n">
        <v>0</v>
      </c>
      <c r="H50" s="7" t="n">
        <v>0.0759</v>
      </c>
      <c r="I50" s="7" t="n">
        <v>0</v>
      </c>
      <c r="J50" s="7" t="n">
        <v>0</v>
      </c>
    </row>
    <row r="51" ht="34" customHeight="1">
      <c r="A51" s="7" t="n">
        <v>7</v>
      </c>
      <c r="B51" s="7" t="n">
        <v>14</v>
      </c>
      <c r="C51" s="7" t="n">
        <v>18</v>
      </c>
      <c r="D51" s="7" t="inlineStr">
        <is>
          <t>S1</t>
        </is>
      </c>
      <c r="E51" s="7" t="inlineStr">
        <is>
          <t>Interferenza tra persone e mezzi di movimentazione negli spazi comuni</t>
        </is>
      </c>
      <c r="F51" s="7" t="n">
        <v>0</v>
      </c>
      <c r="G51" s="7" t="n">
        <v>0</v>
      </c>
      <c r="H51" s="7" t="n">
        <v>0.1109</v>
      </c>
      <c r="I51" s="7" t="n">
        <v>0</v>
      </c>
      <c r="J51" s="7" t="n">
        <v>0</v>
      </c>
    </row>
    <row r="52" ht="34" customHeight="1">
      <c r="A52" s="7" t="n">
        <v>7</v>
      </c>
      <c r="B52" s="7" t="n">
        <v>14</v>
      </c>
      <c r="C52" s="7" t="n">
        <v>18</v>
      </c>
      <c r="D52" s="7" t="inlineStr">
        <is>
          <t>S2</t>
        </is>
      </c>
      <c r="E52" s="7" t="inlineStr">
        <is>
          <t>Riduzione della visibilità durante lo svolgimento di un'attività</t>
        </is>
      </c>
      <c r="F52" s="7" t="n">
        <v>0.5</v>
      </c>
      <c r="G52" s="7" t="n">
        <v>0.8176</v>
      </c>
      <c r="H52" s="7" t="n">
        <v>0.037</v>
      </c>
      <c r="I52" s="7" t="n">
        <v>3.0251</v>
      </c>
      <c r="J52" s="7" t="n">
        <v>42.67</v>
      </c>
    </row>
    <row r="53" ht="34" customHeight="1">
      <c r="A53" s="7" t="n">
        <v>7</v>
      </c>
      <c r="B53" s="7" t="n">
        <v>14</v>
      </c>
      <c r="C53" s="7" t="n">
        <v>18</v>
      </c>
      <c r="D53" s="7" t="inlineStr">
        <is>
          <t>S3</t>
        </is>
      </c>
      <c r="E53" s="7" t="inlineStr">
        <is>
          <t>Comportamenti non conformi durante lo svolgimento di un'attività</t>
        </is>
      </c>
      <c r="F53" s="7" t="n">
        <v>0</v>
      </c>
      <c r="G53" s="7" t="n">
        <v>0.0293</v>
      </c>
      <c r="H53" s="7" t="n">
        <v>0.0549</v>
      </c>
      <c r="I53" s="7" t="n">
        <v>0.1609</v>
      </c>
      <c r="J53" s="7" t="n">
        <v>2.27</v>
      </c>
    </row>
    <row r="54" ht="34" customHeight="1">
      <c r="A54" s="7" t="n">
        <v>7</v>
      </c>
      <c r="B54" s="7" t="n">
        <v>14</v>
      </c>
      <c r="C54" s="7" t="n">
        <v>18</v>
      </c>
      <c r="D54" s="7" t="inlineStr">
        <is>
          <t>S4</t>
        </is>
      </c>
      <c r="E54" s="7" t="inlineStr">
        <is>
          <t>Interferenza tra mezzo e infrastrutture interne all'impianto</t>
        </is>
      </c>
      <c r="F54" s="7" t="n">
        <v>0.25</v>
      </c>
      <c r="G54" s="7" t="n">
        <v>0.1419</v>
      </c>
      <c r="H54" s="7" t="n">
        <v>0.1538</v>
      </c>
      <c r="I54" s="7" t="n">
        <v>2.1824</v>
      </c>
      <c r="J54" s="7" t="n">
        <v>30.78</v>
      </c>
    </row>
    <row r="55" ht="34" customHeight="1">
      <c r="A55" s="7" t="n">
        <v>7</v>
      </c>
      <c r="B55" s="7" t="n">
        <v>14</v>
      </c>
      <c r="C55" s="7" t="n">
        <v>18</v>
      </c>
      <c r="D55" s="7" t="inlineStr">
        <is>
          <t>S5</t>
        </is>
      </c>
      <c r="E55" s="7" t="inlineStr">
        <is>
          <t>Instabilità di elementi strutturali o di stoccaggio soggetti a urto o sovraccarico</t>
        </is>
      </c>
      <c r="F55" s="7" t="n">
        <v>0.25</v>
      </c>
      <c r="G55" s="7" t="n">
        <v>0.0359</v>
      </c>
      <c r="H55" s="7" t="n">
        <v>0.2228</v>
      </c>
      <c r="I55" s="7" t="n">
        <v>0.7999000000000001</v>
      </c>
      <c r="J55" s="7" t="n">
        <v>11.28</v>
      </c>
    </row>
    <row r="56" ht="34" customHeight="1">
      <c r="A56" s="7" t="n">
        <v>7</v>
      </c>
      <c r="B56" s="7" t="n">
        <v>14</v>
      </c>
      <c r="C56" s="7" t="n">
        <v>18</v>
      </c>
      <c r="D56" s="7" t="inlineStr">
        <is>
          <t>S6</t>
        </is>
      </c>
      <c r="E56" s="7" t="inlineStr">
        <is>
          <t>Accesso a organi meccanici in movimento durante operazioni manuali</t>
        </is>
      </c>
      <c r="F56" s="7" t="n">
        <v>0</v>
      </c>
      <c r="G56" s="7" t="n">
        <v>0.0266</v>
      </c>
      <c r="H56" s="7" t="n">
        <v>0.3447</v>
      </c>
      <c r="I56" s="7" t="n">
        <v>0.9169</v>
      </c>
      <c r="J56" s="7" t="n">
        <v>12.93</v>
      </c>
    </row>
    <row r="57" ht="34" customHeight="1">
      <c r="A57" s="7" t="n">
        <v>7</v>
      </c>
      <c r="B57" s="7" t="n">
        <v>14</v>
      </c>
      <c r="C57" s="7" t="n">
        <v>18</v>
      </c>
      <c r="D57" s="7" t="inlineStr">
        <is>
          <t>S7</t>
        </is>
      </c>
      <c r="E57" s="7" t="inlineStr">
        <is>
          <t>Movimentazione manuale di carichi pesanti o instabili senza ausili meccanici adeguati</t>
        </is>
      </c>
      <c r="F57" s="7" t="n">
        <v>0</v>
      </c>
      <c r="G57" s="7" t="n">
        <v>0</v>
      </c>
      <c r="H57" s="7" t="n">
        <v>0.0759</v>
      </c>
      <c r="I57" s="7" t="n">
        <v>0</v>
      </c>
      <c r="J57" s="7" t="n">
        <v>0</v>
      </c>
    </row>
    <row r="58" ht="34" customHeight="1">
      <c r="A58" s="7" t="n">
        <v>8</v>
      </c>
      <c r="B58" s="7" t="n">
        <v>16</v>
      </c>
      <c r="C58" s="7" t="n">
        <v>20</v>
      </c>
      <c r="D58" s="7" t="inlineStr">
        <is>
          <t>S1</t>
        </is>
      </c>
      <c r="E58" s="7" t="inlineStr">
        <is>
          <t>Interferenza tra persone e mezzi di movimentazione negli spazi comuni</t>
        </is>
      </c>
      <c r="F58" s="7" t="n">
        <v>0.75</v>
      </c>
      <c r="G58" s="7" t="n">
        <v>0.75</v>
      </c>
      <c r="H58" s="7" t="n">
        <v>0.1109</v>
      </c>
      <c r="I58" s="7" t="n">
        <v>8.317500000000001</v>
      </c>
      <c r="J58" s="7" t="n">
        <v>25.02</v>
      </c>
    </row>
    <row r="59" ht="34" customHeight="1">
      <c r="A59" s="7" t="n">
        <v>8</v>
      </c>
      <c r="B59" s="7" t="n">
        <v>16</v>
      </c>
      <c r="C59" s="7" t="n">
        <v>20</v>
      </c>
      <c r="D59" s="7" t="inlineStr">
        <is>
          <t>S2</t>
        </is>
      </c>
      <c r="E59" s="7" t="inlineStr">
        <is>
          <t>Riduzione della visibilità durante lo svolgimento di un'attività</t>
        </is>
      </c>
      <c r="F59" s="7" t="n">
        <v>0.75</v>
      </c>
      <c r="G59" s="7" t="n">
        <v>0.9415</v>
      </c>
      <c r="H59" s="7" t="n">
        <v>0.037</v>
      </c>
      <c r="I59" s="7" t="n">
        <v>3.4835</v>
      </c>
      <c r="J59" s="7" t="n">
        <v>10.48</v>
      </c>
    </row>
    <row r="60" ht="34" customHeight="1">
      <c r="A60" s="7" t="n">
        <v>8</v>
      </c>
      <c r="B60" s="7" t="n">
        <v>16</v>
      </c>
      <c r="C60" s="7" t="n">
        <v>20</v>
      </c>
      <c r="D60" s="7" t="inlineStr">
        <is>
          <t>S3</t>
        </is>
      </c>
      <c r="E60" s="7" t="inlineStr">
        <is>
          <t>Comportamenti non conformi durante lo svolgimento di un'attività</t>
        </is>
      </c>
      <c r="F60" s="7" t="n">
        <v>0.5</v>
      </c>
      <c r="G60" s="7" t="n">
        <v>0.8176</v>
      </c>
      <c r="H60" s="7" t="n">
        <v>0.0549</v>
      </c>
      <c r="I60" s="7" t="n">
        <v>4.4886</v>
      </c>
      <c r="J60" s="7" t="n">
        <v>13.5</v>
      </c>
    </row>
    <row r="61" ht="34" customHeight="1">
      <c r="A61" s="7" t="n">
        <v>8</v>
      </c>
      <c r="B61" s="7" t="n">
        <v>16</v>
      </c>
      <c r="C61" s="7" t="n">
        <v>20</v>
      </c>
      <c r="D61" s="7" t="inlineStr">
        <is>
          <t>S4</t>
        </is>
      </c>
      <c r="E61" s="7" t="inlineStr">
        <is>
          <t>Interferenza tra mezzo e infrastrutture interne all'impianto</t>
        </is>
      </c>
      <c r="F61" s="7" t="n">
        <v>0.5</v>
      </c>
      <c r="G61" s="7" t="n">
        <v>0.7685</v>
      </c>
      <c r="H61" s="7" t="n">
        <v>0.1538</v>
      </c>
      <c r="I61" s="7" t="n">
        <v>11.8195</v>
      </c>
      <c r="J61" s="7" t="n">
        <v>35.55</v>
      </c>
    </row>
    <row r="62" ht="34" customHeight="1">
      <c r="A62" s="7" t="n">
        <v>8</v>
      </c>
      <c r="B62" s="7" t="n">
        <v>16</v>
      </c>
      <c r="C62" s="7" t="n">
        <v>20</v>
      </c>
      <c r="D62" s="7" t="inlineStr">
        <is>
          <t>S5</t>
        </is>
      </c>
      <c r="E62" s="7" t="inlineStr">
        <is>
          <t>Instabilità di elementi strutturali o di stoccaggio soggetti a urto o sovraccarico</t>
        </is>
      </c>
      <c r="F62" s="7" t="n">
        <v>0.5</v>
      </c>
      <c r="G62" s="7" t="n">
        <v>0.1895</v>
      </c>
      <c r="H62" s="7" t="n">
        <v>0.2228</v>
      </c>
      <c r="I62" s="7" t="n">
        <v>4.2221</v>
      </c>
      <c r="J62" s="7" t="n">
        <v>12.7</v>
      </c>
    </row>
    <row r="63" ht="34" customHeight="1">
      <c r="A63" s="7" t="n">
        <v>8</v>
      </c>
      <c r="B63" s="7" t="n">
        <v>16</v>
      </c>
      <c r="C63" s="7" t="n">
        <v>20</v>
      </c>
      <c r="D63" s="7" t="inlineStr">
        <is>
          <t>S6</t>
        </is>
      </c>
      <c r="E63" s="7" t="inlineStr">
        <is>
          <t>Accesso a organi meccanici in movimento durante operazioni manuali</t>
        </is>
      </c>
      <c r="F63" s="7" t="n">
        <v>0</v>
      </c>
      <c r="G63" s="7" t="n">
        <v>0.0266</v>
      </c>
      <c r="H63" s="7" t="n">
        <v>0.3447</v>
      </c>
      <c r="I63" s="7" t="n">
        <v>0.9169</v>
      </c>
      <c r="J63" s="7" t="n">
        <v>2.76</v>
      </c>
    </row>
    <row r="64" ht="34" customHeight="1">
      <c r="A64" s="7" t="n">
        <v>8</v>
      </c>
      <c r="B64" s="7" t="n">
        <v>16</v>
      </c>
      <c r="C64" s="7" t="n">
        <v>20</v>
      </c>
      <c r="D64" s="7" t="inlineStr">
        <is>
          <t>S7</t>
        </is>
      </c>
      <c r="E64" s="7" t="inlineStr">
        <is>
          <t>Movimentazione manuale di carichi pesanti o instabili senza ausili meccanici adeguati</t>
        </is>
      </c>
      <c r="F64" s="7" t="n">
        <v>0</v>
      </c>
      <c r="G64" s="7" t="n">
        <v>0</v>
      </c>
      <c r="H64" s="7" t="n">
        <v>0.0759</v>
      </c>
      <c r="I64" s="7" t="n">
        <v>0</v>
      </c>
      <c r="J64" s="7" t="n">
        <v>0</v>
      </c>
    </row>
    <row r="65" ht="34" customHeight="1">
      <c r="A65" s="7" t="n">
        <v>9</v>
      </c>
      <c r="B65" s="7" t="n">
        <v>18</v>
      </c>
      <c r="C65" s="7" t="n">
        <v>22</v>
      </c>
      <c r="D65" s="7" t="inlineStr">
        <is>
          <t>S1</t>
        </is>
      </c>
      <c r="E65" s="7" t="inlineStr">
        <is>
          <t>Interferenza tra persone e mezzi di movimentazione negli spazi comuni</t>
        </is>
      </c>
      <c r="F65" s="7" t="n">
        <v>0.5</v>
      </c>
      <c r="G65" s="7" t="n">
        <v>0.5</v>
      </c>
      <c r="H65" s="7" t="n">
        <v>0.1109</v>
      </c>
      <c r="I65" s="7" t="n">
        <v>5.545</v>
      </c>
      <c r="J65" s="7" t="n">
        <v>20.19</v>
      </c>
    </row>
    <row r="66" ht="34" customHeight="1">
      <c r="A66" s="7" t="n">
        <v>9</v>
      </c>
      <c r="B66" s="7" t="n">
        <v>18</v>
      </c>
      <c r="C66" s="7" t="n">
        <v>22</v>
      </c>
      <c r="D66" s="7" t="inlineStr">
        <is>
          <t>S2</t>
        </is>
      </c>
      <c r="E66" s="7" t="inlineStr">
        <is>
          <t>Riduzione della visibilità durante lo svolgimento di un'attività</t>
        </is>
      </c>
      <c r="F66" s="7" t="n">
        <v>0.75</v>
      </c>
      <c r="G66" s="7" t="n">
        <v>0.9415</v>
      </c>
      <c r="H66" s="7" t="n">
        <v>0.037</v>
      </c>
      <c r="I66" s="7" t="n">
        <v>3.4835</v>
      </c>
      <c r="J66" s="7" t="n">
        <v>12.69</v>
      </c>
    </row>
    <row r="67" ht="34" customHeight="1">
      <c r="A67" s="7" t="n">
        <v>9</v>
      </c>
      <c r="B67" s="7" t="n">
        <v>18</v>
      </c>
      <c r="C67" s="7" t="n">
        <v>22</v>
      </c>
      <c r="D67" s="7" t="inlineStr">
        <is>
          <t>S3</t>
        </is>
      </c>
      <c r="E67" s="7" t="inlineStr">
        <is>
          <t>Comportamenti non conformi durante lo svolgimento di un'attività</t>
        </is>
      </c>
      <c r="F67" s="7" t="n">
        <v>0.25</v>
      </c>
      <c r="G67" s="7" t="n">
        <v>0.2689</v>
      </c>
      <c r="H67" s="7" t="n">
        <v>0.0549</v>
      </c>
      <c r="I67" s="7" t="n">
        <v>1.4763</v>
      </c>
      <c r="J67" s="7" t="n">
        <v>5.38</v>
      </c>
    </row>
    <row r="68" ht="34" customHeight="1">
      <c r="A68" s="7" t="n">
        <v>9</v>
      </c>
      <c r="B68" s="7" t="n">
        <v>18</v>
      </c>
      <c r="C68" s="7" t="n">
        <v>22</v>
      </c>
      <c r="D68" s="7" t="inlineStr">
        <is>
          <t>S4</t>
        </is>
      </c>
      <c r="E68" s="7" t="inlineStr">
        <is>
          <t>Interferenza tra mezzo e infrastrutture interne all'impianto</t>
        </is>
      </c>
      <c r="F68" s="7" t="n">
        <v>0.5</v>
      </c>
      <c r="G68" s="7" t="n">
        <v>0.7685</v>
      </c>
      <c r="H68" s="7" t="n">
        <v>0.1538</v>
      </c>
      <c r="I68" s="7" t="n">
        <v>11.8195</v>
      </c>
      <c r="J68" s="7" t="n">
        <v>43.04</v>
      </c>
    </row>
    <row r="69" ht="34" customHeight="1">
      <c r="A69" s="7" t="n">
        <v>9</v>
      </c>
      <c r="B69" s="7" t="n">
        <v>18</v>
      </c>
      <c r="C69" s="7" t="n">
        <v>22</v>
      </c>
      <c r="D69" s="7" t="inlineStr">
        <is>
          <t>S5</t>
        </is>
      </c>
      <c r="E69" s="7" t="inlineStr">
        <is>
          <t>Instabilità di elementi strutturali o di stoccaggio soggetti a urto o sovraccarico</t>
        </is>
      </c>
      <c r="F69" s="7" t="n">
        <v>0.5</v>
      </c>
      <c r="G69" s="7" t="n">
        <v>0.1895</v>
      </c>
      <c r="H69" s="7" t="n">
        <v>0.2228</v>
      </c>
      <c r="I69" s="7" t="n">
        <v>4.2221</v>
      </c>
      <c r="J69" s="7" t="n">
        <v>15.38</v>
      </c>
    </row>
    <row r="70" ht="34" customHeight="1">
      <c r="A70" s="7" t="n">
        <v>9</v>
      </c>
      <c r="B70" s="7" t="n">
        <v>18</v>
      </c>
      <c r="C70" s="7" t="n">
        <v>22</v>
      </c>
      <c r="D70" s="7" t="inlineStr">
        <is>
          <t>S6</t>
        </is>
      </c>
      <c r="E70" s="7" t="inlineStr">
        <is>
          <t>Accesso a organi meccanici in movimento durante operazioni manuali</t>
        </is>
      </c>
      <c r="F70" s="7" t="n">
        <v>0</v>
      </c>
      <c r="G70" s="7" t="n">
        <v>0.0266</v>
      </c>
      <c r="H70" s="7" t="n">
        <v>0.3447</v>
      </c>
      <c r="I70" s="7" t="n">
        <v>0.9169</v>
      </c>
      <c r="J70" s="7" t="n">
        <v>3.34</v>
      </c>
    </row>
    <row r="71" ht="34" customHeight="1">
      <c r="A71" s="7" t="n">
        <v>9</v>
      </c>
      <c r="B71" s="7" t="n">
        <v>18</v>
      </c>
      <c r="C71" s="7" t="n">
        <v>22</v>
      </c>
      <c r="D71" s="7" t="inlineStr">
        <is>
          <t>S7</t>
        </is>
      </c>
      <c r="E71" s="7" t="inlineStr">
        <is>
          <t>Movimentazione manuale di carichi pesanti o instabili senza ausili meccanici adeguati</t>
        </is>
      </c>
      <c r="F71" s="7" t="n">
        <v>0</v>
      </c>
      <c r="G71" s="7" t="n">
        <v>0</v>
      </c>
      <c r="H71" s="7" t="n">
        <v>0.0759</v>
      </c>
      <c r="I71" s="7" t="n">
        <v>0</v>
      </c>
      <c r="J71" s="7" t="n">
        <v>0</v>
      </c>
    </row>
    <row r="72" ht="34" customHeight="1">
      <c r="A72" s="7" t="n">
        <v>10</v>
      </c>
      <c r="B72" s="7" t="n">
        <v>20</v>
      </c>
      <c r="C72" s="7" t="n">
        <v>24</v>
      </c>
      <c r="D72" s="7" t="inlineStr">
        <is>
          <t>S1</t>
        </is>
      </c>
      <c r="E72" s="7" t="inlineStr">
        <is>
          <t>Interferenza tra persone e mezzi di movimentazione negli spazi comuni</t>
        </is>
      </c>
      <c r="F72" s="7" t="n">
        <v>0.5</v>
      </c>
      <c r="G72" s="7" t="n">
        <v>0.5</v>
      </c>
      <c r="H72" s="7" t="n">
        <v>0.1109</v>
      </c>
      <c r="I72" s="7" t="n">
        <v>5.545</v>
      </c>
      <c r="J72" s="7" t="n">
        <v>26.61</v>
      </c>
    </row>
    <row r="73" ht="34" customHeight="1">
      <c r="A73" s="7" t="n">
        <v>10</v>
      </c>
      <c r="B73" s="7" t="n">
        <v>20</v>
      </c>
      <c r="C73" s="7" t="n">
        <v>24</v>
      </c>
      <c r="D73" s="7" t="inlineStr">
        <is>
          <t>S2</t>
        </is>
      </c>
      <c r="E73" s="7" t="inlineStr">
        <is>
          <t>Riduzione della visibilità durante lo svolgimento di un'attività</t>
        </is>
      </c>
      <c r="F73" s="7" t="n">
        <v>0.75</v>
      </c>
      <c r="G73" s="7" t="n">
        <v>0.9415</v>
      </c>
      <c r="H73" s="7" t="n">
        <v>0.037</v>
      </c>
      <c r="I73" s="7" t="n">
        <v>3.4835</v>
      </c>
      <c r="J73" s="7" t="n">
        <v>16.72</v>
      </c>
    </row>
    <row r="74" ht="34" customHeight="1">
      <c r="A74" s="7" t="n">
        <v>10</v>
      </c>
      <c r="B74" s="7" t="n">
        <v>20</v>
      </c>
      <c r="C74" s="7" t="n">
        <v>24</v>
      </c>
      <c r="D74" s="7" t="inlineStr">
        <is>
          <t>S3</t>
        </is>
      </c>
      <c r="E74" s="7" t="inlineStr">
        <is>
          <t>Comportamenti non conformi durante lo svolgimento di un'attività</t>
        </is>
      </c>
      <c r="F74" s="7" t="n">
        <v>0.5</v>
      </c>
      <c r="G74" s="7" t="n">
        <v>0.8176</v>
      </c>
      <c r="H74" s="7" t="n">
        <v>0.0549</v>
      </c>
      <c r="I74" s="7" t="n">
        <v>4.4886</v>
      </c>
      <c r="J74" s="7" t="n">
        <v>21.54</v>
      </c>
    </row>
    <row r="75" ht="34" customHeight="1">
      <c r="A75" s="7" t="n">
        <v>10</v>
      </c>
      <c r="B75" s="7" t="n">
        <v>20</v>
      </c>
      <c r="C75" s="7" t="n">
        <v>24</v>
      </c>
      <c r="D75" s="7" t="inlineStr">
        <is>
          <t>S4</t>
        </is>
      </c>
      <c r="E75" s="7" t="inlineStr">
        <is>
          <t>Interferenza tra mezzo e infrastrutture interne all'impianto</t>
        </is>
      </c>
      <c r="F75" s="7" t="n">
        <v>0.25</v>
      </c>
      <c r="G75" s="7" t="n">
        <v>0.1419</v>
      </c>
      <c r="H75" s="7" t="n">
        <v>0.1538</v>
      </c>
      <c r="I75" s="7" t="n">
        <v>2.1824</v>
      </c>
      <c r="J75" s="7" t="n">
        <v>10.47</v>
      </c>
    </row>
    <row r="76" ht="34" customHeight="1">
      <c r="A76" s="7" t="n">
        <v>10</v>
      </c>
      <c r="B76" s="7" t="n">
        <v>20</v>
      </c>
      <c r="C76" s="7" t="n">
        <v>24</v>
      </c>
      <c r="D76" s="7" t="inlineStr">
        <is>
          <t>S5</t>
        </is>
      </c>
      <c r="E76" s="7" t="inlineStr">
        <is>
          <t>Instabilità di elementi strutturali o di stoccaggio soggetti a urto o sovraccarico</t>
        </is>
      </c>
      <c r="F76" s="7" t="n">
        <v>0.5</v>
      </c>
      <c r="G76" s="7" t="n">
        <v>0.1895</v>
      </c>
      <c r="H76" s="7" t="n">
        <v>0.2228</v>
      </c>
      <c r="I76" s="7" t="n">
        <v>4.2221</v>
      </c>
      <c r="J76" s="7" t="n">
        <v>20.26</v>
      </c>
    </row>
    <row r="77" ht="34" customHeight="1">
      <c r="A77" s="7" t="n">
        <v>10</v>
      </c>
      <c r="B77" s="7" t="n">
        <v>20</v>
      </c>
      <c r="C77" s="7" t="n">
        <v>24</v>
      </c>
      <c r="D77" s="7" t="inlineStr">
        <is>
          <t>S6</t>
        </is>
      </c>
      <c r="E77" s="7" t="inlineStr">
        <is>
          <t>Accesso a organi meccanici in movimento durante operazioni manuali</t>
        </is>
      </c>
      <c r="F77" s="7" t="n">
        <v>0</v>
      </c>
      <c r="G77" s="7" t="n">
        <v>0.0266</v>
      </c>
      <c r="H77" s="7" t="n">
        <v>0.3447</v>
      </c>
      <c r="I77" s="7" t="n">
        <v>0.9169</v>
      </c>
      <c r="J77" s="7" t="n">
        <v>4.4</v>
      </c>
    </row>
    <row r="78" ht="34" customHeight="1">
      <c r="A78" s="7" t="n">
        <v>10</v>
      </c>
      <c r="B78" s="7" t="n">
        <v>20</v>
      </c>
      <c r="C78" s="7" t="n">
        <v>24</v>
      </c>
      <c r="D78" s="7" t="inlineStr">
        <is>
          <t>S7</t>
        </is>
      </c>
      <c r="E78" s="7" t="inlineStr">
        <is>
          <t>Movimentazione manuale di carichi pesanti o instabili senza ausili meccanici adeguati</t>
        </is>
      </c>
      <c r="F78" s="7" t="n">
        <v>0</v>
      </c>
      <c r="G78" s="7" t="n">
        <v>0</v>
      </c>
      <c r="H78" s="7" t="n">
        <v>0.0759</v>
      </c>
      <c r="I78" s="7" t="n">
        <v>0</v>
      </c>
      <c r="J78" s="7" t="n">
        <v>0</v>
      </c>
    </row>
    <row r="79" ht="34" customHeight="1">
      <c r="A79" s="7" t="n">
        <v>11</v>
      </c>
      <c r="B79" s="7" t="n">
        <v>22</v>
      </c>
      <c r="C79" s="7" t="n">
        <v>26</v>
      </c>
      <c r="D79" s="7" t="inlineStr">
        <is>
          <t>S1</t>
        </is>
      </c>
      <c r="E79" s="7" t="inlineStr">
        <is>
          <t>Interferenza tra persone e mezzi di movimentazione negli spazi comuni</t>
        </is>
      </c>
      <c r="F79" s="7" t="n">
        <v>0.75</v>
      </c>
      <c r="G79" s="7" t="n">
        <v>0.75</v>
      </c>
      <c r="H79" s="7" t="n">
        <v>0.1109</v>
      </c>
      <c r="I79" s="7" t="n">
        <v>8.317500000000001</v>
      </c>
      <c r="J79" s="7" t="n">
        <v>24.2</v>
      </c>
    </row>
    <row r="80" ht="34" customHeight="1">
      <c r="A80" s="7" t="n">
        <v>11</v>
      </c>
      <c r="B80" s="7" t="n">
        <v>22</v>
      </c>
      <c r="C80" s="7" t="n">
        <v>26</v>
      </c>
      <c r="D80" s="7" t="inlineStr">
        <is>
          <t>S2</t>
        </is>
      </c>
      <c r="E80" s="7" t="inlineStr">
        <is>
          <t>Riduzione della visibilità durante lo svolgimento di un'attività</t>
        </is>
      </c>
      <c r="F80" s="7" t="n">
        <v>1</v>
      </c>
      <c r="G80" s="7" t="n">
        <v>1</v>
      </c>
      <c r="H80" s="7" t="n">
        <v>0.037</v>
      </c>
      <c r="I80" s="7" t="n">
        <v>3.7</v>
      </c>
      <c r="J80" s="7" t="n">
        <v>10.77</v>
      </c>
    </row>
    <row r="81" ht="34" customHeight="1">
      <c r="A81" s="7" t="n">
        <v>11</v>
      </c>
      <c r="B81" s="7" t="n">
        <v>22</v>
      </c>
      <c r="C81" s="7" t="n">
        <v>26</v>
      </c>
      <c r="D81" s="7" t="inlineStr">
        <is>
          <t>S3</t>
        </is>
      </c>
      <c r="E81" s="7" t="inlineStr">
        <is>
          <t>Comportamenti non conformi durante lo svolgimento di un'attività</t>
        </is>
      </c>
      <c r="F81" s="7" t="n">
        <v>0.75</v>
      </c>
      <c r="G81" s="7" t="n">
        <v>0.982</v>
      </c>
      <c r="H81" s="7" t="n">
        <v>0.0549</v>
      </c>
      <c r="I81" s="7" t="n">
        <v>5.3912</v>
      </c>
      <c r="J81" s="7" t="n">
        <v>15.69</v>
      </c>
    </row>
    <row r="82" ht="34" customHeight="1">
      <c r="A82" s="7" t="n">
        <v>11</v>
      </c>
      <c r="B82" s="7" t="n">
        <v>22</v>
      </c>
      <c r="C82" s="7" t="n">
        <v>26</v>
      </c>
      <c r="D82" s="7" t="inlineStr">
        <is>
          <t>S4</t>
        </is>
      </c>
      <c r="E82" s="7" t="inlineStr">
        <is>
          <t>Interferenza tra mezzo e infrastrutture interne all'impianto</t>
        </is>
      </c>
      <c r="F82" s="7" t="n">
        <v>0.5</v>
      </c>
      <c r="G82" s="7" t="n">
        <v>0.7685</v>
      </c>
      <c r="H82" s="7" t="n">
        <v>0.1538</v>
      </c>
      <c r="I82" s="7" t="n">
        <v>11.8195</v>
      </c>
      <c r="J82" s="7" t="n">
        <v>34.39</v>
      </c>
    </row>
    <row r="83" ht="34" customHeight="1">
      <c r="A83" s="7" t="n">
        <v>11</v>
      </c>
      <c r="B83" s="7" t="n">
        <v>22</v>
      </c>
      <c r="C83" s="7" t="n">
        <v>26</v>
      </c>
      <c r="D83" s="7" t="inlineStr">
        <is>
          <t>S5</t>
        </is>
      </c>
      <c r="E83" s="7" t="inlineStr">
        <is>
          <t>Instabilità di elementi strutturali o di stoccaggio soggetti a urto o sovraccarico</t>
        </is>
      </c>
      <c r="F83" s="7" t="n">
        <v>0.5</v>
      </c>
      <c r="G83" s="7" t="n">
        <v>0.1895</v>
      </c>
      <c r="H83" s="7" t="n">
        <v>0.2228</v>
      </c>
      <c r="I83" s="7" t="n">
        <v>4.2221</v>
      </c>
      <c r="J83" s="7" t="n">
        <v>12.28</v>
      </c>
    </row>
    <row r="84" ht="34" customHeight="1">
      <c r="A84" s="7" t="n">
        <v>11</v>
      </c>
      <c r="B84" s="7" t="n">
        <v>22</v>
      </c>
      <c r="C84" s="7" t="n">
        <v>26</v>
      </c>
      <c r="D84" s="7" t="inlineStr">
        <is>
          <t>S6</t>
        </is>
      </c>
      <c r="E84" s="7" t="inlineStr">
        <is>
          <t>Accesso a organi meccanici in movimento durante operazioni manuali</t>
        </is>
      </c>
      <c r="F84" s="7" t="n">
        <v>0</v>
      </c>
      <c r="G84" s="7" t="n">
        <v>0.0266</v>
      </c>
      <c r="H84" s="7" t="n">
        <v>0.3447</v>
      </c>
      <c r="I84" s="7" t="n">
        <v>0.9169</v>
      </c>
      <c r="J84" s="7" t="n">
        <v>2.67</v>
      </c>
    </row>
    <row r="85" ht="34" customHeight="1">
      <c r="A85" s="7" t="n">
        <v>11</v>
      </c>
      <c r="B85" s="7" t="n">
        <v>22</v>
      </c>
      <c r="C85" s="7" t="n">
        <v>26</v>
      </c>
      <c r="D85" s="7" t="inlineStr">
        <is>
          <t>S7</t>
        </is>
      </c>
      <c r="E85" s="7" t="inlineStr">
        <is>
          <t>Movimentazione manuale di carichi pesanti o instabili senza ausili meccanici adeguati</t>
        </is>
      </c>
      <c r="F85" s="7" t="n">
        <v>0</v>
      </c>
      <c r="G85" s="7" t="n">
        <v>0</v>
      </c>
      <c r="H85" s="7" t="n">
        <v>0.0759</v>
      </c>
      <c r="I85" s="7" t="n">
        <v>0</v>
      </c>
      <c r="J85" s="7" t="n">
        <v>0</v>
      </c>
    </row>
    <row r="86" ht="34" customHeight="1">
      <c r="A86" s="7" t="n">
        <v>12</v>
      </c>
      <c r="B86" s="7" t="n">
        <v>24</v>
      </c>
      <c r="C86" s="7" t="n">
        <v>28</v>
      </c>
      <c r="D86" s="7" t="inlineStr">
        <is>
          <t>S1</t>
        </is>
      </c>
      <c r="E86" s="7" t="inlineStr">
        <is>
          <t>Interferenza tra persone e mezzi di movimentazione negli spazi comuni</t>
        </is>
      </c>
      <c r="F86" s="7" t="n">
        <v>0.25</v>
      </c>
      <c r="G86" s="7" t="n">
        <v>0.25</v>
      </c>
      <c r="H86" s="7" t="n">
        <v>0.1109</v>
      </c>
      <c r="I86" s="7" t="n">
        <v>2.7725</v>
      </c>
      <c r="J86" s="7" t="n">
        <v>15.34</v>
      </c>
    </row>
    <row r="87" ht="34" customHeight="1">
      <c r="A87" s="7" t="n">
        <v>12</v>
      </c>
      <c r="B87" s="7" t="n">
        <v>24</v>
      </c>
      <c r="C87" s="7" t="n">
        <v>28</v>
      </c>
      <c r="D87" s="7" t="inlineStr">
        <is>
          <t>S2</t>
        </is>
      </c>
      <c r="E87" s="7" t="inlineStr">
        <is>
          <t>Riduzione della visibilità durante lo svolgimento di un'attività</t>
        </is>
      </c>
      <c r="F87" s="7" t="n">
        <v>0.75</v>
      </c>
      <c r="G87" s="7" t="n">
        <v>0.9415</v>
      </c>
      <c r="H87" s="7" t="n">
        <v>0.037</v>
      </c>
      <c r="I87" s="7" t="n">
        <v>3.4835</v>
      </c>
      <c r="J87" s="7" t="n">
        <v>19.28</v>
      </c>
    </row>
    <row r="88" ht="34" customHeight="1">
      <c r="A88" s="7" t="n">
        <v>12</v>
      </c>
      <c r="B88" s="7" t="n">
        <v>24</v>
      </c>
      <c r="C88" s="7" t="n">
        <v>28</v>
      </c>
      <c r="D88" s="7" t="inlineStr">
        <is>
          <t>S3</t>
        </is>
      </c>
      <c r="E88" s="7" t="inlineStr">
        <is>
          <t>Comportamenti non conformi durante lo svolgimento di un'attività</t>
        </is>
      </c>
      <c r="F88" s="7" t="n">
        <v>0.5</v>
      </c>
      <c r="G88" s="7" t="n">
        <v>0.8176</v>
      </c>
      <c r="H88" s="7" t="n">
        <v>0.0549</v>
      </c>
      <c r="I88" s="7" t="n">
        <v>4.4886</v>
      </c>
      <c r="J88" s="7" t="n">
        <v>24.84</v>
      </c>
    </row>
    <row r="89" ht="34" customHeight="1">
      <c r="A89" s="7" t="n">
        <v>12</v>
      </c>
      <c r="B89" s="7" t="n">
        <v>24</v>
      </c>
      <c r="C89" s="7" t="n">
        <v>28</v>
      </c>
      <c r="D89" s="7" t="inlineStr">
        <is>
          <t>S4</t>
        </is>
      </c>
      <c r="E89" s="7" t="inlineStr">
        <is>
          <t>Interferenza tra mezzo e infrastrutture interne all'impianto</t>
        </is>
      </c>
      <c r="F89" s="7" t="n">
        <v>0.25</v>
      </c>
      <c r="G89" s="7" t="n">
        <v>0.1419</v>
      </c>
      <c r="H89" s="7" t="n">
        <v>0.1538</v>
      </c>
      <c r="I89" s="7" t="n">
        <v>2.1824</v>
      </c>
      <c r="J89" s="7" t="n">
        <v>12.08</v>
      </c>
    </row>
    <row r="90" ht="34" customHeight="1">
      <c r="A90" s="7" t="n">
        <v>12</v>
      </c>
      <c r="B90" s="7" t="n">
        <v>24</v>
      </c>
      <c r="C90" s="7" t="n">
        <v>28</v>
      </c>
      <c r="D90" s="7" t="inlineStr">
        <is>
          <t>S5</t>
        </is>
      </c>
      <c r="E90" s="7" t="inlineStr">
        <is>
          <t>Instabilità di elementi strutturali o di stoccaggio soggetti a urto o sovraccarico</t>
        </is>
      </c>
      <c r="F90" s="7" t="n">
        <v>0.5</v>
      </c>
      <c r="G90" s="7" t="n">
        <v>0.1895</v>
      </c>
      <c r="H90" s="7" t="n">
        <v>0.2228</v>
      </c>
      <c r="I90" s="7" t="n">
        <v>4.2221</v>
      </c>
      <c r="J90" s="7" t="n">
        <v>23.37</v>
      </c>
    </row>
    <row r="91" ht="34" customHeight="1">
      <c r="A91" s="7" t="n">
        <v>12</v>
      </c>
      <c r="B91" s="7" t="n">
        <v>24</v>
      </c>
      <c r="C91" s="7" t="n">
        <v>28</v>
      </c>
      <c r="D91" s="7" t="inlineStr">
        <is>
          <t>S6</t>
        </is>
      </c>
      <c r="E91" s="7" t="inlineStr">
        <is>
          <t>Accesso a organi meccanici in movimento durante operazioni manuali</t>
        </is>
      </c>
      <c r="F91" s="7" t="n">
        <v>0</v>
      </c>
      <c r="G91" s="7" t="n">
        <v>0.0266</v>
      </c>
      <c r="H91" s="7" t="n">
        <v>0.3447</v>
      </c>
      <c r="I91" s="7" t="n">
        <v>0.9169</v>
      </c>
      <c r="J91" s="7" t="n">
        <v>5.07</v>
      </c>
    </row>
    <row r="92" ht="34" customHeight="1">
      <c r="A92" s="7" t="n">
        <v>12</v>
      </c>
      <c r="B92" s="7" t="n">
        <v>24</v>
      </c>
      <c r="C92" s="7" t="n">
        <v>28</v>
      </c>
      <c r="D92" s="7" t="inlineStr">
        <is>
          <t>S7</t>
        </is>
      </c>
      <c r="E92" s="7" t="inlineStr">
        <is>
          <t>Movimentazione manuale di carichi pesanti o instabili senza ausili meccanici adeguati</t>
        </is>
      </c>
      <c r="F92" s="7" t="n">
        <v>0</v>
      </c>
      <c r="G92" s="7" t="n">
        <v>0</v>
      </c>
      <c r="H92" s="7" t="n">
        <v>0.0759</v>
      </c>
      <c r="I92" s="7" t="n">
        <v>0</v>
      </c>
      <c r="J92" s="7" t="n">
        <v>0</v>
      </c>
    </row>
    <row r="93" ht="34" customHeight="1">
      <c r="A93" s="7" t="n">
        <v>13</v>
      </c>
      <c r="B93" s="7" t="n">
        <v>26</v>
      </c>
      <c r="C93" s="7" t="n">
        <v>30</v>
      </c>
      <c r="D93" s="7" t="inlineStr">
        <is>
          <t>S1</t>
        </is>
      </c>
      <c r="E93" s="7" t="inlineStr">
        <is>
          <t>Interferenza tra persone e mezzi di movimentazione negli spazi comuni</t>
        </is>
      </c>
      <c r="F93" s="7" t="n">
        <v>0.5</v>
      </c>
      <c r="G93" s="7" t="n">
        <v>0.5</v>
      </c>
      <c r="H93" s="7" t="n">
        <v>0.1109</v>
      </c>
      <c r="I93" s="7" t="n">
        <v>5.545</v>
      </c>
      <c r="J93" s="7" t="n">
        <v>20.19</v>
      </c>
    </row>
    <row r="94" ht="34" customHeight="1">
      <c r="A94" s="7" t="n">
        <v>13</v>
      </c>
      <c r="B94" s="7" t="n">
        <v>26</v>
      </c>
      <c r="C94" s="7" t="n">
        <v>30</v>
      </c>
      <c r="D94" s="7" t="inlineStr">
        <is>
          <t>S2</t>
        </is>
      </c>
      <c r="E94" s="7" t="inlineStr">
        <is>
          <t>Riduzione della visibilità durante lo svolgimento di un'attività</t>
        </is>
      </c>
      <c r="F94" s="7" t="n">
        <v>0.75</v>
      </c>
      <c r="G94" s="7" t="n">
        <v>0.9415</v>
      </c>
      <c r="H94" s="7" t="n">
        <v>0.037</v>
      </c>
      <c r="I94" s="7" t="n">
        <v>3.4835</v>
      </c>
      <c r="J94" s="7" t="n">
        <v>12.69</v>
      </c>
    </row>
    <row r="95" ht="34" customHeight="1">
      <c r="A95" s="7" t="n">
        <v>13</v>
      </c>
      <c r="B95" s="7" t="n">
        <v>26</v>
      </c>
      <c r="C95" s="7" t="n">
        <v>30</v>
      </c>
      <c r="D95" s="7" t="inlineStr">
        <is>
          <t>S3</t>
        </is>
      </c>
      <c r="E95" s="7" t="inlineStr">
        <is>
          <t>Comportamenti non conformi durante lo svolgimento di un'attività</t>
        </is>
      </c>
      <c r="F95" s="7" t="n">
        <v>0.25</v>
      </c>
      <c r="G95" s="7" t="n">
        <v>0.2689</v>
      </c>
      <c r="H95" s="7" t="n">
        <v>0.0549</v>
      </c>
      <c r="I95" s="7" t="n">
        <v>1.4763</v>
      </c>
      <c r="J95" s="7" t="n">
        <v>5.38</v>
      </c>
    </row>
    <row r="96" ht="34" customHeight="1">
      <c r="A96" s="7" t="n">
        <v>13</v>
      </c>
      <c r="B96" s="7" t="n">
        <v>26</v>
      </c>
      <c r="C96" s="7" t="n">
        <v>30</v>
      </c>
      <c r="D96" s="7" t="inlineStr">
        <is>
          <t>S4</t>
        </is>
      </c>
      <c r="E96" s="7" t="inlineStr">
        <is>
          <t>Interferenza tra mezzo e infrastrutture interne all'impianto</t>
        </is>
      </c>
      <c r="F96" s="7" t="n">
        <v>0.5</v>
      </c>
      <c r="G96" s="7" t="n">
        <v>0.7685</v>
      </c>
      <c r="H96" s="7" t="n">
        <v>0.1538</v>
      </c>
      <c r="I96" s="7" t="n">
        <v>11.8195</v>
      </c>
      <c r="J96" s="7" t="n">
        <v>43.04</v>
      </c>
    </row>
    <row r="97" ht="34" customHeight="1">
      <c r="A97" s="7" t="n">
        <v>13</v>
      </c>
      <c r="B97" s="7" t="n">
        <v>26</v>
      </c>
      <c r="C97" s="7" t="n">
        <v>30</v>
      </c>
      <c r="D97" s="7" t="inlineStr">
        <is>
          <t>S5</t>
        </is>
      </c>
      <c r="E97" s="7" t="inlineStr">
        <is>
          <t>Instabilità di elementi strutturali o di stoccaggio soggetti a urto o sovraccarico</t>
        </is>
      </c>
      <c r="F97" s="7" t="n">
        <v>0.5</v>
      </c>
      <c r="G97" s="7" t="n">
        <v>0.1895</v>
      </c>
      <c r="H97" s="7" t="n">
        <v>0.2228</v>
      </c>
      <c r="I97" s="7" t="n">
        <v>4.2221</v>
      </c>
      <c r="J97" s="7" t="n">
        <v>15.38</v>
      </c>
    </row>
    <row r="98" ht="34" customHeight="1">
      <c r="A98" s="7" t="n">
        <v>13</v>
      </c>
      <c r="B98" s="7" t="n">
        <v>26</v>
      </c>
      <c r="C98" s="7" t="n">
        <v>30</v>
      </c>
      <c r="D98" s="7" t="inlineStr">
        <is>
          <t>S6</t>
        </is>
      </c>
      <c r="E98" s="7" t="inlineStr">
        <is>
          <t>Accesso a organi meccanici in movimento durante operazioni manuali</t>
        </is>
      </c>
      <c r="F98" s="7" t="n">
        <v>0</v>
      </c>
      <c r="G98" s="7" t="n">
        <v>0.0266</v>
      </c>
      <c r="H98" s="7" t="n">
        <v>0.3447</v>
      </c>
      <c r="I98" s="7" t="n">
        <v>0.9169</v>
      </c>
      <c r="J98" s="7" t="n">
        <v>3.34</v>
      </c>
    </row>
    <row r="99" ht="34" customHeight="1">
      <c r="A99" s="7" t="n">
        <v>13</v>
      </c>
      <c r="B99" s="7" t="n">
        <v>26</v>
      </c>
      <c r="C99" s="7" t="n">
        <v>30</v>
      </c>
      <c r="D99" s="7" t="inlineStr">
        <is>
          <t>S7</t>
        </is>
      </c>
      <c r="E99" s="7" t="inlineStr">
        <is>
          <t>Movimentazione manuale di carichi pesanti o instabili senza ausili meccanici adeguati</t>
        </is>
      </c>
      <c r="F99" s="7" t="n">
        <v>0</v>
      </c>
      <c r="G99" s="7" t="n">
        <v>0</v>
      </c>
      <c r="H99" s="7" t="n">
        <v>0.0759</v>
      </c>
      <c r="I99" s="7" t="n">
        <v>0</v>
      </c>
      <c r="J99" s="7" t="n">
        <v>0</v>
      </c>
    </row>
    <row r="100" ht="34" customHeight="1">
      <c r="A100" s="7" t="n">
        <v>14</v>
      </c>
      <c r="B100" s="7" t="n">
        <v>28</v>
      </c>
      <c r="C100" s="7" t="n">
        <v>32</v>
      </c>
      <c r="D100" s="7" t="inlineStr">
        <is>
          <t>S1</t>
        </is>
      </c>
      <c r="E100" s="7" t="inlineStr">
        <is>
          <t>Interferenza tra persone e mezzi di movimentazione negli spazi comuni</t>
        </is>
      </c>
      <c r="F100" s="7" t="n">
        <v>0</v>
      </c>
      <c r="G100" s="7" t="n">
        <v>0</v>
      </c>
      <c r="H100" s="7" t="n">
        <v>0.1109</v>
      </c>
      <c r="I100" s="7" t="n">
        <v>0</v>
      </c>
      <c r="J100" s="7" t="n">
        <v>0</v>
      </c>
    </row>
    <row r="101" ht="34" customHeight="1">
      <c r="A101" s="7" t="n">
        <v>14</v>
      </c>
      <c r="B101" s="7" t="n">
        <v>28</v>
      </c>
      <c r="C101" s="7" t="n">
        <v>32</v>
      </c>
      <c r="D101" s="7" t="inlineStr">
        <is>
          <t>S2</t>
        </is>
      </c>
      <c r="E101" s="7" t="inlineStr">
        <is>
          <t>Riduzione della visibilità durante lo svolgimento di un'attività</t>
        </is>
      </c>
      <c r="F101" s="7" t="n">
        <v>0</v>
      </c>
      <c r="G101" s="7" t="n">
        <v>0</v>
      </c>
      <c r="H101" s="7" t="n">
        <v>0.037</v>
      </c>
      <c r="I101" s="7" t="n">
        <v>0</v>
      </c>
      <c r="J101" s="7" t="n">
        <v>0</v>
      </c>
    </row>
    <row r="102" ht="34" customHeight="1">
      <c r="A102" s="7" t="n">
        <v>14</v>
      </c>
      <c r="B102" s="7" t="n">
        <v>28</v>
      </c>
      <c r="C102" s="7" t="n">
        <v>32</v>
      </c>
      <c r="D102" s="7" t="inlineStr">
        <is>
          <t>S3</t>
        </is>
      </c>
      <c r="E102" s="7" t="inlineStr">
        <is>
          <t>Comportamenti non conformi durante lo svolgimento di un'attività</t>
        </is>
      </c>
      <c r="F102" s="7" t="n">
        <v>0</v>
      </c>
      <c r="G102" s="7" t="n">
        <v>0.0293</v>
      </c>
      <c r="H102" s="7" t="n">
        <v>0.0549</v>
      </c>
      <c r="I102" s="7" t="n">
        <v>0.1609</v>
      </c>
      <c r="J102" s="7" t="n">
        <v>8.039999999999999</v>
      </c>
    </row>
    <row r="103" ht="34" customHeight="1">
      <c r="A103" s="7" t="n">
        <v>14</v>
      </c>
      <c r="B103" s="7" t="n">
        <v>28</v>
      </c>
      <c r="C103" s="7" t="n">
        <v>32</v>
      </c>
      <c r="D103" s="7" t="inlineStr">
        <is>
          <t>S4</t>
        </is>
      </c>
      <c r="E103" s="7" t="inlineStr">
        <is>
          <t>Interferenza tra mezzo e infrastrutture interne all'impianto</t>
        </is>
      </c>
      <c r="F103" s="7" t="n">
        <v>0</v>
      </c>
      <c r="G103" s="7" t="n">
        <v>0.008200000000000001</v>
      </c>
      <c r="H103" s="7" t="n">
        <v>0.1538</v>
      </c>
      <c r="I103" s="7" t="n">
        <v>0.1261</v>
      </c>
      <c r="J103" s="7" t="n">
        <v>6.3</v>
      </c>
    </row>
    <row r="104" ht="34" customHeight="1">
      <c r="A104" s="7" t="n">
        <v>14</v>
      </c>
      <c r="B104" s="7" t="n">
        <v>28</v>
      </c>
      <c r="C104" s="7" t="n">
        <v>32</v>
      </c>
      <c r="D104" s="7" t="inlineStr">
        <is>
          <t>S5</t>
        </is>
      </c>
      <c r="E104" s="7" t="inlineStr">
        <is>
          <t>Instabilità di elementi strutturali o di stoccaggio soggetti a urto o sovraccarico</t>
        </is>
      </c>
      <c r="F104" s="7" t="n">
        <v>0.25</v>
      </c>
      <c r="G104" s="7" t="n">
        <v>0.0359</v>
      </c>
      <c r="H104" s="7" t="n">
        <v>0.2228</v>
      </c>
      <c r="I104" s="7" t="n">
        <v>0.7999000000000001</v>
      </c>
      <c r="J104" s="7" t="n">
        <v>40</v>
      </c>
    </row>
    <row r="105" ht="34" customHeight="1">
      <c r="A105" s="7" t="n">
        <v>14</v>
      </c>
      <c r="B105" s="7" t="n">
        <v>28</v>
      </c>
      <c r="C105" s="7" t="n">
        <v>32</v>
      </c>
      <c r="D105" s="7" t="inlineStr">
        <is>
          <t>S6</t>
        </is>
      </c>
      <c r="E105" s="7" t="inlineStr">
        <is>
          <t>Accesso a organi meccanici in movimento durante operazioni manuali</t>
        </is>
      </c>
      <c r="F105" s="7" t="n">
        <v>0</v>
      </c>
      <c r="G105" s="7" t="n">
        <v>0.0266</v>
      </c>
      <c r="H105" s="7" t="n">
        <v>0.3447</v>
      </c>
      <c r="I105" s="7" t="n">
        <v>0.9169</v>
      </c>
      <c r="J105" s="7" t="n">
        <v>45.84</v>
      </c>
    </row>
    <row r="106" ht="34" customHeight="1">
      <c r="A106" s="7" t="n">
        <v>14</v>
      </c>
      <c r="B106" s="7" t="n">
        <v>28</v>
      </c>
      <c r="C106" s="7" t="n">
        <v>32</v>
      </c>
      <c r="D106" s="7" t="inlineStr">
        <is>
          <t>S7</t>
        </is>
      </c>
      <c r="E106" s="7" t="inlineStr">
        <is>
          <t>Movimentazione manuale di carichi pesanti o instabili senza ausili meccanici adeguati</t>
        </is>
      </c>
      <c r="F106" s="7" t="n">
        <v>0</v>
      </c>
      <c r="G106" s="7" t="n">
        <v>0</v>
      </c>
      <c r="H106" s="7" t="n">
        <v>0.0759</v>
      </c>
      <c r="I106" s="7" t="n">
        <v>0</v>
      </c>
      <c r="J106" s="7" t="n">
        <v>0</v>
      </c>
    </row>
    <row r="107" ht="34" customHeight="1">
      <c r="A107" s="7" t="n">
        <v>15</v>
      </c>
      <c r="B107" s="7" t="n">
        <v>30</v>
      </c>
      <c r="C107" s="7" t="n">
        <v>34</v>
      </c>
      <c r="D107" s="7" t="inlineStr">
        <is>
          <t>S1</t>
        </is>
      </c>
      <c r="E107" s="7" t="inlineStr">
        <is>
          <t>Interferenza tra persone e mezzi di movimentazione negli spazi comuni</t>
        </is>
      </c>
      <c r="F107" s="7" t="n">
        <v>0.25</v>
      </c>
      <c r="G107" s="7" t="n">
        <v>0.25</v>
      </c>
      <c r="H107" s="7" t="n">
        <v>0.1109</v>
      </c>
      <c r="I107" s="7" t="n">
        <v>2.7725</v>
      </c>
      <c r="J107" s="7" t="n">
        <v>7.39</v>
      </c>
    </row>
    <row r="108" ht="34" customHeight="1">
      <c r="A108" s="7" t="n">
        <v>15</v>
      </c>
      <c r="B108" s="7" t="n">
        <v>30</v>
      </c>
      <c r="C108" s="7" t="n">
        <v>34</v>
      </c>
      <c r="D108" s="7" t="inlineStr">
        <is>
          <t>S2</t>
        </is>
      </c>
      <c r="E108" s="7" t="inlineStr">
        <is>
          <t>Riduzione della visibilità durante lo svolgimento di un'attività</t>
        </is>
      </c>
      <c r="F108" s="7" t="n">
        <v>0.25</v>
      </c>
      <c r="G108" s="7" t="n">
        <v>0.5553</v>
      </c>
      <c r="H108" s="7" t="n">
        <v>0.037</v>
      </c>
      <c r="I108" s="7" t="n">
        <v>2.0546</v>
      </c>
      <c r="J108" s="7" t="n">
        <v>5.48</v>
      </c>
    </row>
    <row r="109" ht="34" customHeight="1">
      <c r="A109" s="7" t="n">
        <v>15</v>
      </c>
      <c r="B109" s="7" t="n">
        <v>30</v>
      </c>
      <c r="C109" s="7" t="n">
        <v>34</v>
      </c>
      <c r="D109" s="7" t="inlineStr">
        <is>
          <t>S3</t>
        </is>
      </c>
      <c r="E109" s="7" t="inlineStr">
        <is>
          <t>Comportamenti non conformi durante lo svolgimento di un'attività</t>
        </is>
      </c>
      <c r="F109" s="7" t="n">
        <v>0</v>
      </c>
      <c r="G109" s="7" t="n">
        <v>0.0293</v>
      </c>
      <c r="H109" s="7" t="n">
        <v>0.0549</v>
      </c>
      <c r="I109" s="7" t="n">
        <v>0.1609</v>
      </c>
      <c r="J109" s="7" t="n">
        <v>0.43</v>
      </c>
    </row>
    <row r="110" ht="34" customHeight="1">
      <c r="A110" s="7" t="n">
        <v>15</v>
      </c>
      <c r="B110" s="7" t="n">
        <v>30</v>
      </c>
      <c r="C110" s="7" t="n">
        <v>34</v>
      </c>
      <c r="D110" s="7" t="inlineStr">
        <is>
          <t>S4</t>
        </is>
      </c>
      <c r="E110" s="7" t="inlineStr">
        <is>
          <t>Interferenza tra mezzo e infrastrutture interne all'impianto</t>
        </is>
      </c>
      <c r="F110" s="7" t="n">
        <v>0</v>
      </c>
      <c r="G110" s="7" t="n">
        <v>0.008200000000000001</v>
      </c>
      <c r="H110" s="7" t="n">
        <v>0.1538</v>
      </c>
      <c r="I110" s="7" t="n">
        <v>0.1261</v>
      </c>
      <c r="J110" s="7" t="n">
        <v>0.34</v>
      </c>
    </row>
    <row r="111" ht="34" customHeight="1">
      <c r="A111" s="7" t="n">
        <v>15</v>
      </c>
      <c r="B111" s="7" t="n">
        <v>30</v>
      </c>
      <c r="C111" s="7" t="n">
        <v>34</v>
      </c>
      <c r="D111" s="7" t="inlineStr">
        <is>
          <t>S5</t>
        </is>
      </c>
      <c r="E111" s="7" t="inlineStr">
        <is>
          <t>Instabilità di elementi strutturali o di stoccaggio soggetti a urto o sovraccarico</t>
        </is>
      </c>
      <c r="F111" s="7" t="n">
        <v>0.25</v>
      </c>
      <c r="G111" s="7" t="n">
        <v>0.0359</v>
      </c>
      <c r="H111" s="7" t="n">
        <v>0.2228</v>
      </c>
      <c r="I111" s="7" t="n">
        <v>0.7999000000000001</v>
      </c>
      <c r="J111" s="7" t="n">
        <v>2.13</v>
      </c>
    </row>
    <row r="112" ht="34" customHeight="1">
      <c r="A112" s="7" t="n">
        <v>15</v>
      </c>
      <c r="B112" s="7" t="n">
        <v>30</v>
      </c>
      <c r="C112" s="7" t="n">
        <v>34</v>
      </c>
      <c r="D112" s="7" t="inlineStr">
        <is>
          <t>S6</t>
        </is>
      </c>
      <c r="E112" s="7" t="inlineStr">
        <is>
          <t>Accesso a organi meccanici in movimento durante operazioni manuali</t>
        </is>
      </c>
      <c r="F112" s="7" t="n">
        <v>0.5</v>
      </c>
      <c r="G112" s="7" t="n">
        <v>0.9167999999999999</v>
      </c>
      <c r="H112" s="7" t="n">
        <v>0.3447</v>
      </c>
      <c r="I112" s="7" t="n">
        <v>31.6021</v>
      </c>
      <c r="J112" s="7" t="n">
        <v>84.23</v>
      </c>
    </row>
    <row r="113" ht="34" customHeight="1">
      <c r="A113" s="7" t="n">
        <v>15</v>
      </c>
      <c r="B113" s="7" t="n">
        <v>30</v>
      </c>
      <c r="C113" s="7" t="n">
        <v>34</v>
      </c>
      <c r="D113" s="7" t="inlineStr">
        <is>
          <t>S7</t>
        </is>
      </c>
      <c r="E113" s="7" t="inlineStr">
        <is>
          <t>Movimentazione manuale di carichi pesanti o instabili senza ausili meccanici adeguati</t>
        </is>
      </c>
      <c r="F113" s="7" t="n">
        <v>0</v>
      </c>
      <c r="G113" s="7" t="n">
        <v>0</v>
      </c>
      <c r="H113" s="7" t="n">
        <v>0.0759</v>
      </c>
      <c r="I113" s="7" t="n">
        <v>0</v>
      </c>
      <c r="J113" s="7" t="n">
        <v>0</v>
      </c>
    </row>
    <row r="114" ht="34" customHeight="1">
      <c r="A114" s="7" t="n">
        <v>16</v>
      </c>
      <c r="B114" s="7" t="n">
        <v>32</v>
      </c>
      <c r="C114" s="7" t="n">
        <v>34</v>
      </c>
      <c r="D114" s="7" t="inlineStr">
        <is>
          <t>S1</t>
        </is>
      </c>
      <c r="E114" s="7" t="inlineStr">
        <is>
          <t>Interferenza tra persone e mezzi di movimentazione negli spazi comuni</t>
        </is>
      </c>
      <c r="F114" s="7" t="n">
        <v>0.25</v>
      </c>
      <c r="G114" s="7" t="n">
        <v>0.25</v>
      </c>
      <c r="H114" s="7" t="n">
        <v>0.1109</v>
      </c>
      <c r="I114" s="7" t="n">
        <v>2.7725</v>
      </c>
      <c r="J114" s="7" t="n">
        <v>7.11</v>
      </c>
    </row>
    <row r="115" ht="34" customHeight="1">
      <c r="A115" s="7" t="n">
        <v>16</v>
      </c>
      <c r="B115" s="7" t="n">
        <v>32</v>
      </c>
      <c r="C115" s="7" t="n">
        <v>34</v>
      </c>
      <c r="D115" s="7" t="inlineStr">
        <is>
          <t>S2</t>
        </is>
      </c>
      <c r="E115" s="7" t="inlineStr">
        <is>
          <t>Riduzione della visibilità durante lo svolgimento di un'attività</t>
        </is>
      </c>
      <c r="F115" s="7" t="n">
        <v>0.5</v>
      </c>
      <c r="G115" s="7" t="n">
        <v>0.8176</v>
      </c>
      <c r="H115" s="7" t="n">
        <v>0.037</v>
      </c>
      <c r="I115" s="7" t="n">
        <v>3.0251</v>
      </c>
      <c r="J115" s="7" t="n">
        <v>7.76</v>
      </c>
    </row>
    <row r="116" ht="34" customHeight="1">
      <c r="A116" s="7" t="n">
        <v>16</v>
      </c>
      <c r="B116" s="7" t="n">
        <v>32</v>
      </c>
      <c r="C116" s="7" t="n">
        <v>34</v>
      </c>
      <c r="D116" s="7" t="inlineStr">
        <is>
          <t>S3</t>
        </is>
      </c>
      <c r="E116" s="7" t="inlineStr">
        <is>
          <t>Comportamenti non conformi durante lo svolgimento di un'attività</t>
        </is>
      </c>
      <c r="F116" s="7" t="n">
        <v>0.25</v>
      </c>
      <c r="G116" s="7" t="n">
        <v>0.2689</v>
      </c>
      <c r="H116" s="7" t="n">
        <v>0.0549</v>
      </c>
      <c r="I116" s="7" t="n">
        <v>1.4763</v>
      </c>
      <c r="J116" s="7" t="n">
        <v>3.79</v>
      </c>
    </row>
    <row r="117" ht="34" customHeight="1">
      <c r="A117" s="7" t="n">
        <v>16</v>
      </c>
      <c r="B117" s="7" t="n">
        <v>32</v>
      </c>
      <c r="C117" s="7" t="n">
        <v>34</v>
      </c>
      <c r="D117" s="7" t="inlineStr">
        <is>
          <t>S4</t>
        </is>
      </c>
      <c r="E117" s="7" t="inlineStr">
        <is>
          <t>Interferenza tra mezzo e infrastrutture interne all'impianto</t>
        </is>
      </c>
      <c r="F117" s="7" t="n">
        <v>0</v>
      </c>
      <c r="G117" s="7" t="n">
        <v>0.008200000000000001</v>
      </c>
      <c r="H117" s="7" t="n">
        <v>0.1538</v>
      </c>
      <c r="I117" s="7" t="n">
        <v>0.1261</v>
      </c>
      <c r="J117" s="7" t="n">
        <v>0.32</v>
      </c>
    </row>
    <row r="118" ht="34" customHeight="1">
      <c r="A118" s="7" t="n">
        <v>16</v>
      </c>
      <c r="B118" s="7" t="n">
        <v>32</v>
      </c>
      <c r="C118" s="7" t="n">
        <v>34</v>
      </c>
      <c r="D118" s="7" t="inlineStr">
        <is>
          <t>S5</t>
        </is>
      </c>
      <c r="E118" s="7" t="inlineStr">
        <is>
          <t>Instabilità di elementi strutturali o di stoccaggio soggetti a urto o sovraccarico</t>
        </is>
      </c>
      <c r="F118" s="7" t="n">
        <v>0</v>
      </c>
      <c r="G118" s="7" t="n">
        <v>0</v>
      </c>
      <c r="H118" s="7" t="n">
        <v>0.2228</v>
      </c>
      <c r="I118" s="7" t="n">
        <v>0</v>
      </c>
      <c r="J118" s="7" t="n">
        <v>0</v>
      </c>
    </row>
    <row r="119" ht="34" customHeight="1">
      <c r="A119" s="7" t="n">
        <v>16</v>
      </c>
      <c r="B119" s="7" t="n">
        <v>32</v>
      </c>
      <c r="C119" s="7" t="n">
        <v>34</v>
      </c>
      <c r="D119" s="7" t="inlineStr">
        <is>
          <t>S6</t>
        </is>
      </c>
      <c r="E119" s="7" t="inlineStr">
        <is>
          <t>Accesso a organi meccanici in movimento durante operazioni manuali</t>
        </is>
      </c>
      <c r="F119" s="7" t="n">
        <v>0.5</v>
      </c>
      <c r="G119" s="7" t="n">
        <v>0.9167999999999999</v>
      </c>
      <c r="H119" s="7" t="n">
        <v>0.3447</v>
      </c>
      <c r="I119" s="7" t="n">
        <v>31.6021</v>
      </c>
      <c r="J119" s="7" t="n">
        <v>81.03</v>
      </c>
    </row>
    <row r="120" ht="34" customHeight="1">
      <c r="A120" s="7" t="n">
        <v>16</v>
      </c>
      <c r="B120" s="7" t="n">
        <v>32</v>
      </c>
      <c r="C120" s="7" t="n">
        <v>34</v>
      </c>
      <c r="D120" s="7" t="inlineStr">
        <is>
          <t>S7</t>
        </is>
      </c>
      <c r="E120" s="7" t="inlineStr">
        <is>
          <t>Movimentazione manuale di carichi pesanti o instabili senza ausili meccanici adeguati</t>
        </is>
      </c>
      <c r="F120" s="7" t="n">
        <v>0</v>
      </c>
      <c r="G120" s="7" t="n">
        <v>0</v>
      </c>
      <c r="H120" s="7" t="n">
        <v>0.0759</v>
      </c>
      <c r="I120" s="7" t="n">
        <v>0</v>
      </c>
      <c r="J120" s="7"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showGridLines="1" zoomScale="80"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12" customWidth="1" min="4" max="4"/>
    <col width="7" customWidth="1" min="5" max="5"/>
    <col width="12" customWidth="1" min="6" max="6"/>
    <col width="12" customWidth="1" min="7" max="7"/>
  </cols>
  <sheetData>
    <row r="1" ht="16" customHeight="1">
      <c r="A1" s="6" t="inlineStr">
        <is>
          <t>risk_code</t>
        </is>
      </c>
      <c r="B1" s="6" t="inlineStr">
        <is>
          <t>risk_label</t>
        </is>
      </c>
      <c r="C1" s="6" t="inlineStr">
        <is>
          <t>mean_raw</t>
        </is>
      </c>
      <c r="D1" s="6" t="inlineStr">
        <is>
          <t>mean_transformed</t>
        </is>
      </c>
      <c r="E1" s="6" t="inlineStr">
        <is>
          <t>weight</t>
        </is>
      </c>
      <c r="F1" s="6" t="inlineStr">
        <is>
          <t>mean_contribution</t>
        </is>
      </c>
      <c r="G1" s="6" t="inlineStr">
        <is>
          <t>mean_contribution_pct</t>
        </is>
      </c>
    </row>
    <row r="2" ht="34" customHeight="1">
      <c r="A2" s="7" t="inlineStr">
        <is>
          <t>S1</t>
        </is>
      </c>
      <c r="B2" s="7" t="inlineStr">
        <is>
          <t>Interferenza tra persone e mezzi di movimentazione negli spazi comuni</t>
        </is>
      </c>
      <c r="C2" s="7" t="n">
        <v>0.3382</v>
      </c>
      <c r="D2" s="7" t="n">
        <v>0.3382</v>
      </c>
      <c r="E2" s="7" t="n">
        <v>0.1109</v>
      </c>
      <c r="F2" s="7" t="n">
        <v>3.751</v>
      </c>
      <c r="G2" s="7" t="n">
        <v>16.89</v>
      </c>
    </row>
    <row r="3" ht="34" customHeight="1">
      <c r="A3" s="7" t="inlineStr">
        <is>
          <t>S2</t>
        </is>
      </c>
      <c r="B3" s="7" t="inlineStr">
        <is>
          <t>Riduzione della visibilità durante lo svolgimento di un'attività</t>
        </is>
      </c>
      <c r="C3" s="7" t="n">
        <v>0.5147</v>
      </c>
      <c r="D3" s="7" t="n">
        <v>0.7468</v>
      </c>
      <c r="E3" s="7" t="n">
        <v>0.037</v>
      </c>
      <c r="F3" s="7" t="n">
        <v>2.7632</v>
      </c>
      <c r="G3" s="7" t="n">
        <v>13.64</v>
      </c>
    </row>
    <row r="4" ht="34" customHeight="1">
      <c r="A4" s="7" t="inlineStr">
        <is>
          <t>S3</t>
        </is>
      </c>
      <c r="B4" s="7" t="inlineStr">
        <is>
          <t>Comportamenti non conformi durante lo svolgimento di un'attività</t>
        </is>
      </c>
      <c r="C4" s="7" t="n">
        <v>0.2647</v>
      </c>
      <c r="D4" s="7" t="n">
        <v>0.3695</v>
      </c>
      <c r="E4" s="7" t="n">
        <v>0.0549</v>
      </c>
      <c r="F4" s="7" t="n">
        <v>2.0285</v>
      </c>
      <c r="G4" s="7" t="n">
        <v>8.67</v>
      </c>
    </row>
    <row r="5" ht="34" customHeight="1">
      <c r="A5" s="7" t="inlineStr">
        <is>
          <t>S4</t>
        </is>
      </c>
      <c r="B5" s="7" t="inlineStr">
        <is>
          <t>Interferenza tra mezzo e infrastrutture interne all'impianto</t>
        </is>
      </c>
      <c r="C5" s="7" t="n">
        <v>0.25</v>
      </c>
      <c r="D5" s="7" t="n">
        <v>0.2869</v>
      </c>
      <c r="E5" s="7" t="n">
        <v>0.1538</v>
      </c>
      <c r="F5" s="7" t="n">
        <v>4.412</v>
      </c>
      <c r="G5" s="7" t="n">
        <v>19.09</v>
      </c>
    </row>
    <row r="6" ht="34" customHeight="1">
      <c r="A6" s="7" t="inlineStr">
        <is>
          <t>S5</t>
        </is>
      </c>
      <c r="B6" s="7" t="inlineStr">
        <is>
          <t>Instabilità di elementi strutturali o di stoccaggio soggetti a urto o sovraccarico</t>
        </is>
      </c>
      <c r="C6" s="7" t="n">
        <v>0.2941</v>
      </c>
      <c r="D6" s="7" t="n">
        <v>0.0907</v>
      </c>
      <c r="E6" s="7" t="n">
        <v>0.2228</v>
      </c>
      <c r="F6" s="7" t="n">
        <v>2.0208</v>
      </c>
      <c r="G6" s="7" t="n">
        <v>10.71</v>
      </c>
    </row>
    <row r="7" ht="34" customHeight="1">
      <c r="A7" s="7" t="inlineStr">
        <is>
          <t>S6</t>
        </is>
      </c>
      <c r="B7" s="7" t="inlineStr">
        <is>
          <t>Accesso a organi meccanici in movimento durante operazioni manuali</t>
        </is>
      </c>
      <c r="C7" s="7" t="n">
        <v>0.1471</v>
      </c>
      <c r="D7" s="7" t="n">
        <v>0.2884</v>
      </c>
      <c r="E7" s="7" t="n">
        <v>0.3447</v>
      </c>
      <c r="F7" s="7" t="n">
        <v>9.942</v>
      </c>
      <c r="G7" s="7" t="n">
        <v>31.02</v>
      </c>
    </row>
    <row r="8" ht="34" customHeight="1">
      <c r="A8" s="7" t="inlineStr">
        <is>
          <t>S7</t>
        </is>
      </c>
      <c r="B8" s="7" t="inlineStr">
        <is>
          <t>Movimentazione manuale di carichi pesanti o instabili senza ausili meccanici adeguati</t>
        </is>
      </c>
      <c r="C8" s="7" t="n">
        <v>0</v>
      </c>
      <c r="D8" s="7" t="n">
        <v>0</v>
      </c>
      <c r="E8" s="7" t="n">
        <v>0.0759</v>
      </c>
      <c r="F8" s="7" t="n">
        <v>0</v>
      </c>
      <c r="G8" s="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2026-07-28T08:45:25Z</dcterms:created>
  <dcterms:modified xmlns:dcterms="http://purl.org/dc/terms/" xmlns:xsi="http://www.w3.org/2001/XMLSchema-instance" xsi:type="dcterms:W3CDTF">2026-07-28T08:45:26Z</dcterms:modified>
</cp:coreProperties>
</file>