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_only_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FF2CC"/>
      </patternFill>
    </fill>
    <fill>
      <patternFill patternType="solid">
        <fgColor rgb="00EADCF8"/>
      </patternFill>
    </fill>
    <fill>
      <patternFill patternType="solid">
        <fgColor rgb="00EDEDED"/>
      </patternFill>
    </fill>
    <fill>
      <patternFill patternType="solid">
        <fgColor rgb="00FCE4D6"/>
      </patternFill>
    </fill>
    <fill>
      <patternFill patternType="solid">
        <fgColor rgb="00F4CCCC"/>
      </patternFill>
    </fill>
    <fill>
      <patternFill patternType="solid">
        <fgColor rgb="00C6EFCE"/>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3" fillId="0" borderId="2" applyAlignment="1" pivotButton="0" quotePrefix="0" xfId="0">
      <alignment horizontal="left" vertical="top" wrapText="1"/>
    </xf>
    <xf numFmtId="0" fontId="3" fillId="9" borderId="2" applyAlignment="1" pivotButton="0" quotePrefix="0" xfId="0">
      <alignment horizontal="left" vertical="top" wrapText="1"/>
    </xf>
    <xf numFmtId="0" fontId="3" fillId="6" borderId="2" applyAlignment="1" pivotButton="0" quotePrefix="0" xfId="0">
      <alignment horizontal="left" vertical="top" wrapText="1"/>
    </xf>
    <xf numFmtId="0" fontId="3" fillId="10" borderId="2" applyAlignment="1" pivotButton="0" quotePrefix="0" xfId="0">
      <alignment horizontal="left" vertical="top" wrapText="1"/>
    </xf>
    <xf numFmtId="0" fontId="3" fillId="11"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Solo rami VLM</a:t>
            </a:r>
          </a:p>
        </rich>
      </tx>
    </title>
    <plotArea>
      <lineChart>
        <grouping val="standard"/>
        <ser>
          <idx val="0"/>
          <order val="0"/>
          <tx>
            <strRef>
              <f>'vlm_only_results'!G1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'vlm_only_results'!$A$2:$A$20</f>
            </numRef>
          </cat>
          <val>
            <numRef>
              <f>'vlm_only_results'!$G$2:$G$20</f>
            </numRef>
          </val>
        </ser>
        <ser>
          <idx val="1"/>
          <order val="1"/>
          <tx>
            <strRef>
              <f>'vlm_only_results'!K1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'vlm_only_results'!$A$2:$A$20</f>
            </numRef>
          </cat>
          <val>
            <numRef>
              <f>'vlm_only_results'!$K$2:$K$20</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23</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20"/>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8" customWidth="1" min="5" max="5"/>
    <col width="16" customWidth="1" min="6" max="6"/>
    <col width="8" customWidth="1" min="7" max="7"/>
    <col width="7" customWidth="1" min="8" max="8"/>
    <col width="8" customWidth="1" min="9" max="9"/>
    <col width="16" customWidth="1" min="10" max="10"/>
    <col width="8" customWidth="1" min="11" max="11"/>
    <col width="7" customWidth="1" min="12" max="12"/>
    <col width="12" customWidth="1" min="13" max="13"/>
    <col width="12" customWidth="1" min="14" max="14"/>
    <col width="12"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s>
  <sheetData>
    <row r="1" ht="16" customHeight="1">
      <c r="A1" s="2" t="inlineStr">
        <is>
          <t>window_id</t>
        </is>
      </c>
      <c r="B1" s="2" t="inlineStr">
        <is>
          <t>start_time_s</t>
        </is>
      </c>
      <c r="C1" s="2" t="inlineStr">
        <is>
          <t>end_time_s</t>
        </is>
      </c>
      <c r="D1" s="2" t="inlineStr">
        <is>
          <t>window_duration_s</t>
        </is>
      </c>
      <c r="E1" s="3" t="inlineStr">
        <is>
          <t>instantaneous_risk_score_vlm_free</t>
        </is>
      </c>
      <c r="F1" s="3" t="inlineStr">
        <is>
          <t>score_rationale_vlm_free</t>
        </is>
      </c>
      <c r="G1" s="3" t="inlineStr">
        <is>
          <t>dynamic_risk_score_vlm_free</t>
        </is>
      </c>
      <c r="H1" s="3" t="inlineStr">
        <is>
          <t>traffic_light_color_vlm_free</t>
        </is>
      </c>
      <c r="I1" s="4" t="inlineStr">
        <is>
          <t>instantaneous_risk_score_vlm</t>
        </is>
      </c>
      <c r="J1" s="4" t="inlineStr">
        <is>
          <t>score_rationale_vlm</t>
        </is>
      </c>
      <c r="K1" s="4" t="inlineStr">
        <is>
          <t>dynamic_risk_score_vlm</t>
        </is>
      </c>
      <c r="L1" s="4" t="inlineStr">
        <is>
          <t>traffic_light_color_vlm</t>
        </is>
      </c>
      <c r="M1" s="5" t="inlineStr">
        <is>
          <t>diff_inst_vlm_free_vs_vlm_guided</t>
        </is>
      </c>
      <c r="N1" s="5" t="inlineStr">
        <is>
          <t>diff_dyn_vlm_free_vs_vlm_guided</t>
        </is>
      </c>
      <c r="O1" s="6" t="inlineStr">
        <is>
          <t>traffic_light_agreement_vlm_free_vs_vlm_guided</t>
        </is>
      </c>
      <c r="P1" s="7" t="inlineStr">
        <is>
          <t>S1_raw</t>
        </is>
      </c>
      <c r="Q1" s="7" t="inlineStr">
        <is>
          <t>S2_raw</t>
        </is>
      </c>
      <c r="R1" s="7" t="inlineStr">
        <is>
          <t>S3_raw</t>
        </is>
      </c>
      <c r="S1" s="7" t="inlineStr">
        <is>
          <t>S4_raw</t>
        </is>
      </c>
      <c r="T1" s="7" t="inlineStr">
        <is>
          <t>S5_raw</t>
        </is>
      </c>
      <c r="U1" s="7" t="inlineStr">
        <is>
          <t>S6_raw</t>
        </is>
      </c>
      <c r="V1" s="7" t="inlineStr">
        <is>
          <t>S7_raw</t>
        </is>
      </c>
    </row>
    <row r="2" ht="34" customHeight="1">
      <c r="A2" s="8" t="n">
        <v>0</v>
      </c>
      <c r="B2" s="8" t="n">
        <v>0</v>
      </c>
      <c r="C2" s="8" t="n">
        <v>4</v>
      </c>
      <c r="D2" s="8" t="n">
        <v>4</v>
      </c>
      <c r="E2" s="8" t="n">
        <v>60</v>
      </c>
      <c r="F2" s="8" t="inlineStr">
        <is>
          <t>Il punteggio di 60 riflette un rischio moderato-alto dovuto alla compresenza di un layout congestionato con spazi di manovra ridotti e alla mancanza di vie pedonali delimitate. La criticità principale è rappresentata dal mancato uso dell'elmetto protettivo da parte dell'operatore in maglia rossa in un'area con macchinari pesanti e movimentazione carichi.</t>
        </is>
      </c>
      <c r="G2" s="8" t="n">
        <v>60</v>
      </c>
      <c r="H2" s="9" t="inlineStr">
        <is>
          <t>arancione</t>
        </is>
      </c>
      <c r="I2" s="8" t="n">
        <v>45</v>
      </c>
      <c r="J2" s="8" t="inlineStr">
        <is>
          <t>Il punteggio riflette un rischio moderato dovuto al transito di pedoni in prossimità della pressa industriale verde senza barriere di segregazione evidenti. Sebbene non si registrino comportamenti scorretti immediati, la vicinanza alle parti meccaniche in movimento richiede vigilanza.</t>
        </is>
      </c>
      <c r="K2" s="8" t="n">
        <v>45</v>
      </c>
      <c r="L2" s="10" t="inlineStr">
        <is>
          <t>giallo</t>
        </is>
      </c>
      <c r="M2" s="8" t="n">
        <v>15</v>
      </c>
      <c r="N2" s="8" t="n">
        <v>15</v>
      </c>
      <c r="O2" s="11" t="inlineStr">
        <is>
          <t>disaccordo</t>
        </is>
      </c>
      <c r="P2" s="8" t="n">
        <v>0</v>
      </c>
      <c r="Q2" s="8" t="n">
        <v>0.25</v>
      </c>
      <c r="R2" s="8" t="n">
        <v>0.25</v>
      </c>
      <c r="S2" s="8" t="n">
        <v>0</v>
      </c>
      <c r="T2" s="8" t="n">
        <v>0.25</v>
      </c>
      <c r="U2" s="8" t="n">
        <v>0.5</v>
      </c>
      <c r="V2" s="8" t="n">
        <v>0</v>
      </c>
    </row>
    <row r="3" ht="34" customHeight="1">
      <c r="A3" s="8" t="n">
        <v>1</v>
      </c>
      <c r="B3" s="8" t="n">
        <v>2</v>
      </c>
      <c r="C3" s="8" t="n">
        <v>6</v>
      </c>
      <c r="D3" s="8" t="n">
        <v>4</v>
      </c>
      <c r="E3" s="8" t="n">
        <v>70</v>
      </c>
      <c r="F3" s="8" t="inlineStr">
        <is>
          <t>Il punteggio di 70 riflette un rischio elevato dovuto alla presenza di un operatore accovacciato direttamente alla base di una pressa industriale pesante per attività di manutenzione. Sebbene sia presente un supervisore e vengano indossati i caschi, la prossimità immediata alle parti mobili della macchina, unita al disordine dell'area di lavoro (ostacoli e materiali a terra che aumentano il rischio di inciampo), configura una situazione di potenziale pericolo grave (schiacciamento o cesoiamento) in caso di attivazione accidentale o movimenti falsati.</t>
        </is>
      </c>
      <c r="G3" s="8" t="n">
        <v>68.5</v>
      </c>
      <c r="H3" s="9" t="inlineStr">
        <is>
          <t>arancione</t>
        </is>
      </c>
      <c r="I3" s="8" t="n">
        <v>55</v>
      </c>
      <c r="J3" s="8" t="inlineStr">
        <is>
          <t>Il punteggio riflette un rischio significativo dovuto all'operatore accovacciato alla base della pressa senza barriere di segregazione visibili, esponendolo a potenziali avviamenti accidentali o contatti con parti in movimento. La postura ridotta limita inoltre la sua visibilità e reattività in caso di emergenza.</t>
        </is>
      </c>
      <c r="K3" s="8" t="n">
        <v>53.5</v>
      </c>
      <c r="L3" s="9" t="inlineStr">
        <is>
          <t>arancione</t>
        </is>
      </c>
      <c r="M3" s="8" t="n">
        <v>15</v>
      </c>
      <c r="N3" s="8" t="n">
        <v>15</v>
      </c>
      <c r="O3" s="12" t="inlineStr">
        <is>
          <t>accordo</t>
        </is>
      </c>
      <c r="P3" s="8" t="n">
        <v>0</v>
      </c>
      <c r="Q3" s="8" t="n">
        <v>0.5</v>
      </c>
      <c r="R3" s="8" t="n">
        <v>0.25</v>
      </c>
      <c r="S3" s="8" t="n">
        <v>0</v>
      </c>
      <c r="T3" s="8" t="n">
        <v>0</v>
      </c>
      <c r="U3" s="8" t="n">
        <v>0.5</v>
      </c>
      <c r="V3" s="8" t="n">
        <v>0</v>
      </c>
    </row>
    <row r="4" ht="34" customHeight="1">
      <c r="A4" s="8" t="n">
        <v>2</v>
      </c>
      <c r="B4" s="8" t="n">
        <v>4</v>
      </c>
      <c r="C4" s="8" t="n">
        <v>8</v>
      </c>
      <c r="D4" s="8" t="n">
        <v>4</v>
      </c>
      <c r="E4" s="8" t="n">
        <v>50</v>
      </c>
      <c r="F4" s="8" t="inlineStr">
        <is>
          <t>Il punteggio di 50 indica un rischio moderato. La presenza di molteplici ostacoli e attrezzature sulla pavimentazione aumenta il rischio di scivolamento o inciampo per i cinque operatori nell'area. Inoltre, la vicinanza di un lavoratore alla pressa industriale, combinata con l'impossibilità di verificare la presenza di barriere di sicurezza e la totalità dei DPI (come scarpe antinfortunistiche e guanti), rappresenta un potenziale fattore di pericolo che richiede attenzione.</t>
        </is>
      </c>
      <c r="G4" s="8" t="n">
        <v>57.4</v>
      </c>
      <c r="H4" s="9" t="inlineStr">
        <is>
          <t>arancione</t>
        </is>
      </c>
      <c r="I4" s="8" t="n">
        <v>55</v>
      </c>
      <c r="J4" s="8" t="inlineStr">
        <is>
          <t>Il punteggio riflette un rischio significativo dovuto alla presenza di un operatore accovacciato direttamente alla base della pressa industriale senza barriere di segregazione visibili. Questa postura riduce la visibilità e i tempi di reazione, esponendo l'operatore a gravi pericoli di schiacciamento in caso di attivazione accidentale del macchinario.</t>
        </is>
      </c>
      <c r="K4" s="8" t="n">
        <v>54.4</v>
      </c>
      <c r="L4" s="9" t="inlineStr">
        <is>
          <t>arancione</t>
        </is>
      </c>
      <c r="M4" s="8" t="n">
        <v>5</v>
      </c>
      <c r="N4" s="8" t="n">
        <v>3</v>
      </c>
      <c r="O4" s="12" t="inlineStr">
        <is>
          <t>accordo</t>
        </is>
      </c>
      <c r="P4" s="8" t="n">
        <v>0</v>
      </c>
      <c r="Q4" s="8" t="n">
        <v>0.5</v>
      </c>
      <c r="R4" s="8" t="n">
        <v>0.25</v>
      </c>
      <c r="S4" s="8" t="n">
        <v>0</v>
      </c>
      <c r="T4" s="8" t="n">
        <v>0.25</v>
      </c>
      <c r="U4" s="8" t="n">
        <v>0.5</v>
      </c>
      <c r="V4" s="8" t="n">
        <v>0</v>
      </c>
    </row>
    <row r="5" ht="34" customHeight="1">
      <c r="A5" s="8" t="n">
        <v>3</v>
      </c>
      <c r="B5" s="8" t="n">
        <v>6</v>
      </c>
      <c r="C5" s="8" t="n">
        <v>10</v>
      </c>
      <c r="D5" s="8" t="n">
        <v>4</v>
      </c>
      <c r="E5" s="8" t="n">
        <v>80</v>
      </c>
      <c r="F5" s="8" t="inlineStr">
        <is>
          <t>Il punteggio di 80 riflette un rischio elevato dovuto alla presenza di un operatore accovacciato direttamente alla base di una pressa verticale pesante senza barriere di segregazione visibili. Sebbene gli operatori principali indossino il casco, l'interazione ravvicinata con la zona di pericolo del macchinario, l'assenza di gilet ad alta visibilità in un'area di transito e l'impossibilità di verificare l'applicazione delle procedure di isolamento energetico (LOTO) espongono il lavoratore a un grave rischio di schiacciamento in caso di attivazione accidentale o mancata coordinazione.</t>
        </is>
      </c>
      <c r="G5" s="8" t="n">
        <v>78.45999999999999</v>
      </c>
      <c r="H5" s="11" t="inlineStr">
        <is>
          <t>rosso</t>
        </is>
      </c>
      <c r="I5" s="8" t="n">
        <v>68</v>
      </c>
      <c r="J5" s="8" t="inlineStr">
        <is>
          <t>Il punteggio riflette un rischio significativo dovuto alla presenza di un operatore accovacciato direttamente alla base della pressa industriale senza barriere protettive. Questa condizione espone il lavoratore a un grave pericolo di schiacciamento o intrappolamento in caso di attivazione accidentale dei componenti meccanici.</t>
        </is>
      </c>
      <c r="K5" s="8" t="n">
        <v>65.81</v>
      </c>
      <c r="L5" s="9" t="inlineStr">
        <is>
          <t>arancione</t>
        </is>
      </c>
      <c r="M5" s="8" t="n">
        <v>12</v>
      </c>
      <c r="N5" s="8" t="n">
        <v>12.65</v>
      </c>
      <c r="O5" s="11" t="inlineStr">
        <is>
          <t>disaccordo</t>
        </is>
      </c>
      <c r="P5" s="8" t="n">
        <v>0</v>
      </c>
      <c r="Q5" s="8" t="n">
        <v>0.5</v>
      </c>
      <c r="R5" s="8" t="n">
        <v>0.25</v>
      </c>
      <c r="S5" s="8" t="n">
        <v>0</v>
      </c>
      <c r="T5" s="8" t="n">
        <v>0.25</v>
      </c>
      <c r="U5" s="8" t="n">
        <v>0.75</v>
      </c>
      <c r="V5" s="8" t="n">
        <v>0</v>
      </c>
    </row>
    <row r="6" ht="34" customHeight="1">
      <c r="A6" s="8" t="n">
        <v>4</v>
      </c>
      <c r="B6" s="8" t="n">
        <v>8</v>
      </c>
      <c r="C6" s="8" t="n">
        <v>12</v>
      </c>
      <c r="D6" s="8" t="n">
        <v>4</v>
      </c>
      <c r="E6" s="8" t="n">
        <v>80</v>
      </c>
      <c r="F6" s="8" t="inlineStr">
        <is>
          <t>Il punteggio di 80 è giustificato dall'elevato rischio di schiacciamento e intrappolamento per l'operatore accovacciato alla base della pressa industriale. L'assenza di barriere di segregazione visibili e la presenza contemporanea di più soggetti nell'area aumentano significativamente la probabilità di un'attivazione accidentale o di un errore umano, configurando una situazione di pericolo grave nonostante l'uso di alcuni DPI di base come i caschi.</t>
        </is>
      </c>
      <c r="G6" s="8" t="n">
        <v>79.38</v>
      </c>
      <c r="H6" s="11" t="inlineStr">
        <is>
          <t>rosso</t>
        </is>
      </c>
      <c r="I6" s="8" t="n">
        <v>68</v>
      </c>
      <c r="J6" s="8" t="inlineStr">
        <is>
          <t>Il punteggio riflette un rischio significativo dovuto alla presenza di un operatore accovacciato alla base della pressa senza evidenza di procedure di isolamento energetico (LOTO). La vicinanza di un secondo operatore ai comandi aumenta il pericolo di un avvio accidentale con conseguenze potenzialmente gravi per l'incolumità del collega.</t>
        </is>
      </c>
      <c r="K6" s="8" t="n">
        <v>67.12</v>
      </c>
      <c r="L6" s="9" t="inlineStr">
        <is>
          <t>arancione</t>
        </is>
      </c>
      <c r="M6" s="8" t="n">
        <v>12</v>
      </c>
      <c r="N6" s="8" t="n">
        <v>12.26</v>
      </c>
      <c r="O6" s="11" t="inlineStr">
        <is>
          <t>disaccordo</t>
        </is>
      </c>
      <c r="P6" s="8" t="n">
        <v>0</v>
      </c>
      <c r="Q6" s="8" t="n">
        <v>0.5</v>
      </c>
      <c r="R6" s="8" t="n">
        <v>0.25</v>
      </c>
      <c r="S6" s="8" t="n">
        <v>0</v>
      </c>
      <c r="T6" s="8" t="n">
        <v>0</v>
      </c>
      <c r="U6" s="8" t="n">
        <v>0.5</v>
      </c>
      <c r="V6" s="8" t="n">
        <v>0</v>
      </c>
    </row>
    <row r="7" ht="34" customHeight="1">
      <c r="A7" s="8" t="n">
        <v>5</v>
      </c>
      <c r="B7" s="8" t="n">
        <v>10</v>
      </c>
      <c r="C7" s="8" t="n">
        <v>14</v>
      </c>
      <c r="D7" s="8" t="n">
        <v>4</v>
      </c>
      <c r="E7" s="8" t="n">
        <v>80</v>
      </c>
      <c r="F7" s="8" t="inlineStr">
        <is>
          <t>Il punteggio di 80 riflette un rischio elevato dovuto alla presenza dell'operatore che si flette direttamente verso l'area di stampaggio della pressa industriale. La prossimità fisica immediata alla zona di pericolo, l'assenza di barriere protettive visibili e la postura instabile espongono il lavoratore a un grave rischio di schiacciamento o intrappolamento in caso di attivazione accidentale del macchinario.</t>
        </is>
      </c>
      <c r="G7" s="8" t="n">
        <v>79.75</v>
      </c>
      <c r="H7" s="11" t="inlineStr">
        <is>
          <t>rosso</t>
        </is>
      </c>
      <c r="I7" s="8" t="n">
        <v>35</v>
      </c>
      <c r="J7" s="8" t="inlineStr">
        <is>
          <t>Il punteggio riflette un rischio moderato dovuto alla postura chinata dell'operatore in prossimità della pressa industriale, che riduce la visibilità e aumenta il rischio di contatto accidentale. La presenza di DPI di base mitiga parzialmente la gravità di un potenziale incidente.</t>
        </is>
      </c>
      <c r="K7" s="8" t="n">
        <v>47.85</v>
      </c>
      <c r="L7" s="10" t="inlineStr">
        <is>
          <t>giallo</t>
        </is>
      </c>
      <c r="M7" s="8" t="n">
        <v>45</v>
      </c>
      <c r="N7" s="8" t="n">
        <v>31.9</v>
      </c>
      <c r="O7" s="11" t="inlineStr">
        <is>
          <t>disaccordo</t>
        </is>
      </c>
      <c r="P7" s="8" t="n">
        <v>0</v>
      </c>
      <c r="Q7" s="8" t="n">
        <v>0.5</v>
      </c>
      <c r="R7" s="8" t="n">
        <v>0.25</v>
      </c>
      <c r="S7" s="8" t="n">
        <v>0</v>
      </c>
      <c r="T7" s="8" t="n">
        <v>0</v>
      </c>
      <c r="U7" s="8" t="n">
        <v>0.5</v>
      </c>
      <c r="V7" s="8" t="n">
        <v>0.25</v>
      </c>
    </row>
    <row r="8" ht="34" customHeight="1">
      <c r="A8" s="8" t="n">
        <v>6</v>
      </c>
      <c r="B8" s="8" t="n">
        <v>12</v>
      </c>
      <c r="C8" s="8" t="n">
        <v>16</v>
      </c>
      <c r="D8" s="8" t="n">
        <v>4</v>
      </c>
      <c r="E8" s="8" t="n">
        <v>65</v>
      </c>
      <c r="F8" s="8" t="inlineStr">
        <is>
          <t>Il punteggio di 65 indica un rischio medio-alto. Sebbene gli operatori indossino i DPI base (elmetto) e vi sia un supervisore, si osservano dinamiche pericolose: l'operatore lavora chinato vicino alla pressa con rischio di schiacciamento degli arti e problemi ergonomici. Inoltre, la presenza di materiali e lamiere a terra nell'area di lavoro aumenta il rischio di inciampo.</t>
        </is>
      </c>
      <c r="G8" s="8" t="n">
        <v>70.90000000000001</v>
      </c>
      <c r="H8" s="9" t="inlineStr">
        <is>
          <t>arancione</t>
        </is>
      </c>
      <c r="I8" s="8" t="n">
        <v>65</v>
      </c>
      <c r="J8" s="8" t="inlineStr">
        <is>
          <t>Il punteggio riflette un rischio significativo dovuto alla movimentazione manuale di lastre metalliche pesanti in una postura incongrua e chinata. La vicinanza alla pressa idraulica e la ridotta visibilità dell'operatore aumentano la probabilità di infortuni muscolo-scheletrici o schiacciamenti.</t>
        </is>
      </c>
      <c r="K8" s="8" t="n">
        <v>65.64</v>
      </c>
      <c r="L8" s="9" t="inlineStr">
        <is>
          <t>arancione</t>
        </is>
      </c>
      <c r="M8" s="8" t="n">
        <v>0</v>
      </c>
      <c r="N8" s="8" t="n">
        <v>5.26</v>
      </c>
      <c r="O8" s="12" t="inlineStr">
        <is>
          <t>accordo</t>
        </is>
      </c>
      <c r="P8" s="8" t="n">
        <v>0</v>
      </c>
      <c r="Q8" s="8" t="n">
        <v>0.5</v>
      </c>
      <c r="R8" s="8" t="n">
        <v>0.25</v>
      </c>
      <c r="S8" s="8" t="n">
        <v>0</v>
      </c>
      <c r="T8" s="8" t="n">
        <v>0.25</v>
      </c>
      <c r="U8" s="8" t="n">
        <v>0.5</v>
      </c>
      <c r="V8" s="8" t="n">
        <v>0.75</v>
      </c>
    </row>
    <row r="9" ht="34" customHeight="1">
      <c r="A9" s="8" t="n">
        <v>7</v>
      </c>
      <c r="B9" s="8" t="n">
        <v>14</v>
      </c>
      <c r="C9" s="8" t="n">
        <v>18</v>
      </c>
      <c r="D9" s="8" t="n">
        <v>4</v>
      </c>
      <c r="E9" s="8" t="n">
        <v>75</v>
      </c>
      <c r="F9" s="8" t="inlineStr">
        <is>
          <t>Il punteggio di 75 riflette un rischio elevato dovuto all'Operatore 1 chinato per manipolare manualmente un pezzo all'interno di una grande pressa industriale, in prossimità di parti in movimento e senza barriere fisiche di sicurezza visibilmente attive. Questo comporta un rischio significativo di schiacciamento, cesoiamento ed ergonomico, parzialmente mitigato dalla presenza di un supervisore (Operatore 2) e dall'uso di elmetti.</t>
        </is>
      </c>
      <c r="G9" s="8" t="n">
        <v>75.86</v>
      </c>
      <c r="H9" s="11" t="inlineStr">
        <is>
          <t>rosso</t>
        </is>
      </c>
      <c r="I9" s="8" t="n">
        <v>70</v>
      </c>
      <c r="J9" s="8" t="inlineStr">
        <is>
          <t>Il punteggio riflette un rischio significativo dovuto alla manipolazione manuale di lastre metalliche in postura incongrua e in estrema prossimità della pressa industriale. La mancanza di barriere protettive visibili aumenta notevolmente la probabilità di gravi infortuni da schiacciamento o taglio.</t>
        </is>
      </c>
      <c r="K9" s="8" t="n">
        <v>69.51000000000001</v>
      </c>
      <c r="L9" s="9" t="inlineStr">
        <is>
          <t>arancione</t>
        </is>
      </c>
      <c r="M9" s="8" t="n">
        <v>5</v>
      </c>
      <c r="N9" s="8" t="n">
        <v>6.35</v>
      </c>
      <c r="O9" s="11" t="inlineStr">
        <is>
          <t>disaccordo</t>
        </is>
      </c>
      <c r="P9" s="8" t="n">
        <v>0</v>
      </c>
      <c r="Q9" s="8" t="n">
        <v>0.5</v>
      </c>
      <c r="R9" s="8" t="n">
        <v>0.25</v>
      </c>
      <c r="S9" s="8" t="n">
        <v>0</v>
      </c>
      <c r="T9" s="8" t="n">
        <v>0.25</v>
      </c>
      <c r="U9" s="8" t="n">
        <v>0.75</v>
      </c>
      <c r="V9" s="8" t="n">
        <v>0.5</v>
      </c>
    </row>
    <row r="10" ht="34" customHeight="1">
      <c r="A10" s="8" t="n">
        <v>8</v>
      </c>
      <c r="B10" s="8" t="n">
        <v>16</v>
      </c>
      <c r="C10" s="8" t="n">
        <v>20</v>
      </c>
      <c r="D10" s="8" t="n">
        <v>4</v>
      </c>
      <c r="E10" s="8" t="n">
        <v>85</v>
      </c>
      <c r="F10" s="8" t="inlineStr">
        <is>
          <t>Il punteggio di 85 è giustificato dall'avvenuta caduta di un operatore in un'area industriale critica, vicino a una pressa metallica. L'impatto al suolo e la prossimità a macchinari pesanti comportano un rischio immediato di lesioni fisiche. La necessità di soccorso immediato da parte dei colleghi evidenzia la gravità dell'evento.</t>
        </is>
      </c>
      <c r="G10" s="8" t="n">
        <v>83.84</v>
      </c>
      <c r="H10" s="11" t="inlineStr">
        <is>
          <t>rosso</t>
        </is>
      </c>
      <c r="I10" s="8" t="n">
        <v>85</v>
      </c>
      <c r="J10" s="8" t="inlineStr">
        <is>
          <t>Il punteggio elevato è giustificato dall'avvenuta caduta a terra dell'operatore che, privo di casco protettivo, rischia gravi lesioni o un trauma cranico da impatto. La prossimità a una pressa industriale aumenta la criticità dell'evento, richiedendo un intervento immediato di soccorso.</t>
        </is>
      </c>
      <c r="K10" s="8" t="n">
        <v>82.55</v>
      </c>
      <c r="L10" s="11" t="inlineStr">
        <is>
          <t>rosso</t>
        </is>
      </c>
      <c r="M10" s="8" t="n">
        <v>0</v>
      </c>
      <c r="N10" s="8" t="n">
        <v>1.29</v>
      </c>
      <c r="O10" s="12" t="inlineStr">
        <is>
          <t>accordo</t>
        </is>
      </c>
      <c r="P10" s="8" t="n">
        <v>0</v>
      </c>
      <c r="Q10" s="8" t="n">
        <v>0.5</v>
      </c>
      <c r="R10" s="8" t="n">
        <v>0.5</v>
      </c>
      <c r="S10" s="8" t="n">
        <v>0</v>
      </c>
      <c r="T10" s="8" t="n">
        <v>0</v>
      </c>
      <c r="U10" s="8" t="n">
        <v>0.25</v>
      </c>
      <c r="V10" s="8" t="n">
        <v>0</v>
      </c>
    </row>
    <row r="11" ht="34" customHeight="1">
      <c r="A11" s="8" t="n">
        <v>9</v>
      </c>
      <c r="B11" s="8" t="n">
        <v>18</v>
      </c>
      <c r="C11" s="8" t="n">
        <v>22</v>
      </c>
      <c r="D11" s="8" t="n">
        <v>4</v>
      </c>
      <c r="E11" s="8" t="n">
        <v>90</v>
      </c>
      <c r="F11" s="8" t="inlineStr">
        <is>
          <t>Il punteggio riflette un livello di rischio critico dovuto al verificarsi di un infortunio reale: l'Operatore 3 è caduto all'indietro sul pavimento industriale rigido, con potenziale rischio di trauma cranico o muscolo-scheletrico (il casco non è chiaramente visibile o è stato perso). La presenza di cavi e tubi a terra rappresenta un grave fattore di rischio di inciampo non gestito, e la necessità di soccorso immediato da parte dell'Operatore 2 conferma la gravità dell'evento in corso.</t>
        </is>
      </c>
      <c r="G11" s="8" t="n">
        <v>88.79000000000001</v>
      </c>
      <c r="H11" s="11" t="inlineStr">
        <is>
          <t>rosso</t>
        </is>
      </c>
      <c r="I11" s="8" t="n">
        <v>70</v>
      </c>
      <c r="J11" s="8" t="inlineStr">
        <is>
          <t>Il punteggio riflette un incidente già avvenuto (caduta a livello di un lavoratore) causato da un inadeguato mantenimento dell'ordine nelle vie di transito. La presenza di ostacoli e macchinari pesanti nelle vicinanze aumenta il rischio di lesioni significative sia per l'infortunato che per i soccorritori.</t>
        </is>
      </c>
      <c r="K11" s="8" t="n">
        <v>75.02</v>
      </c>
      <c r="L11" s="11" t="inlineStr">
        <is>
          <t>rosso</t>
        </is>
      </c>
      <c r="M11" s="8" t="n">
        <v>20</v>
      </c>
      <c r="N11" s="8" t="n">
        <v>13.77</v>
      </c>
      <c r="O11" s="12" t="inlineStr">
        <is>
          <t>accordo</t>
        </is>
      </c>
      <c r="P11" s="8" t="n">
        <v>0</v>
      </c>
      <c r="Q11" s="8" t="n">
        <v>0.5</v>
      </c>
      <c r="R11" s="8" t="n">
        <v>0.5</v>
      </c>
      <c r="S11" s="8" t="n">
        <v>0</v>
      </c>
      <c r="T11" s="8" t="n">
        <v>0.25</v>
      </c>
      <c r="U11" s="8" t="n">
        <v>0</v>
      </c>
      <c r="V11" s="8" t="n">
        <v>0</v>
      </c>
    </row>
    <row r="12" ht="34" customHeight="1">
      <c r="A12" s="8" t="n">
        <v>10</v>
      </c>
      <c r="B12" s="8" t="n">
        <v>20</v>
      </c>
      <c r="C12" s="8" t="n">
        <v>24</v>
      </c>
      <c r="D12" s="8" t="n">
        <v>4</v>
      </c>
      <c r="E12" s="8" t="n">
        <v>80</v>
      </c>
      <c r="F12" s="8" t="inlineStr">
        <is>
          <t>Il punteggio di 80 è giustificato dall'avvenuto infortunio (operatore a terra soccorso da un collega) causato plausibilmente da un inciampo. La presenza di cavi e tubi flessibili non canalizzati sul pavimento in prossimità di macchinari pesanti evidenzia un grave deficit di housekeeping, mantenendo alto il rischio di ulteriori cadute o impatti contro le strutture metalliche circostanti.</t>
        </is>
      </c>
      <c r="G12" s="8" t="n">
        <v>83.52</v>
      </c>
      <c r="H12" s="11" t="inlineStr">
        <is>
          <t>rosso</t>
        </is>
      </c>
      <c r="I12" s="8" t="n">
        <v>65</v>
      </c>
      <c r="J12" s="8" t="inlineStr">
        <is>
          <t>Il punteggio riflette un rischio significativo dovuto alla presenza di un operatore già a terra, segno di una caduta o inciampo avvenuto in prossimità di macchinari e ostacoli metallici. Sebbene il collega stia prestando assistenza, l'evento evidenzia potenziali carenze nella sicurezza dei percorsi di transito.</t>
        </is>
      </c>
      <c r="K12" s="8" t="n">
        <v>69.01000000000001</v>
      </c>
      <c r="L12" s="9" t="inlineStr">
        <is>
          <t>arancione</t>
        </is>
      </c>
      <c r="M12" s="8" t="n">
        <v>15</v>
      </c>
      <c r="N12" s="8" t="n">
        <v>14.51</v>
      </c>
      <c r="O12" s="11" t="inlineStr">
        <is>
          <t>disaccordo</t>
        </is>
      </c>
      <c r="P12" s="8" t="n">
        <v>0</v>
      </c>
      <c r="Q12" s="8" t="n">
        <v>0.25</v>
      </c>
      <c r="R12" s="8" t="n">
        <v>0.5</v>
      </c>
      <c r="S12" s="8" t="n">
        <v>0</v>
      </c>
      <c r="T12" s="8" t="n">
        <v>0</v>
      </c>
      <c r="U12" s="8" t="n">
        <v>0.25</v>
      </c>
      <c r="V12" s="8" t="n">
        <v>0</v>
      </c>
    </row>
    <row r="13" ht="34" customHeight="1">
      <c r="A13" s="8" t="n">
        <v>11</v>
      </c>
      <c r="B13" s="8" t="n">
        <v>22</v>
      </c>
      <c r="C13" s="8" t="n">
        <v>26</v>
      </c>
      <c r="D13" s="8" t="n">
        <v>4</v>
      </c>
      <c r="E13" s="8" t="n">
        <v>85</v>
      </c>
      <c r="F13" s="8" t="inlineStr">
        <is>
          <t>Il punteggio di 85 riflette un livello di rischio molto elevato. La caduta o l'arresto brusco di un veicolo a motore (scooter) all'interno di un'area di produzione stretta e con macchinari pesanti rappresenta un grave pericolo. L'assembramento caotico di 6-7 operatori, con possibili alterchi fisici e un uso non uniforme dei DPI, aumenta esponenzialmente il rischio di lesioni personali, collisioni secondarie e intralcio alle vie di fuga in caso di emergenza.</t>
        </is>
      </c>
      <c r="G13" s="8" t="n">
        <v>85.66</v>
      </c>
      <c r="H13" s="11" t="inlineStr">
        <is>
          <t>rosso</t>
        </is>
      </c>
      <c r="I13" s="8" t="n">
        <v>65</v>
      </c>
      <c r="J13" s="8" t="inlineStr">
        <is>
          <t>La presenza non autorizzata di uno scooter all'interno del reparto produttivo e l'assembramento di pedoni attorno ad esso generano un rischio significativo di collisione e distrazione in prossimità di macchinari attivi. Questa violazione delle norme di sicurezza riduce la consapevolezza situazionale degli operatori, aumentando la probabilità di infortuni.</t>
        </is>
      </c>
      <c r="K13" s="8" t="n">
        <v>66.59999999999999</v>
      </c>
      <c r="L13" s="9" t="inlineStr">
        <is>
          <t>arancione</t>
        </is>
      </c>
      <c r="M13" s="8" t="n">
        <v>20</v>
      </c>
      <c r="N13" s="8" t="n">
        <v>19.06</v>
      </c>
      <c r="O13" s="11" t="inlineStr">
        <is>
          <t>disaccordo</t>
        </is>
      </c>
      <c r="P13" s="8" t="n">
        <v>0.75</v>
      </c>
      <c r="Q13" s="8" t="n">
        <v>0.5</v>
      </c>
      <c r="R13" s="8" t="n">
        <v>0.75</v>
      </c>
      <c r="S13" s="8" t="n">
        <v>0.25</v>
      </c>
      <c r="T13" s="8" t="n">
        <v>0</v>
      </c>
      <c r="U13" s="8" t="n">
        <v>0</v>
      </c>
      <c r="V13" s="8" t="n">
        <v>0</v>
      </c>
    </row>
    <row r="14" ht="34" customHeight="1">
      <c r="A14" s="8" t="n">
        <v>12</v>
      </c>
      <c r="B14" s="8" t="n">
        <v>24</v>
      </c>
      <c r="C14" s="8" t="n">
        <v>28</v>
      </c>
      <c r="D14" s="8" t="n">
        <v>4</v>
      </c>
      <c r="E14" s="8" t="n">
        <v>70</v>
      </c>
      <c r="F14" s="8" t="inlineStr">
        <is>
          <t>Il punteggio di 70 è giustificato dall'interazione fisica concitata o alterco tra numerosi operatori in un'area ristretta, caratterizzata dalla presenza di macchinari pesanti (pressa industriale) e ostacoli a terra. La ridotta consapevolezza situazionale, unita al mancato utilizzo generalizzato dei DPI (elmetti), eleva significativamente il rischio di cadute accidentali, urti contro strutture metalliche e distrazione rispetto alle fonti di pericolo attive.</t>
        </is>
      </c>
      <c r="G14" s="8" t="n">
        <v>76.26000000000001</v>
      </c>
      <c r="H14" s="11" t="inlineStr">
        <is>
          <t>rosso</t>
        </is>
      </c>
      <c r="I14" s="8" t="n">
        <v>35</v>
      </c>
      <c r="J14" s="8" t="inlineStr">
        <is>
          <t>Il rischio è moderato a causa della presenza di materiali a terra che creano un potenziale pericolo di inciampo e della distrazione del gruppo di lavoratori riuniti nell'area operativa. Non si rilevano pericoli imminenti legati a macchinari in movimento o transito di mezzi.</t>
        </is>
      </c>
      <c r="K14" s="8" t="n">
        <v>47.64</v>
      </c>
      <c r="L14" s="10" t="inlineStr">
        <is>
          <t>giallo</t>
        </is>
      </c>
      <c r="M14" s="8" t="n">
        <v>35</v>
      </c>
      <c r="N14" s="8" t="n">
        <v>28.62</v>
      </c>
      <c r="O14" s="11" t="inlineStr">
        <is>
          <t>disaccordo</t>
        </is>
      </c>
      <c r="P14" s="8" t="n">
        <v>0</v>
      </c>
      <c r="Q14" s="8" t="n">
        <v>0.25</v>
      </c>
      <c r="R14" s="8" t="n">
        <v>0.25</v>
      </c>
      <c r="S14" s="8" t="n">
        <v>0</v>
      </c>
      <c r="T14" s="8" t="n">
        <v>0</v>
      </c>
      <c r="U14" s="8" t="n">
        <v>0.25</v>
      </c>
      <c r="V14" s="8" t="n">
        <v>0</v>
      </c>
    </row>
    <row r="15" ht="34" customHeight="1">
      <c r="A15" s="8" t="n">
        <v>13</v>
      </c>
      <c r="B15" s="8" t="n">
        <v>26</v>
      </c>
      <c r="C15" s="8" t="n">
        <v>30</v>
      </c>
      <c r="D15" s="8" t="n">
        <v>4</v>
      </c>
      <c r="E15" s="8" t="n">
        <v>50</v>
      </c>
      <c r="F15" s="8" t="inlineStr">
        <is>
          <t>Il punteggio di 50 indica un rischio moderato. Si rileva un gruppo di operatori fermo in un'area operativa e di transito vicino a macchinari pesanti, configurando una potenziale situazione di intralcio e distrazione. Inoltre, la maggior parte dei soggetti nel gruppo centrale sembra priva di casco protettivo, aumentando la vulnerabilità a urti accidentali o caduta di materiali in un contesto industriale.</t>
        </is>
      </c>
      <c r="G15" s="8" t="n">
        <v>60.5</v>
      </c>
      <c r="H15" s="9" t="inlineStr">
        <is>
          <t>arancione</t>
        </is>
      </c>
      <c r="I15" s="8" t="n">
        <v>35</v>
      </c>
      <c r="J15" s="8" t="inlineStr">
        <is>
          <t>Il rischio è moderato a causa della presenza di materiali sparsi sul pavimento che creano un potenziale pericolo di inciampo per i lavoratori parzialmente distratti. L'assenza di mezzi in movimento o di lavorazioni ad alto rischio attive riduce la probabilità di incidenti gravi in questa finestra temporale.</t>
        </is>
      </c>
      <c r="K15" s="8" t="n">
        <v>40.06</v>
      </c>
      <c r="L15" s="10" t="inlineStr">
        <is>
          <t>giallo</t>
        </is>
      </c>
      <c r="M15" s="8" t="n">
        <v>15</v>
      </c>
      <c r="N15" s="8" t="n">
        <v>20.44</v>
      </c>
      <c r="O15" s="11" t="inlineStr">
        <is>
          <t>disaccordo</t>
        </is>
      </c>
      <c r="P15" s="8" t="n">
        <v>0</v>
      </c>
      <c r="Q15" s="8" t="n">
        <v>0.25</v>
      </c>
      <c r="R15" s="8" t="n">
        <v>0.5</v>
      </c>
      <c r="S15" s="8" t="n">
        <v>0</v>
      </c>
      <c r="T15" s="8" t="n">
        <v>0.25</v>
      </c>
      <c r="U15" s="8" t="n">
        <v>0</v>
      </c>
      <c r="V15" s="8" t="n">
        <v>0</v>
      </c>
    </row>
    <row r="16" ht="34" customHeight="1">
      <c r="A16" s="8" t="n">
        <v>14</v>
      </c>
      <c r="B16" s="8" t="n">
        <v>28</v>
      </c>
      <c r="C16" s="8" t="n">
        <v>32</v>
      </c>
      <c r="D16" s="8" t="n">
        <v>4</v>
      </c>
      <c r="E16" s="8" t="n">
        <v>40</v>
      </c>
      <c r="F16" s="8" t="inlineStr">
        <is>
          <t>Il punteggio di 40 indica un rischio moderato. Pur in assenza di macchinari in movimento attivo, si rilevano fattori di rischio significativi: il mancato uso uniforme dei DPI (elmetti) da parte di alcuni lavoratori, la presenza di ostacoli e materiali di scarto a terra che favoriscono il rischio di inciampo, e la concentrazione di un gruppo di persone in una zona di transito/lavoro che può generare distrazione.</t>
        </is>
      </c>
      <c r="G16" s="8" t="n">
        <v>48.2</v>
      </c>
      <c r="H16" s="10" t="inlineStr">
        <is>
          <t>giallo</t>
        </is>
      </c>
      <c r="I16" s="8" t="n">
        <v>35</v>
      </c>
      <c r="J16" s="8" t="inlineStr">
        <is>
          <t>Il punteggio riflette un rischio moderato dovuto alla sosta di un gruppo di lavoratori in un'area di transito con materiali a terra, che aumenta il rischio di inciampo e riduce la soglia di attenzione. Non si rilevano tuttavia pericoli immediati legati a mezzi in movimento o lavorazioni ad alto rischio in corso.</t>
        </is>
      </c>
      <c r="K16" s="8" t="n">
        <v>37.02</v>
      </c>
      <c r="L16" s="10" t="inlineStr">
        <is>
          <t>giallo</t>
        </is>
      </c>
      <c r="M16" s="8" t="n">
        <v>5</v>
      </c>
      <c r="N16" s="8" t="n">
        <v>11.18</v>
      </c>
      <c r="O16" s="12" t="inlineStr">
        <is>
          <t>accordo</t>
        </is>
      </c>
      <c r="P16" s="8" t="n">
        <v>0</v>
      </c>
      <c r="Q16" s="8" t="n">
        <v>0.25</v>
      </c>
      <c r="R16" s="8" t="n">
        <v>0.25</v>
      </c>
      <c r="S16" s="8" t="n">
        <v>0</v>
      </c>
      <c r="T16" s="8" t="n">
        <v>0.25</v>
      </c>
      <c r="U16" s="8" t="n">
        <v>0.25</v>
      </c>
      <c r="V16" s="8" t="n">
        <v>0</v>
      </c>
    </row>
    <row r="17" ht="34" customHeight="1">
      <c r="A17" s="8" t="n">
        <v>15</v>
      </c>
      <c r="B17" s="8" t="n">
        <v>30</v>
      </c>
      <c r="C17" s="8" t="n">
        <v>34</v>
      </c>
      <c r="D17" s="8" t="n">
        <v>4</v>
      </c>
      <c r="E17" s="8" t="n">
        <v>55</v>
      </c>
      <c r="F17" s="8" t="inlineStr">
        <is>
          <t>Il punteggio di 55 è giustificato dalla sosta di un gruppo numeroso di operatori (8 persone) direttamente al centro di un'area di transito operativo priva di segnaletica orizzontale di sicurezza. Questa situazione, unita alla presenza di detriti e fogli sul pavimento (rischio inciampo) e alla non verificabilità dei DPI per tutti i soggetti, configura una situazione di rischio moderato-alto per la sicurezza dei lavoratori.</t>
        </is>
      </c>
      <c r="G17" s="8" t="n">
        <v>56.03</v>
      </c>
      <c r="H17" s="9" t="inlineStr">
        <is>
          <t>arancione</t>
        </is>
      </c>
      <c r="I17" s="8" t="n">
        <v>35</v>
      </c>
      <c r="J17" s="8" t="inlineStr">
        <is>
          <t>Il rischio è moderato a causa della presenza di detriti e materiali di scarto sulla pavimentazione che aumentano il pericolo di inciampo per i lavoratori nell'area. L'uso dei caschi protettivi e l'assenza di mezzi in movimento o carichi sospesi riducono la potenziale gravità di un incidente.</t>
        </is>
      </c>
      <c r="K17" s="8" t="n">
        <v>35.81</v>
      </c>
      <c r="L17" s="10" t="inlineStr">
        <is>
          <t>giallo</t>
        </is>
      </c>
      <c r="M17" s="8" t="n">
        <v>20</v>
      </c>
      <c r="N17" s="8" t="n">
        <v>20.22</v>
      </c>
      <c r="O17" s="11" t="inlineStr">
        <is>
          <t>disaccordo</t>
        </is>
      </c>
      <c r="P17" s="8" t="n">
        <v>0</v>
      </c>
      <c r="Q17" s="8" t="n">
        <v>0.25</v>
      </c>
      <c r="R17" s="8" t="n">
        <v>0.25</v>
      </c>
      <c r="S17" s="8" t="n">
        <v>0</v>
      </c>
      <c r="T17" s="8" t="n">
        <v>0.25</v>
      </c>
      <c r="U17" s="8" t="n">
        <v>0</v>
      </c>
      <c r="V17" s="8" t="n">
        <v>0</v>
      </c>
    </row>
    <row r="18" ht="34" customHeight="1">
      <c r="A18" s="8" t="n">
        <v>16</v>
      </c>
      <c r="B18" s="8" t="n">
        <v>32</v>
      </c>
      <c r="C18" s="8" t="n">
        <v>36</v>
      </c>
      <c r="D18" s="8" t="n">
        <v>4</v>
      </c>
      <c r="E18" s="8" t="n">
        <v>40</v>
      </c>
      <c r="F18" s="8" t="inlineStr">
        <is>
          <t>Il punteggio di 40 indica un rischio moderato. La concentrazione di un gruppo numeroso di lavoratori in una zona di transito e in prossimità di macchinari pesanti (pressa industriale) riduce lo spazio di manovra sicuro. La presenza di detriti, pallet e materiali sparsi sul pavimento genera un rischio concreto di inciampo e caduta. Inoltre, l'impossibilità di verificare l'uso corretto e completo dei DPI per tutti i presenti rappresenta un ulteriore fattore di vulnerabilità.</t>
        </is>
      </c>
      <c r="G18" s="8" t="n">
        <v>46.41</v>
      </c>
      <c r="H18" s="10" t="inlineStr">
        <is>
          <t>giallo</t>
        </is>
      </c>
      <c r="I18" s="8" t="n">
        <v>38</v>
      </c>
      <c r="J18" s="8" t="inlineStr">
        <is>
          <t>Il rischio è moderato a causa dell'operatore che cammina all'indietro con visibilità ridotta in presenza di detriti al suolo e di colleghi fermi in un'area di transito. Questa situazione aumenta la probabilità di inciampi o collisioni, sebbene non vi siano veicoli o carichi sospesi in movimento immediato.</t>
        </is>
      </c>
      <c r="K18" s="8" t="n">
        <v>37.87</v>
      </c>
      <c r="L18" s="10" t="inlineStr">
        <is>
          <t>giallo</t>
        </is>
      </c>
      <c r="M18" s="8" t="n">
        <v>2</v>
      </c>
      <c r="N18" s="8" t="n">
        <v>8.539999999999999</v>
      </c>
      <c r="O18" s="12" t="inlineStr">
        <is>
          <t>accordo</t>
        </is>
      </c>
      <c r="P18" s="8" t="n">
        <v>0.25</v>
      </c>
      <c r="Q18" s="8" t="n">
        <v>0.75</v>
      </c>
      <c r="R18" s="8" t="n">
        <v>0.5</v>
      </c>
      <c r="S18" s="8" t="n">
        <v>0</v>
      </c>
      <c r="T18" s="8" t="n">
        <v>0.25</v>
      </c>
      <c r="U18" s="8" t="n">
        <v>0</v>
      </c>
      <c r="V18" s="8" t="n">
        <v>0</v>
      </c>
    </row>
    <row r="19" ht="34" customHeight="1">
      <c r="A19" s="8" t="n">
        <v>17</v>
      </c>
      <c r="B19" s="8" t="n">
        <v>34</v>
      </c>
      <c r="C19" s="8" t="n">
        <v>36.689</v>
      </c>
      <c r="D19" s="8" t="n">
        <v>2.689</v>
      </c>
      <c r="E19" s="8" t="n">
        <v>30</v>
      </c>
      <c r="F19" s="8" t="inlineStr">
        <is>
          <t>Il punteggio di 30 indica un rischio moderato. Sebbene gli operatori indossino i DPI adeguati (caschi e gilet ad alta visibilità), l'assembramento in una zona di transito vicino a macchinari pesanti e la presenza di attrezzature nelle aree di passaggio aumentano il rischio di inciampi o collisioni accidentali durante la dispersione del gruppo.</t>
        </is>
      </c>
      <c r="G19" s="8" t="n">
        <v>36.56</v>
      </c>
      <c r="H19" s="10" t="inlineStr">
        <is>
          <t>giallo</t>
        </is>
      </c>
      <c r="I19" s="8" t="n">
        <v>30</v>
      </c>
      <c r="J19" s="8" t="inlineStr">
        <is>
          <t>Il rischio è moderato poiché la sosta di gruppo in un'area operativa riduce l'attenzione situazionale, aumentando la probabilità di inciampi sui materiali a terra. Tuttavia, l'assenza di carrelli in movimento o lavorazioni ad alto rischio attive in questo momento limita la gravità immediata.</t>
        </is>
      </c>
      <c r="K19" s="8" t="n">
        <v>33.15</v>
      </c>
      <c r="L19" s="10" t="inlineStr">
        <is>
          <t>giallo</t>
        </is>
      </c>
      <c r="M19" s="8" t="n">
        <v>0</v>
      </c>
      <c r="N19" s="8" t="n">
        <v>3.41</v>
      </c>
      <c r="O19" s="12" t="inlineStr">
        <is>
          <t>accordo</t>
        </is>
      </c>
      <c r="P19" s="8" t="n">
        <v>0</v>
      </c>
      <c r="Q19" s="8" t="n">
        <v>0.25</v>
      </c>
      <c r="R19" s="8" t="n">
        <v>0.25</v>
      </c>
      <c r="S19" s="8" t="n">
        <v>0</v>
      </c>
      <c r="T19" s="8" t="n">
        <v>0</v>
      </c>
      <c r="U19" s="8" t="n">
        <v>0</v>
      </c>
      <c r="V19" s="8" t="n">
        <v>0</v>
      </c>
    </row>
    <row r="20" ht="34" customHeight="1">
      <c r="A20" s="8" t="n">
        <v>18</v>
      </c>
      <c r="B20" s="8" t="n">
        <v>36</v>
      </c>
      <c r="C20" s="8" t="n">
        <v>36.689</v>
      </c>
      <c r="D20" s="8" t="n">
        <v>0.6889999999999999</v>
      </c>
      <c r="E20" s="8" t="n">
        <v>45</v>
      </c>
      <c r="F20" s="8" t="inlineStr">
        <is>
          <t>Il punteggio di 45 indica un rischio moderato. Si osserva un assembramento di 8-10 operatori in una zona di transito e in prossimità di una pressa industriale. La presenza di lavoratori privi di casco protettivo in un'area con potenziale rischio di caduta oggetti e la possibilità di intralcio in caso di movimentazione carichi o avvio macchinari costituiscono non-conformità rilevanti per la sicurezza.</t>
        </is>
      </c>
      <c r="G20" s="8" t="n">
        <v>45.37</v>
      </c>
      <c r="H20" s="10" t="inlineStr">
        <is>
          <t>giallo</t>
        </is>
      </c>
      <c r="I20" s="8" t="n">
        <v>5</v>
      </c>
      <c r="J20" s="8" t="inlineStr">
        <is>
          <t>Gli operatori sono riuniti in sicurezza per un briefing e indossano correttamente i DPI previsti. Non si rilevano attività operative a rischio, macchinari in movimento o interferenze con mezzi nell'area.</t>
        </is>
      </c>
      <c r="K20" s="8" t="n">
        <v>16.26</v>
      </c>
      <c r="L20" s="12" t="inlineStr">
        <is>
          <t>verde</t>
        </is>
      </c>
      <c r="M20" s="8" t="n">
        <v>40</v>
      </c>
      <c r="N20" s="8" t="n">
        <v>29.11</v>
      </c>
      <c r="O20" s="11" t="inlineStr">
        <is>
          <t>disaccordo</t>
        </is>
      </c>
      <c r="P20" s="8" t="n">
        <v>0</v>
      </c>
      <c r="Q20" s="8" t="n">
        <v>0</v>
      </c>
      <c r="R20" s="8" t="n">
        <v>0</v>
      </c>
      <c r="S20" s="8" t="n">
        <v>0</v>
      </c>
      <c r="T20" s="8" t="n">
        <v>0</v>
      </c>
      <c r="U20" s="8" t="n">
        <v>0</v>
      </c>
      <c r="V20" s="8"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2026-07-30T19:23:33Z</dcterms:created>
  <dcterms:modified xmlns:dcterms="http://purl.org/dc/terms/" xmlns:xsi="http://www.w3.org/2001/XMLSchema-instance" xsi:type="dcterms:W3CDTF">2026-07-30T19:23:33Z</dcterms:modified>
</cp:coreProperties>
</file>