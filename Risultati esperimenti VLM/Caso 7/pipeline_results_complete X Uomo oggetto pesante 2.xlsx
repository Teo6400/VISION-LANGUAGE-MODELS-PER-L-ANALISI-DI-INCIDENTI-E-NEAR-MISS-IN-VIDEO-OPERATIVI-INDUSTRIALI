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branch_comparison" sheetId="2" state="visible" r:id="rId2"/>
    <sheet xmlns:r="http://schemas.openxmlformats.org/officeDocument/2006/relationships" name="vlm_free_branch" sheetId="3" state="visible" r:id="rId3"/>
    <sheet xmlns:r="http://schemas.openxmlformats.org/officeDocument/2006/relationships" name="vlm_guided_branch" sheetId="4" state="visible" r:id="rId4"/>
    <sheet xmlns:r="http://schemas.openxmlformats.org/officeDocument/2006/relationships" name="ahp_branch" sheetId="5" state="visible" r:id="rId5"/>
    <sheet xmlns:r="http://schemas.openxmlformats.org/officeDocument/2006/relationships" name="scoring_json_debug" sheetId="6" state="visible" r:id="rId6"/>
    <sheet xmlns:r="http://schemas.openxmlformats.org/officeDocument/2006/relationships" name="token_audit" sheetId="7" state="visible" r:id="rId7"/>
    <sheet xmlns:r="http://schemas.openxmlformats.org/officeDocument/2006/relationships" name="ahp_risk_analysis" sheetId="8" state="visible" r:id="rId8"/>
    <sheet xmlns:r="http://schemas.openxmlformats.org/officeDocument/2006/relationships" name="ahp_contrib_detail" sheetId="9" state="visible" r:id="rId9"/>
    <sheet xmlns:r="http://schemas.openxmlformats.org/officeDocument/2006/relationships" name="ahp_contrib_summary"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2">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CE4D6"/>
      </patternFill>
    </fill>
    <fill>
      <patternFill patternType="solid">
        <fgColor rgb="00F4CCCC"/>
      </patternFill>
    </fill>
    <fill>
      <patternFill patternType="solid">
        <fgColor rgb="00FFF2CC"/>
      </patternFill>
    </fill>
    <fill>
      <patternFill patternType="solid">
        <fgColor rgb="00C6EFCE"/>
      </patternFill>
    </fill>
    <fill>
      <patternFill patternType="solid">
        <fgColor rgb="00EADCF8"/>
      </patternFill>
    </fill>
    <fill>
      <patternFill patternType="solid">
        <fgColor rgb="00EDEDED"/>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2"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6" borderId="2" applyAlignment="1" pivotButton="0" quotePrefix="0" xfId="0">
      <alignment horizontal="left" vertical="top" wrapText="1"/>
    </xf>
    <xf numFmtId="0" fontId="3" fillId="8" borderId="2" applyAlignment="1" pivotButton="0" quotePrefix="0" xfId="0">
      <alignment horizontal="left" vertical="top" wrapText="1"/>
    </xf>
    <xf numFmtId="0" fontId="3" fillId="7" borderId="2" applyAlignment="1" pivotButton="0" quotePrefix="0" xfId="0">
      <alignment horizontal="left" vertical="top" wrapText="1"/>
    </xf>
    <xf numFmtId="0" fontId="3" fillId="9" borderId="2" applyAlignment="1" pivotButton="0" quotePrefix="0" xfId="0">
      <alignment horizontal="left" vertical="top" wrapText="1"/>
    </xf>
    <xf numFmtId="0" fontId="4" fillId="8" borderId="2" applyAlignment="1" pivotButton="0" quotePrefix="0" xfId="0">
      <alignment horizontal="center" vertical="center" wrapText="1"/>
    </xf>
    <xf numFmtId="0" fontId="4" fillId="10" borderId="2" applyAlignment="1" pivotButton="0" quotePrefix="0" xfId="0">
      <alignment horizontal="center" vertical="center" wrapText="1"/>
    </xf>
    <xf numFmtId="0" fontId="4" fillId="11"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Tre rami</a:t>
            </a:r>
          </a:p>
        </rich>
      </tx>
    </title>
    <plotArea>
      <lineChart>
        <grouping val="standard"/>
        <ser>
          <idx val="0"/>
          <order val="0"/>
          <tx>
            <strRef>
              <f>'all_results'!H1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'all_results'!$A$2:$A$20</f>
            </numRef>
          </cat>
          <val>
            <numRef>
              <f>'all_results'!$H$2:$H$20</f>
            </numRef>
          </val>
        </ser>
        <ser>
          <idx val="1"/>
          <order val="1"/>
          <tx>
            <strRef>
              <f>'all_results'!O1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'all_results'!$A$2:$A$20</f>
            </numRef>
          </cat>
          <val>
            <numRef>
              <f>'all_results'!$O$2:$O$20</f>
            </numRef>
          </val>
        </ser>
        <ser>
          <idx val="2"/>
          <order val="2"/>
          <tx>
            <strRef>
              <f>'all_results'!R1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'all_results'!$A$2:$A$20</f>
            </numRef>
          </cat>
          <val>
            <numRef>
              <f>'all_results'!$R$2:$R$20</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Confronto punteggi dinamici - Tre rami</a:t>
            </a:r>
          </a:p>
        </rich>
      </tx>
    </title>
    <plotArea>
      <lineChart>
        <grouping val="standard"/>
        <ser>
          <idx val="0"/>
          <order val="0"/>
          <tx>
            <strRef>
              <f>'branch_comparison'!G1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'branch_comparison'!$A$2:$A$20</f>
            </numRef>
          </cat>
          <val>
            <numRef>
              <f>'branch_comparison'!$G$2:$G$20</f>
            </numRef>
          </val>
        </ser>
        <ser>
          <idx val="1"/>
          <order val="1"/>
          <tx>
            <strRef>
              <f>'branch_comparison'!H1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'branch_comparison'!$A$2:$A$20</f>
            </numRef>
          </cat>
          <val>
            <numRef>
              <f>'branch_comparison'!$H$2:$H$20</f>
            </numRef>
          </val>
        </ser>
        <ser>
          <idx val="2"/>
          <order val="2"/>
          <tx>
            <strRef>
              <f>'branch_comparison'!I1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'branch_comparison'!$A$2:$A$20</f>
            </numRef>
          </cat>
          <val>
            <numRef>
              <f>'branch_comparison'!$I$2:$I$20</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Ramo VLM libero - Dynamic risk score</a:t>
            </a:r>
          </a:p>
        </rich>
      </tx>
    </title>
    <plotArea>
      <lineChart>
        <grouping val="standard"/>
        <ser>
          <idx val="0"/>
          <order val="0"/>
          <tx>
            <strRef>
              <f>'vlm_free_branch'!G1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'vlm_free_branch'!$A$2:$A$20</f>
            </numRef>
          </cat>
          <val>
            <numRef>
              <f>'vlm_free_branch'!$G$2:$G$20</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Ramo VLM guidato - Dynamic risk score</a:t>
            </a:r>
          </a:p>
        </rich>
      </tx>
    </title>
    <plotArea>
      <lineChart>
        <grouping val="standard"/>
        <ser>
          <idx val="0"/>
          <order val="0"/>
          <tx>
            <strRef>
              <f>'vlm_guided_branch'!I1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'vlm_guided_branch'!$A$2:$A$20</f>
            </numRef>
          </cat>
          <val>
            <numRef>
              <f>'vlm_guided_branch'!$I$2:$I$20</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Ramo AHP - Dynamic risk score</a:t>
            </a:r>
          </a:p>
        </rich>
      </tx>
    </title>
    <plotArea>
      <lineChart>
        <grouping val="standard"/>
        <ser>
          <idx val="0"/>
          <order val="0"/>
          <tx>
            <strRef>
              <f>'ahp_branch'!H1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'ahp_branch'!$A$2:$A$20</f>
            </numRef>
          </cat>
          <val>
            <numRef>
              <f>'ahp_branch'!$H$2:$H$20</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15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25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BD20"/>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18" customWidth="1" min="5" max="5"/>
    <col width="8" customWidth="1" min="6" max="6"/>
    <col width="16" customWidth="1" min="7" max="7"/>
    <col width="8" customWidth="1" min="8" max="8"/>
    <col width="7" customWidth="1" min="9" max="9"/>
    <col width="18" customWidth="1" min="10" max="10"/>
    <col width="18" customWidth="1" min="11" max="11"/>
    <col width="18" customWidth="1" min="12" max="12"/>
    <col width="8" customWidth="1" min="13" max="13"/>
    <col width="16" customWidth="1" min="14" max="14"/>
    <col width="8" customWidth="1" min="15" max="15"/>
    <col width="7" customWidth="1" min="16" max="16"/>
    <col width="8" customWidth="1" min="17" max="17"/>
    <col width="8" customWidth="1" min="18" max="18"/>
    <col width="7" customWidth="1" min="19" max="19"/>
    <col width="8" customWidth="1" min="20" max="20"/>
    <col width="18" customWidth="1" min="21" max="21"/>
    <col width="7" customWidth="1" min="22" max="22"/>
    <col width="8" customWidth="1" min="23" max="23"/>
    <col width="7" customWidth="1" min="24" max="24"/>
    <col width="8" customWidth="1" min="25" max="25"/>
    <col width="8" customWidth="1" min="26" max="26"/>
    <col width="7" customWidth="1" min="27" max="27"/>
    <col width="8" customWidth="1" min="28" max="28"/>
    <col width="7" customWidth="1" min="29" max="29"/>
    <col width="8" customWidth="1" min="30" max="30"/>
    <col width="8" customWidth="1" min="31" max="31"/>
    <col width="7" customWidth="1" min="32" max="32"/>
    <col width="8" customWidth="1" min="33" max="33"/>
    <col width="7" customWidth="1" min="34" max="34"/>
    <col width="8" customWidth="1" min="35" max="35"/>
    <col width="8" customWidth="1" min="36" max="36"/>
    <col width="7" customWidth="1" min="37" max="37"/>
    <col width="8" customWidth="1" min="38" max="38"/>
    <col width="7" customWidth="1" min="39" max="39"/>
    <col width="8" customWidth="1" min="40" max="40"/>
    <col width="8" customWidth="1" min="41" max="41"/>
    <col width="7" customWidth="1" min="42" max="42"/>
    <col width="8" customWidth="1" min="43" max="43"/>
    <col width="7" customWidth="1" min="44" max="44"/>
    <col width="8" customWidth="1" min="45" max="45"/>
    <col width="8" customWidth="1" min="46" max="46"/>
    <col width="7" customWidth="1" min="47" max="47"/>
    <col width="8" customWidth="1" min="48" max="48"/>
    <col width="7" customWidth="1" min="49" max="49"/>
    <col width="8" customWidth="1" min="50" max="50"/>
    <col width="8" customWidth="1" min="51" max="51"/>
    <col width="7" customWidth="1" min="52" max="52"/>
    <col width="8" customWidth="1" min="53" max="53"/>
    <col width="7" customWidth="1" min="54" max="54"/>
    <col width="8" customWidth="1" min="55" max="55"/>
    <col width="8" customWidth="1" min="56" max="56"/>
  </cols>
  <sheetData>
    <row r="1" ht="16" customHeight="1">
      <c r="A1" s="2" t="inlineStr">
        <is>
          <t>window_id</t>
        </is>
      </c>
      <c r="B1" s="2" t="inlineStr">
        <is>
          <t>start_time_s</t>
        </is>
      </c>
      <c r="C1" s="2" t="inlineStr">
        <is>
          <t>end_time_s</t>
        </is>
      </c>
      <c r="D1" s="2" t="inlineStr">
        <is>
          <t>window_duration_s</t>
        </is>
      </c>
      <c r="E1" s="3" t="inlineStr">
        <is>
          <t>free_descriptive_causal_output_json</t>
        </is>
      </c>
      <c r="F1" s="3" t="inlineStr">
        <is>
          <t>instantaneous_risk_score_vlm_free</t>
        </is>
      </c>
      <c r="G1" s="3" t="inlineStr">
        <is>
          <t>score_rationale_vlm_free</t>
        </is>
      </c>
      <c r="H1" s="3" t="inlineStr">
        <is>
          <t>dynamic_risk_score_vlm_free</t>
        </is>
      </c>
      <c r="I1" s="3" t="inlineStr">
        <is>
          <t>traffic_light_color_vlm_free</t>
        </is>
      </c>
      <c r="J1" s="4" t="inlineStr">
        <is>
          <t>descriptive_prompt_output_json</t>
        </is>
      </c>
      <c r="K1" s="4" t="inlineStr">
        <is>
          <t>question_set_prompt_output_json</t>
        </is>
      </c>
      <c r="L1" s="4" t="inlineStr">
        <is>
          <t>causal_prompt_output_json</t>
        </is>
      </c>
      <c r="M1" s="4" t="inlineStr">
        <is>
          <t>instantaneous_risk_score_vlm</t>
        </is>
      </c>
      <c r="N1" s="4" t="inlineStr">
        <is>
          <t>score_rationale_vlm</t>
        </is>
      </c>
      <c r="O1" s="4" t="inlineStr">
        <is>
          <t>dynamic_risk_score_vlm</t>
        </is>
      </c>
      <c r="P1" s="4" t="inlineStr">
        <is>
          <t>traffic_light_color_vlm</t>
        </is>
      </c>
      <c r="Q1" s="5" t="inlineStr">
        <is>
          <t>instantaneous_risk_score_ahp</t>
        </is>
      </c>
      <c r="R1" s="5" t="inlineStr">
        <is>
          <t>dynamic_risk_score_ahp</t>
        </is>
      </c>
      <c r="S1" s="5" t="inlineStr">
        <is>
          <t>traffic_light_color_ahp</t>
        </is>
      </c>
      <c r="T1" s="6" t="inlineStr">
        <is>
          <t>cue_confidence</t>
        </is>
      </c>
      <c r="U1" s="6" t="inlineStr">
        <is>
          <t>diagnostic_notes</t>
        </is>
      </c>
      <c r="V1" s="6" t="inlineStr">
        <is>
          <t>S1_raw</t>
        </is>
      </c>
      <c r="W1" s="6" t="inlineStr">
        <is>
          <t>S1_transformed</t>
        </is>
      </c>
      <c r="X1" s="6" t="inlineStr">
        <is>
          <t>S1_weight</t>
        </is>
      </c>
      <c r="Y1" s="6" t="inlineStr">
        <is>
          <t>S1_contribution</t>
        </is>
      </c>
      <c r="Z1" s="6" t="inlineStr">
        <is>
          <t>S1_contribution_pct</t>
        </is>
      </c>
      <c r="AA1" s="6" t="inlineStr">
        <is>
          <t>S2_raw</t>
        </is>
      </c>
      <c r="AB1" s="6" t="inlineStr">
        <is>
          <t>S2_transformed</t>
        </is>
      </c>
      <c r="AC1" s="6" t="inlineStr">
        <is>
          <t>S2_weight</t>
        </is>
      </c>
      <c r="AD1" s="6" t="inlineStr">
        <is>
          <t>S2_contribution</t>
        </is>
      </c>
      <c r="AE1" s="6" t="inlineStr">
        <is>
          <t>S2_contribution_pct</t>
        </is>
      </c>
      <c r="AF1" s="6" t="inlineStr">
        <is>
          <t>S3_raw</t>
        </is>
      </c>
      <c r="AG1" s="6" t="inlineStr">
        <is>
          <t>S3_transformed</t>
        </is>
      </c>
      <c r="AH1" s="6" t="inlineStr">
        <is>
          <t>S3_weight</t>
        </is>
      </c>
      <c r="AI1" s="6" t="inlineStr">
        <is>
          <t>S3_contribution</t>
        </is>
      </c>
      <c r="AJ1" s="6" t="inlineStr">
        <is>
          <t>S3_contribution_pct</t>
        </is>
      </c>
      <c r="AK1" s="6" t="inlineStr">
        <is>
          <t>S4_raw</t>
        </is>
      </c>
      <c r="AL1" s="6" t="inlineStr">
        <is>
          <t>S4_transformed</t>
        </is>
      </c>
      <c r="AM1" s="6" t="inlineStr">
        <is>
          <t>S4_weight</t>
        </is>
      </c>
      <c r="AN1" s="6" t="inlineStr">
        <is>
          <t>S4_contribution</t>
        </is>
      </c>
      <c r="AO1" s="6" t="inlineStr">
        <is>
          <t>S4_contribution_pct</t>
        </is>
      </c>
      <c r="AP1" s="6" t="inlineStr">
        <is>
          <t>S5_raw</t>
        </is>
      </c>
      <c r="AQ1" s="6" t="inlineStr">
        <is>
          <t>S5_transformed</t>
        </is>
      </c>
      <c r="AR1" s="6" t="inlineStr">
        <is>
          <t>S5_weight</t>
        </is>
      </c>
      <c r="AS1" s="6" t="inlineStr">
        <is>
          <t>S5_contribution</t>
        </is>
      </c>
      <c r="AT1" s="6" t="inlineStr">
        <is>
          <t>S5_contribution_pct</t>
        </is>
      </c>
      <c r="AU1" s="6" t="inlineStr">
        <is>
          <t>S6_raw</t>
        </is>
      </c>
      <c r="AV1" s="6" t="inlineStr">
        <is>
          <t>S6_transformed</t>
        </is>
      </c>
      <c r="AW1" s="6" t="inlineStr">
        <is>
          <t>S6_weight</t>
        </is>
      </c>
      <c r="AX1" s="6" t="inlineStr">
        <is>
          <t>S6_contribution</t>
        </is>
      </c>
      <c r="AY1" s="6" t="inlineStr">
        <is>
          <t>S6_contribution_pct</t>
        </is>
      </c>
      <c r="AZ1" s="6" t="inlineStr">
        <is>
          <t>S7_raw</t>
        </is>
      </c>
      <c r="BA1" s="6" t="inlineStr">
        <is>
          <t>S7_transformed</t>
        </is>
      </c>
      <c r="BB1" s="6" t="inlineStr">
        <is>
          <t>S7_weight</t>
        </is>
      </c>
      <c r="BC1" s="6" t="inlineStr">
        <is>
          <t>S7_contribution</t>
        </is>
      </c>
      <c r="BD1" s="6" t="inlineStr">
        <is>
          <t>S7_contribution_pct</t>
        </is>
      </c>
    </row>
    <row r="2" ht="34" customHeight="1">
      <c r="A2" s="7" t="n">
        <v>0</v>
      </c>
      <c r="B2" s="7" t="n">
        <v>0</v>
      </c>
      <c r="C2" s="7" t="n">
        <v>4</v>
      </c>
      <c r="D2" s="7" t="n">
        <v>4</v>
      </c>
      <c r="E2" s="7" t="inlineStr">
        <is>
          <t>{"descrizione_scena": "Area di produzione industriale con presenza di macchinari pesanti, cassoni metallici e transito di personale.", "contesto": "Reparto di stampaggio o lavorazione metalli con layout compatto e spazi di manovra ridotti.", "personale": {"conteggio_approssimativo": 6, "dettagli": "Operatori dislocati in varie postazioni. Un lavoratore in maglia rossa cammina verso il fondo, un altro con elmetto giallo si sposta in primo piano."}, "macchinari_oggetti": {"principali": "Grande pressa industriale verde sulla sinistra, cassoni metallici per sfridi o componenti, carrelli e attrezzature di supporto."}, "condizioni_ambientali": {"illuminazione": "Artificiale tipica da capannone, con ombre marcate.", "limiti_visibilita": "Risoluzione CCTV medio-bassa che limita il dettaglio visivo sui DPI minori."}, "dpi_osservati": {"elmetti": "Visibili su alcuni operatori (giallo e bianco).", "potenziali_criticita": "L'operatore in maglia rossa non sembra indossare l'elmetto protettivo."}, "analisi_rischi": {"dinamiche_in_corso": "Coesistenza di attività di movimentazione manuale e transito pedonale in prossimità di macchine operative.", "fattori_contribuenti": "Layout congestionato e apparente assenza di vie pedonali delimitate.", "sviluppi_rischiosi": "Rischio moderato di urto o inciampo dovuto alla vicinanza tra pedoni e carrelli/materiali.", "livello_rischio_stimato": 3}}</t>
        </is>
      </c>
      <c r="F2" s="7" t="n">
        <v>60</v>
      </c>
      <c r="G2" s="7" t="inlineStr">
        <is>
          <t>Il punteggio di 60 riflette un rischio moderato-alto dovuto alla compresenza di un layout congestionato con spazi di manovra ridotti e alla mancanza di vie pedonali delimitate. La criticità principale è rappresentata dal mancato uso dell'elmetto protettivo da parte dell'operatore in maglia rossa in un'area con macchinari pesanti e movimentazione carichi.</t>
        </is>
      </c>
      <c r="H2" s="7" t="n">
        <v>60</v>
      </c>
      <c r="I2" s="8" t="inlineStr">
        <is>
          <t>arancione</t>
        </is>
      </c>
      <c r="J2" s="7" t="inlineStr">
        <is>
          <t>{"scene_state": "Area di lavoro industriale attiva con diversi operatori in movimento.", "environmental_conditions": ["Illuminazione interna", "Pavimentazione industriale"], "people": ["Operatore in rosso che cammina verso il fondo", "Operatore con casco giallo in movimento", "Operatore in azzurro che cammina in basso", "Operatori vicino alla pressa verde", "Operatore sulla destra"], "objects": ["Contenitori metallici", "Pallet", "Tavoli da lavoro"], "machines": ["Grande pressa industriale verde"], "observable_actions": ["Transito di pedoni nell'area di lavoro", "Spostamento di operatori verso diverse postazioni"], "visible_ppe": ["Casco di sicurezza giallo", "Casco di sicurezza bianco"], "notes_visibility_limitations": "Inquadratura CCTV dall'alto, risoluzione che limita la visibilità dei dettagli dei DPI."}</t>
        </is>
      </c>
      <c r="K2" s="7" t="inlineStr">
        <is>
          <t>{"unsafe_behaviors": ["Transito ravvicinato ad aree operative delle macchine senza barriere fisiche evidenti"], "vulnerable_elements": ["Operatori a piedi in transito nell'area di lavoro", "Operatori in prossimità della pressa industriale verde"], "risk_cues": {"S1_people_vehicle_interference": 0.0, "S2_visibility_attention_reduction": 0.25, "S3_non_compliant_behavior": 0.25, "S4_vehicle_infrastructure_interference": 0.0, "S5_storage_structural_instability": 0.25, "S6_access_to_moving_mechanical_parts": 0.5, "S7_manual_handling_heavy_unstable_loads": 0.0}, "cue_confidence": 0.75, "diagnostic_notes": "L'area presenta diversi pedoni in transito vicino a una grande pressa industriale verde. Non si osserva la presenza di mezzi di movimentazione interna (S1, S4) né di movimentazione manuale di carichi (S7). La vicinanza degli operatori alla pressa richiede attenzione per il rischio di contatto con organi in movimento (S6), sebbene non si notino interventi diretti o anomalie evidenti. La risoluzione della telecamera limita la verifica completa dei DPI di tutti i soggetti."}</t>
        </is>
      </c>
      <c r="L2" s="7" t="inlineStr">
        <is>
          <t>{"causal_chain_plausible": true, "causal_chain_text": "La mancanza di barriere fisiche attorno alla pressa verde, unita al transito ravvicinato di pedoni, può causare un contatto accidentale con parti meccaniche in movimento.", "near_miss_or_incident_scenario": "Un operatore in transito si avvicina troppo alla pressa verde attiva, subendo un contatto o intrappolamento con gli organi in movimento.", "contributing_factors": ["Assenza di barriere fisiche o segregazione visibile attorno alla pressa.", "Transito di pedoni in prossimità dell'area operativa della macchina.", "Difficoltà nel verificare il corretto utilizzo di tutti i DPI a causa della risoluzione CCTV."]}</t>
        </is>
      </c>
      <c r="M2" s="7" t="n">
        <v>45</v>
      </c>
      <c r="N2" s="7" t="inlineStr">
        <is>
          <t>Il punteggio riflette un rischio moderato dovuto al transito di pedoni in prossimità della pressa industriale verde senza barriere di segregazione evidenti. Sebbene non si registrino comportamenti scorretti immediati, la vicinanza alle parti meccaniche in movimento richiede vigilanza.</t>
        </is>
      </c>
      <c r="O2" s="7" t="n">
        <v>45</v>
      </c>
      <c r="P2" s="9" t="inlineStr">
        <is>
          <t>giallo</t>
        </is>
      </c>
      <c r="Q2" s="7" t="n">
        <v>36.06</v>
      </c>
      <c r="R2" s="7" t="n">
        <v>36.06</v>
      </c>
      <c r="S2" s="9" t="inlineStr">
        <is>
          <t>giallo</t>
        </is>
      </c>
      <c r="T2" s="7" t="n">
        <v>0.75</v>
      </c>
      <c r="U2" s="7" t="inlineStr">
        <is>
          <t>L'area presenta diversi pedoni in transito vicino a una grande pressa industriale verde. Non si osserva la presenza di mezzi di movimentazione interna (S1, S4) né di movimentazione manuale di carichi (S7). La vicinanza degli operatori alla pressa richiede attenzione per il rischio di contatto con organi in movimento (S6), sebbene non si notino interventi diretti o anomalie evidenti. La risoluzione della telecamera limita la verifica completa dei DPI di tutti i soggetti.</t>
        </is>
      </c>
      <c r="V2" s="7" t="n">
        <v>0</v>
      </c>
      <c r="W2" s="7" t="n">
        <v>0</v>
      </c>
      <c r="X2" s="7" t="n">
        <v>0.1109</v>
      </c>
      <c r="Y2" s="7" t="n">
        <v>0</v>
      </c>
      <c r="Z2" s="7" t="n">
        <v>0</v>
      </c>
      <c r="AA2" s="7" t="n">
        <v>0.25</v>
      </c>
      <c r="AB2" s="7" t="n">
        <v>0.5553</v>
      </c>
      <c r="AC2" s="7" t="n">
        <v>0.037</v>
      </c>
      <c r="AD2" s="7" t="n">
        <v>2.0546</v>
      </c>
      <c r="AE2" s="7" t="n">
        <v>5.7</v>
      </c>
      <c r="AF2" s="7" t="n">
        <v>0.25</v>
      </c>
      <c r="AG2" s="7" t="n">
        <v>0.2689</v>
      </c>
      <c r="AH2" s="7" t="n">
        <v>0.0549</v>
      </c>
      <c r="AI2" s="7" t="n">
        <v>1.4763</v>
      </c>
      <c r="AJ2" s="7" t="n">
        <v>4.09</v>
      </c>
      <c r="AK2" s="7" t="n">
        <v>0</v>
      </c>
      <c r="AL2" s="7" t="n">
        <v>0.008200000000000001</v>
      </c>
      <c r="AM2" s="7" t="n">
        <v>0.1538</v>
      </c>
      <c r="AN2" s="7" t="n">
        <v>0.1261</v>
      </c>
      <c r="AO2" s="7" t="n">
        <v>0.35</v>
      </c>
      <c r="AP2" s="7" t="n">
        <v>0.25</v>
      </c>
      <c r="AQ2" s="7" t="n">
        <v>0.0359</v>
      </c>
      <c r="AR2" s="7" t="n">
        <v>0.2228</v>
      </c>
      <c r="AS2" s="7" t="n">
        <v>0.7999000000000001</v>
      </c>
      <c r="AT2" s="7" t="n">
        <v>2.22</v>
      </c>
      <c r="AU2" s="7" t="n">
        <v>0.5</v>
      </c>
      <c r="AV2" s="7" t="n">
        <v>0.9167999999999999</v>
      </c>
      <c r="AW2" s="7" t="n">
        <v>0.3447</v>
      </c>
      <c r="AX2" s="7" t="n">
        <v>31.6021</v>
      </c>
      <c r="AY2" s="7" t="n">
        <v>87.64</v>
      </c>
      <c r="AZ2" s="7" t="n">
        <v>0</v>
      </c>
      <c r="BA2" s="7" t="n">
        <v>0</v>
      </c>
      <c r="BB2" s="7" t="n">
        <v>0.0759</v>
      </c>
      <c r="BC2" s="7" t="n">
        <v>0</v>
      </c>
      <c r="BD2" s="7" t="n">
        <v>0</v>
      </c>
    </row>
    <row r="3" ht="34" customHeight="1">
      <c r="A3" s="7" t="n">
        <v>1</v>
      </c>
      <c r="B3" s="7" t="n">
        <v>2</v>
      </c>
      <c r="C3" s="7" t="n">
        <v>6</v>
      </c>
      <c r="D3" s="7" t="n">
        <v>4</v>
      </c>
      <c r="E3" s="7" t="inlineStr">
        <is>
          <t>{"scena_generale": {"contesto": "Officina industriale o impianto di produzione metalmeccanica con presenza di macchinari pesanti e aree di stoccaggio.", "finestra_temporale": "2.0 - 6.0 secondi"}, "elementi_rilevati": {"persone": [{"ruolo": "Operatore accovacciato", "posizione": "Base della pressa verde", "attivita": "Manutenzione o regolazione della macchina"}, {"ruolo": "Operatore in piedi", "posizione": "Accanto alla pressa verde", "attivita": "Monitoraggio o assistenza"}, {"ruolo": "Operatore in primo piano", "posizione": "Spalle alla telecamera, vicino al tavolo", "attivita": "In piedi, statico"}, {"ruolo": "Operatore in rosso", "posizione": "Sfondo, cammina verso l'alto", "attivita": "Spostamento"}, {"ruolo": "Operatore a destra", "posizione": "Vicino alla postazione di lavoro destra", "attivita": "Statico/operativo"}, {"ruolo": "Nuovo operatore", "posizione": "In basso a sinistra, entra nell'inquadratura", "attivita": "In movimento, indossa casco giallo"}], "macchinari": "Grande pressa industriale di colore verde sul lato sinistro.", "oggetti": "Contenitori metallici di stoccaggio, pallet di legno e metallo, tavoli da lavoro, secchi e materiali sparsi sul pavimento."}, "condizioni_ambientali_e_visibilita": {"illuminazione": "Artificiale, tipica da interno industriale.", "visibilita": "Inquadratura dall'alto (CCTV). Alcune aree sono parzialmente occluse dai macchinari e dalle strutture dei container.", "ordine_pulizia": "Presenza di ostacoli e materiali a terra che riducono lo spazio di manovra sicuro."}, "analisi_sicurezza": {"dpi_osservati": "Caschi protettivi (bianchi e uno giallo visibile in basso a sinistra). Non è possibile verificare con certezza calzature di sicurezza o protezioni acustiche.", "ragionamento_prudenziale": "Un operatore lavora accovacciato direttamente sotto/accanto alla zona di azione della pressa verde. Un secondo operatore supervisiona a breve distanza.", "sviluppi_rischiosi_plausibili": ["Rischio di schiacciamento o cesoiamento se la pressa viene attivata accidentalmente mentre l'operatore è accovacciato alla base.", "Rischio di inciampo e caduta dovuto alla presenza di cavi, secchi e materiali non stoccati ordinatamente attorno alla zona di lavoro della pressa."], "fattori_contribuenti": "Prossimità fisica immediata alle parti mobili del macchinario e layout dell'area di lavoro parzialmente congestionato."}}</t>
        </is>
      </c>
      <c r="F3" s="7" t="n">
        <v>70</v>
      </c>
      <c r="G3" s="7" t="inlineStr">
        <is>
          <t>Il punteggio di 70 riflette un rischio elevato dovuto alla presenza di un operatore accovacciato direttamente alla base di una pressa industriale pesante per attività di manutenzione. Sebbene sia presente un supervisore e vengano indossati i caschi, la prossimità immediata alle parti mobili della macchina, unita al disordine dell'area di lavoro (ostacoli e materiali a terra che aumentano il rischio di inciampo), configura una situazione di potenziale pericolo grave (schiacciamento o cesoiamento) in caso di attivazione accidentale o movimenti falsati.</t>
        </is>
      </c>
      <c r="H3" s="7" t="n">
        <v>68.5</v>
      </c>
      <c r="I3" s="8" t="inlineStr">
        <is>
          <t>arancione</t>
        </is>
      </c>
      <c r="J3" s="7" t="inlineStr">
        <is>
          <t>{"scene_state": "Interno di un'officina industriale attiva con diversi operatori e attrezzature.", "environmental_conditions": ["Illuminazione artificiale interna", "Pavimentazione industriale in cemento"], "people": ["Operatore con camicia azzurra e casco bianco vicino alla pressa", "Operatore accovacciato alla base della pressa", "Operatore con camicia azzurra di spalle in basso al centro", "Operatore con maglia rossa che cammina verso lo sfondo", "Operatore parzialmente visibile in basso a sinistra con casco giallo", "Operatore sul lato destro vicino a un tavolo da lavoro"], "objects": ["Contenitori metallici industriali", "Pallet e pedane in legno/metallo", "Secchio scuro vicino alla pressa", "Materiali imballati in sacchi"], "machines": ["Grande pressa industriale di colore verde sul lato sinistro"], "observable_actions": ["L'operatore in rosso cammina allontanandosi", "L'operatore accovacciato lavora vicino alla base della pressa", "Gli altri operatori sono in piedi o in transito nell'area di lavoro"], "visible_ppe": ["Casco di protezione bianco", "Casco di protezione giallo", "Calzature da lavoro"], "notes_visibility_limitations": "Inquadratura dall'alto con risoluzione medio-bassa; alcuni dettagli dei DPI e dei volti non sono chiaramente definibili."}</t>
        </is>
      </c>
      <c r="K3" s="7" t="inlineStr">
        <is>
          <t>{"unsafe_behaviors": ["Operatore accovacciato alla base della pressa senza barriere di segregazione visibili"], "vulnerable_elements": ["Operatore accovacciato alla base della pressa", "Operatore con camicia azzurra vicino alla pressa"], "risk_cues": {"S1_people_vehicle_interference": 0.0, "S2_visibility_attention_reduction": 0.5, "S3_non_compliant_behavior": 0.25, "S4_vehicle_infrastructure_interference": 0.0, "S5_storage_structural_instability": 0.0, "S6_access_to_moving_mechanical_parts": 0.5, "S7_manual_handling_heavy_unstable_loads": 0.0}, "cue_confidence": 0.7, "diagnostic_notes": "L'analisi evidenzia un rischio moderato legato all'operatore accovacciato alla base della pressa industriale (S6), che potrebbe essere esposto a organi meccanici o a una riduzione della visibilità/attenzione spaziale a causa della postura (S2). Non si rileva la presenza di mezzi di movimentazione (S1, S4) né di movimentazione manuale di carichi pesanti (S7) nella finestra temporale indicata."}</t>
        </is>
      </c>
      <c r="L3" s="7" t="inlineStr">
        <is>
          <t>{"causal_chain_plausible": true, "causal_chain_text": "L'operatore lavora accovacciato alla base della pressa senza barriere di segregazione. La postura riduce la sua visibilità e l'attenzione spaziale, mentre la vicinanza alla macchina espone a contatti accidentali con organi in movimento o avviamenti inattesi.", "near_miss_or_incident_scenario": "Contatto accidentale o schiacciamento degli arti dell'operatore accovacciato a causa dell'attivazione involontaria della pressa o del movimento di parti meccaniche non protette.", "contributing_factors": ["Assenza di barriere fisiche o segregazione visibile attorno alla pressa durante l'intervento.", "Postura accovacciata dell'operatore che ne limita la visibilità e la reattività.", "Presenza di altri operatori nelle vicinanze che potrebbero attivare accidentalmente i comandi della macchina."]}</t>
        </is>
      </c>
      <c r="M3" s="7" t="n">
        <v>55</v>
      </c>
      <c r="N3" s="7" t="inlineStr">
        <is>
          <t>Il punteggio riflette un rischio significativo dovuto all'operatore accovacciato alla base della pressa senza barriere di segregazione visibili, esponendolo a potenziali avviamenti accidentali o contatti con parti in movimento. La postura ridotta limita inoltre la sua visibilità e reattività in caso di emergenza.</t>
        </is>
      </c>
      <c r="O3" s="7" t="n">
        <v>53.5</v>
      </c>
      <c r="P3" s="8" t="inlineStr">
        <is>
          <t>arancione</t>
        </is>
      </c>
      <c r="Q3" s="7" t="n">
        <v>36.23</v>
      </c>
      <c r="R3" s="7" t="n">
        <v>36.2</v>
      </c>
      <c r="S3" s="9" t="inlineStr">
        <is>
          <t>giallo</t>
        </is>
      </c>
      <c r="T3" s="7" t="n">
        <v>0.7</v>
      </c>
      <c r="U3" s="7" t="inlineStr">
        <is>
          <t>L'analisi evidenzia un rischio moderato legato all'operatore accovacciato alla base della pressa industriale (S6), che potrebbe essere esposto a organi meccanici o a una riduzione della visibilità/attenzione spaziale a causa della postura (S2). Non si rileva la presenza di mezzi di movimentazione (S1, S4) né di movimentazione manuale di carichi pesanti (S7) nella finestra temporale indicata.</t>
        </is>
      </c>
      <c r="V3" s="7" t="n">
        <v>0</v>
      </c>
      <c r="W3" s="7" t="n">
        <v>0</v>
      </c>
      <c r="X3" s="7" t="n">
        <v>0.1109</v>
      </c>
      <c r="Y3" s="7" t="n">
        <v>0</v>
      </c>
      <c r="Z3" s="7" t="n">
        <v>0</v>
      </c>
      <c r="AA3" s="7" t="n">
        <v>0.5</v>
      </c>
      <c r="AB3" s="7" t="n">
        <v>0.8176</v>
      </c>
      <c r="AC3" s="7" t="n">
        <v>0.037</v>
      </c>
      <c r="AD3" s="7" t="n">
        <v>3.0251</v>
      </c>
      <c r="AE3" s="7" t="n">
        <v>8.35</v>
      </c>
      <c r="AF3" s="7" t="n">
        <v>0.25</v>
      </c>
      <c r="AG3" s="7" t="n">
        <v>0.2689</v>
      </c>
      <c r="AH3" s="7" t="n">
        <v>0.0549</v>
      </c>
      <c r="AI3" s="7" t="n">
        <v>1.4763</v>
      </c>
      <c r="AJ3" s="7" t="n">
        <v>4.07</v>
      </c>
      <c r="AK3" s="7" t="n">
        <v>0</v>
      </c>
      <c r="AL3" s="7" t="n">
        <v>0.008200000000000001</v>
      </c>
      <c r="AM3" s="7" t="n">
        <v>0.1538</v>
      </c>
      <c r="AN3" s="7" t="n">
        <v>0.1261</v>
      </c>
      <c r="AO3" s="7" t="n">
        <v>0.35</v>
      </c>
      <c r="AP3" s="7" t="n">
        <v>0</v>
      </c>
      <c r="AQ3" s="7" t="n">
        <v>0</v>
      </c>
      <c r="AR3" s="7" t="n">
        <v>0.2228</v>
      </c>
      <c r="AS3" s="7" t="n">
        <v>0</v>
      </c>
      <c r="AT3" s="7" t="n">
        <v>0</v>
      </c>
      <c r="AU3" s="7" t="n">
        <v>0.5</v>
      </c>
      <c r="AV3" s="7" t="n">
        <v>0.9167999999999999</v>
      </c>
      <c r="AW3" s="7" t="n">
        <v>0.3447</v>
      </c>
      <c r="AX3" s="7" t="n">
        <v>31.6021</v>
      </c>
      <c r="AY3" s="7" t="n">
        <v>87.23</v>
      </c>
      <c r="AZ3" s="7" t="n">
        <v>0</v>
      </c>
      <c r="BA3" s="7" t="n">
        <v>0</v>
      </c>
      <c r="BB3" s="7" t="n">
        <v>0.0759</v>
      </c>
      <c r="BC3" s="7" t="n">
        <v>0</v>
      </c>
      <c r="BD3" s="7" t="n">
        <v>0</v>
      </c>
    </row>
    <row r="4" ht="34" customHeight="1">
      <c r="A4" s="7" t="n">
        <v>2</v>
      </c>
      <c r="B4" s="7" t="n">
        <v>4</v>
      </c>
      <c r="C4" s="7" t="n">
        <v>8</v>
      </c>
      <c r="D4" s="7" t="n">
        <v>4</v>
      </c>
      <c r="E4" s="7" t="inlineStr">
        <is>
          <t>{"analisi_scena": {"contesto": "Officina metalmeccanica con macchinari pesanti e aree di stoccaggio materiali.", "finestra_temporale": "4.0 - 8.0 secondi", "elementi_visibili": {"persone": "Almeno cinque operatori presenti nell'area di lavoro, impegnati in diverse mansioni.", "macchinari": "Grande pressa industriale verde sul lato sinistro.", "oggetti": "Tavoli da lavoro in metallo, contenitori industriali, casse in legno, pallet con materiali."}, "azioni_e_dinamiche": {"attivita": "Un operatore è chinato vicino alla pressa, altri sono in piedi o in movimento nell'area circostante.", "condizioni_ambientali": "Illuminazione interna sufficiente, pavimentazione industriale con presenza di ostacoli e attrezzature."}, "sicurezza_e_dpi": {"dpi_osservati": "Caschi protettivi (gialli e bianchi) visibili su alcuni operatori.", "limiti_visibilita": "Risoluzione video media e angolazione dall'alto che limitano la verifica di altri DPI (es. scarpe antinfortunistiche, guanti)."}, "analisi_rischio": {"fattori_contribuenti": "Presenza di molteplici oggetti e attrezzature a terra che riducono lo spazio di manovra.", "sviluppi_rischiosi": "Rischio di inciampo o scivolamento dovuto al disordine; potenziale contatto accidentale con parti in movimento della pressa se non adeguatamente protetta."}}}</t>
        </is>
      </c>
      <c r="F4" s="7" t="n">
        <v>50</v>
      </c>
      <c r="G4" s="7" t="inlineStr">
        <is>
          <t>Il punteggio di 50 indica un rischio moderato. La presenza di molteplici ostacoli e attrezzature sulla pavimentazione aumenta il rischio di scivolamento o inciampo per i cinque operatori nell'area. Inoltre, la vicinanza di un lavoratore alla pressa industriale, combinata con l'impossibilità di verificare la presenza di barriere di sicurezza e la totalità dei DPI (come scarpe antinfortunistiche e guanti), rappresenta un potenziale fattore di pericolo che richiede attenzione.</t>
        </is>
      </c>
      <c r="H4" s="7" t="n">
        <v>57.4</v>
      </c>
      <c r="I4" s="8" t="inlineStr">
        <is>
          <t>arancione</t>
        </is>
      </c>
      <c r="J4" s="7" t="inlineStr">
        <is>
          <t>{"scene_state": "Area di lavoro industriale attiva con diversi operatori e attrezzature disposte sul pavimento.", "environmental_conditions": ["Illuminazione interna artificiale", "Pavimentazione industriale in cemento"], "people": ["Operatore con camicia azzurra e pantaloni scuri che si muove vicino a un tavolo metallico", "Operatore accovacciato vicino alla base del macchinario verde", "Operatore in piedi con casco bianco e camicia azzurra vicino al macchinario verde", "Operatore parzialmente visibile in basso a sinistra con casco giallo", "Persona sullo sfondo in alto a destra con maglia rossa"], "objects": ["Contenitori metallici e casse in legno", "Pallet con materiale metallico", "Secchio scuro vicino alla macchina", "Tavolo da lavoro in metallo"], "machines": ["Grande pressa industriale di colore verde sul lato sinistro"], "observable_actions": ["Un operatore si allontana dal tavolo metallico camminando verso il basso", "Un operatore lavora accovacciato vicino alla pressa", "Altri operatori supervisionano o stazionano nell'area"], "visible_ppe": ["Caschi di protezione (bianco, giallo)", "Calzature da lavoro"], "notes_visibility_limitations": "Inquadratura dall'alto con angolazione fissa; alcune aree sono parzialmente sfocate o parzialmente fuori campo."}</t>
        </is>
      </c>
      <c r="K4" s="7" t="inlineStr">
        <is>
          <t>{"unsafe_behaviors": ["Operatore accovacciato alla base della pressa industriale senza barriere di segregazione visibili", "Presenza di personale nell'area operativa senza chiara evidenza di tutti i DPI protettivi necessari (es. guanti o protezione facciale per l'operatore vicino alla pressa)"], "vulnerable_elements": ["Operatore accovacciato vicino alla base della pressa verde", "Operatore in piedi vicino al macchinario verde"], "risk_cues": {"S1_people_vehicle_interference": 0.0, "S2_visibility_attention_reduction": 0.5, "S3_non_compliant_behavior": 0.25, "S4_vehicle_infrastructure_interference": 0.0, "S5_storage_structural_instability": 0.25, "S6_access_to_moving_mechanical_parts": 0.5, "S7_manual_handling_heavy_unstable_loads": 0.0}, "cue_confidence": 0.8, "diagnostic_notes": "L'analisi evidenzia un rischio moderato (0.5) per S6 e S2 dovuto all'operatore accovacciato alla base della pressa industriale verde; la postura riduce il suo campo visivo e lo espone a potenziali organi in movimento della macchina. Non si rileva la presenza di mezzi di movimentazione (S1, S4) o di attività di movimentazione manuale di carichi pesanti (S7). I materiali stoccati (pallet e casse) sono presenti ma non mostrano segni evidenti di instabilità (S5)."}</t>
        </is>
      </c>
      <c r="L4" s="7" t="inlineStr">
        <is>
          <t>{"causal_chain_plausible": true, "causal_chain_text": "L'operatore lavora accovacciato alla base della pressa senza barriere di segregazione. La postura riduce la sua visibilità e reattività. Un movimento imprevisto della macchina o un errore di coordinazione con l'operatore in piedi può causare un contatto con organi in movimento.", "near_miss_or_incident_scenario": "Schiacciamento o impatto degli arti dell'operatore accovacciato con le parti meccaniche della pressa a causa di un avvio accidentale o movimento incontrollato.", "contributing_factors": ["Assenza di barriere di segregazione visibili attorno alla pressa", "Postura accovacciata che limita campo visivo e movimenti", "Mancanza di evidenza di DPI specifici per le mani o il viso", "Prossimità ravvicinata a una macchina industriale attiva"]}</t>
        </is>
      </c>
      <c r="M4" s="7" t="n">
        <v>55</v>
      </c>
      <c r="N4" s="7" t="inlineStr">
        <is>
          <t>Il punteggio riflette un rischio significativo dovuto alla presenza di un operatore accovacciato direttamente alla base della pressa industriale senza barriere di segregazione visibili. Questa postura riduce la visibilità e i tempi di reazione, esponendo l'operatore a gravi pericoli di schiacciamento in caso di attivazione accidentale del macchinario.</t>
        </is>
      </c>
      <c r="O4" s="7" t="n">
        <v>54.4</v>
      </c>
      <c r="P4" s="8" t="inlineStr">
        <is>
          <t>arancione</t>
        </is>
      </c>
      <c r="Q4" s="7" t="n">
        <v>37.03</v>
      </c>
      <c r="R4" s="7" t="n">
        <v>36.9</v>
      </c>
      <c r="S4" s="9" t="inlineStr">
        <is>
          <t>giallo</t>
        </is>
      </c>
      <c r="T4" s="7" t="n">
        <v>0.8</v>
      </c>
      <c r="U4" s="7" t="inlineStr">
        <is>
          <t>L'analisi evidenzia un rischio moderato (0.5) per S6 e S2 dovuto all'operatore accovacciato alla base della pressa industriale verde; la postura riduce il suo campo visivo e lo espone a potenziali organi in movimento della macchina. Non si rileva la presenza di mezzi di movimentazione (S1, S4) o di attività di movimentazione manuale di carichi pesanti (S7). I materiali stoccati (pallet e casse) sono presenti ma non mostrano segni evidenti di instabilità (S5).</t>
        </is>
      </c>
      <c r="V4" s="7" t="n">
        <v>0</v>
      </c>
      <c r="W4" s="7" t="n">
        <v>0</v>
      </c>
      <c r="X4" s="7" t="n">
        <v>0.1109</v>
      </c>
      <c r="Y4" s="7" t="n">
        <v>0</v>
      </c>
      <c r="Z4" s="7" t="n">
        <v>0</v>
      </c>
      <c r="AA4" s="7" t="n">
        <v>0.5</v>
      </c>
      <c r="AB4" s="7" t="n">
        <v>0.8176</v>
      </c>
      <c r="AC4" s="7" t="n">
        <v>0.037</v>
      </c>
      <c r="AD4" s="7" t="n">
        <v>3.0251</v>
      </c>
      <c r="AE4" s="7" t="n">
        <v>8.17</v>
      </c>
      <c r="AF4" s="7" t="n">
        <v>0.25</v>
      </c>
      <c r="AG4" s="7" t="n">
        <v>0.2689</v>
      </c>
      <c r="AH4" s="7" t="n">
        <v>0.0549</v>
      </c>
      <c r="AI4" s="7" t="n">
        <v>1.4763</v>
      </c>
      <c r="AJ4" s="7" t="n">
        <v>3.99</v>
      </c>
      <c r="AK4" s="7" t="n">
        <v>0</v>
      </c>
      <c r="AL4" s="7" t="n">
        <v>0.008200000000000001</v>
      </c>
      <c r="AM4" s="7" t="n">
        <v>0.1538</v>
      </c>
      <c r="AN4" s="7" t="n">
        <v>0.1261</v>
      </c>
      <c r="AO4" s="7" t="n">
        <v>0.34</v>
      </c>
      <c r="AP4" s="7" t="n">
        <v>0.25</v>
      </c>
      <c r="AQ4" s="7" t="n">
        <v>0.0359</v>
      </c>
      <c r="AR4" s="7" t="n">
        <v>0.2228</v>
      </c>
      <c r="AS4" s="7" t="n">
        <v>0.7999000000000001</v>
      </c>
      <c r="AT4" s="7" t="n">
        <v>2.16</v>
      </c>
      <c r="AU4" s="7" t="n">
        <v>0.5</v>
      </c>
      <c r="AV4" s="7" t="n">
        <v>0.9167999999999999</v>
      </c>
      <c r="AW4" s="7" t="n">
        <v>0.3447</v>
      </c>
      <c r="AX4" s="7" t="n">
        <v>31.6021</v>
      </c>
      <c r="AY4" s="7" t="n">
        <v>85.34</v>
      </c>
      <c r="AZ4" s="7" t="n">
        <v>0</v>
      </c>
      <c r="BA4" s="7" t="n">
        <v>0</v>
      </c>
      <c r="BB4" s="7" t="n">
        <v>0.0759</v>
      </c>
      <c r="BC4" s="7" t="n">
        <v>0</v>
      </c>
      <c r="BD4" s="7" t="n">
        <v>0</v>
      </c>
    </row>
    <row r="5" ht="34" customHeight="1">
      <c r="A5" s="7" t="n">
        <v>3</v>
      </c>
      <c r="B5" s="7" t="n">
        <v>6</v>
      </c>
      <c r="C5" s="7" t="n">
        <v>10</v>
      </c>
      <c r="D5" s="7" t="n">
        <v>4</v>
      </c>
      <c r="E5" s="7" t="inlineStr">
        <is>
          <t>{"contesto_generale": {"ambiente": "Officina meccanica industriale con macchinari pesanti e aree di stoccaggio materiali.", "illuminazione": "Luce artificiale interna, visibilità generale discreta.", "ordine_pulizia": "Presenza di attrezzature, pallet e contenitori metallici che limitano parzialmente le vie di transito."}, "personale_e_dpi": {"operatori_rilevati": 4, "dettaglio_operatori": [{"id": 1, "posizione": "In piedi accanto alla pressa verde", "dpi_visibili": ["Casco protettivo bianco"], "abbigliamento": "Camicia azzurra, pantaloni scuri"}, {"id": 2, "posizione": "Accovacciato alla base della pressa", "dpi_visibili": ["Casco protettivo bianco"], "abbigliamento": "Camicia chiara"}, {"id": 3, "posizione": "In transito nell'area in basso a sinistra", "dpi_visibili": ["Non chiaramente identificabili"], "abbigliamento": "Camicia chiara, pantaloni scuri"}, {"id": 4, "posizione": "Stazionario sul lato destro della scena", "dpi_visibili": ["Non identificabili"]}], "note_dpi": "Non si rileva l'uso di gilet ad alta visibilità."}, "macchinari_e_oggetti": {"macchinari_principali": ["Grande pressa verticale industriale di colore verde"], "oggetti_rilevanti": ["Contenitori metallici per pezzi lavorati", "Pallet in legno", "Tavolo di supporto in metallo", "Secchio nei pressi della pressa"]}, "analisi_rischi": {"dinamica_osservata": "Un operatore esegue attività manuali accovacciato vicino alla zona di operazione della pressa, mentre un secondo operatore presidia l'area adiacente.", "fattori_contribuenti": "Interazione ravvicinata con macchinario pesante potenzialmente attivo; assenza di barriere di segregazione visibili attorno alla zona di intervento.", "sviluppi_rischiosi_plausibili": "Rischio di schiacciamento degli arti per l'operatore accovacciato in caso di avviamento intempestivo del macchinario o mancata coordinazione tra i lavoratori.", "limiti_osservativi": "La prospettiva della telecamera non consente di verificare l'effettivo isolamento energetico (LOTO) della pressa o l'uso di calzature antinfortunistiche."}}</t>
        </is>
      </c>
      <c r="F5" s="7" t="n">
        <v>80</v>
      </c>
      <c r="G5" s="7" t="inlineStr">
        <is>
          <t>Il punteggio di 80 riflette un rischio elevato dovuto alla presenza di un operatore accovacciato direttamente alla base di una pressa verticale pesante senza barriere di segregazione visibili. Sebbene gli operatori principali indossino il casco, l'interazione ravvicinata con la zona di pericolo del macchinario, l'assenza di gilet ad alta visibilità in un'area di transito e l'impossibilità di verificare l'applicazione delle procedure di isolamento energetico (LOTO) espongono il lavoratore a un grave rischio di schiacciamento in caso di attivazione accidentale o mancata coordinazione.</t>
        </is>
      </c>
      <c r="H5" s="7" t="n">
        <v>78.45999999999999</v>
      </c>
      <c r="I5" s="10" t="inlineStr">
        <is>
          <t>rosso</t>
        </is>
      </c>
      <c r="J5" s="7" t="inlineStr">
        <is>
          <t>{"scene_state": "Area di lavoro industriale attiva con diversi operatori in movimento.", "environmental_conditions": ["Illuminazione interna artificiale", "Pavimentazione industriale in cemento"], "people": ["Operatore in piedi vicino alla macchina verde con camicia azzurra e pantaloni scuri", "Operatore accovacciato alla base della macchina verde", "Operatore in movimento in basso a sinistra con camicia azzurra", "Operatore parzialmente visibile sul lato destro"], "objects": ["Contenitori metallici e casse in legno", "Pallet con materiali", "Tavolo metallico di servizio", "Secchio scuro vicino alla pressa"], "machines": ["Grande pressa industriale di colore verde sul lato sinistro"], "observable_actions": ["Un operatore cammina verso l'angolo in basso a sinistra", "Un operatore lavora in piedi vicino alla pressa", "Un operatore è accovacciato vicino alla base della pressa"], "visible_ppe": ["Elmetti di protezione bianchi visibili su alcuni operatori"], "notes_visibility_limitations": "Inquadratura dall'alto con risoluzione da telecamera di sicurezza; alcune aree sono parzialmente occluse dai macchinari."}</t>
        </is>
      </c>
      <c r="K5" s="7" t="inlineStr">
        <is>
          <t>{"unsafe_behaviors": ["Lavoro a distanza ravvicinata alla base della pressa senza evidenti barriere fisiche di segregazione", "Postura accovacciata in prossimità di organi meccanici potenzialmente attivi"], "vulnerable_elements": ["Operatore accovacciato alla base della pressa verde", "Operatore in piedi vicino alla pressa"], "risk_cues": {"S1_people_vehicle_interference": 0.0, "S2_visibility_attention_reduction": 0.5, "S3_non_compliant_behavior": 0.25, "S4_vehicle_infrastructure_interference": 0.0, "S5_storage_structural_instability": 0.25, "S6_access_to_moving_mechanical_parts": 0.75, "S7_manual_handling_heavy_unstable_loads": 0.0}, "cue_confidence": 0.8, "diagnostic_notes": "Forte attenzione su S6 per la presenza di operatori a stretto contatto con la pressa verde, uno dei quali accovacciato alla base. La postura di quest'ultimo riduce l'attenzione e la visibilità circostante (S2). Non si rilevano mezzi di movimentazione (S1, S4) o movimentazione manuale di carichi (S7) in questa finestra temporale."}</t>
        </is>
      </c>
      <c r="L5" s="7" t="inlineStr">
        <is>
          <t>{"causal_chain_plausible": true, "causal_chain_text": "L'operatore accovacciato lavora alla base della pressa senza barriere di segregazione. L'attivazione accidentale della macchina o un movimento errato può causare il contatto diretto con gli organi meccanici in movimento.", "near_miss_or_incident_scenario": "Schiacciamento o intrappolamento degli arti dell'operatore accovacciato a causa del movimento della pressa verde durante le attività di manutenzione o servizio non protette.", "contributing_factors": ["Assenza di barriere fisiche o sistemi di segregazione attorno alla pressa", "Postura accovacciata che limita la visibilità e la reattività dell'operatore", "Lavoro a distanza ravvicinata da organi meccanici potenzialmente attivi"]}</t>
        </is>
      </c>
      <c r="M5" s="7" t="n">
        <v>68</v>
      </c>
      <c r="N5" s="7" t="inlineStr">
        <is>
          <t>Il punteggio riflette un rischio significativo dovuto alla presenza di un operatore accovacciato direttamente alla base della pressa industriale senza barriere protettive. Questa condizione espone il lavoratore a un grave pericolo di schiacciamento o intrappolamento in caso di attivazione accidentale dei componenti meccanici.</t>
        </is>
      </c>
      <c r="O5" s="7" t="n">
        <v>65.81</v>
      </c>
      <c r="P5" s="8" t="inlineStr">
        <is>
          <t>arancione</t>
        </is>
      </c>
      <c r="Q5" s="7" t="n">
        <v>39.74</v>
      </c>
      <c r="R5" s="7" t="n">
        <v>39.28</v>
      </c>
      <c r="S5" s="9" t="inlineStr">
        <is>
          <t>giallo</t>
        </is>
      </c>
      <c r="T5" s="7" t="n">
        <v>0.8</v>
      </c>
      <c r="U5" s="7" t="inlineStr">
        <is>
          <t>Forte attenzione su S6 per la presenza di operatori a stretto contatto con la pressa verde, uno dei quali accovacciato alla base. La postura di quest'ultimo riduce l'attenzione e la visibilità circostante (S2). Non si rilevano mezzi di movimentazione (S1, S4) o movimentazione manuale di carichi (S7) in questa finestra temporale.</t>
        </is>
      </c>
      <c r="V5" s="7" t="n">
        <v>0</v>
      </c>
      <c r="W5" s="7" t="n">
        <v>0</v>
      </c>
      <c r="X5" s="7" t="n">
        <v>0.1109</v>
      </c>
      <c r="Y5" s="7" t="n">
        <v>0</v>
      </c>
      <c r="Z5" s="7" t="n">
        <v>0</v>
      </c>
      <c r="AA5" s="7" t="n">
        <v>0.5</v>
      </c>
      <c r="AB5" s="7" t="n">
        <v>0.8176</v>
      </c>
      <c r="AC5" s="7" t="n">
        <v>0.037</v>
      </c>
      <c r="AD5" s="7" t="n">
        <v>3.0251</v>
      </c>
      <c r="AE5" s="7" t="n">
        <v>7.61</v>
      </c>
      <c r="AF5" s="7" t="n">
        <v>0.25</v>
      </c>
      <c r="AG5" s="7" t="n">
        <v>0.2689</v>
      </c>
      <c r="AH5" s="7" t="n">
        <v>0.0549</v>
      </c>
      <c r="AI5" s="7" t="n">
        <v>1.4763</v>
      </c>
      <c r="AJ5" s="7" t="n">
        <v>3.71</v>
      </c>
      <c r="AK5" s="7" t="n">
        <v>0</v>
      </c>
      <c r="AL5" s="7" t="n">
        <v>0.008200000000000001</v>
      </c>
      <c r="AM5" s="7" t="n">
        <v>0.1538</v>
      </c>
      <c r="AN5" s="7" t="n">
        <v>0.1261</v>
      </c>
      <c r="AO5" s="7" t="n">
        <v>0.32</v>
      </c>
      <c r="AP5" s="7" t="n">
        <v>0.25</v>
      </c>
      <c r="AQ5" s="7" t="n">
        <v>0.0359</v>
      </c>
      <c r="AR5" s="7" t="n">
        <v>0.2228</v>
      </c>
      <c r="AS5" s="7" t="n">
        <v>0.7999000000000001</v>
      </c>
      <c r="AT5" s="7" t="n">
        <v>2.01</v>
      </c>
      <c r="AU5" s="7" t="n">
        <v>0.75</v>
      </c>
      <c r="AV5" s="7" t="n">
        <v>0.9955000000000001</v>
      </c>
      <c r="AW5" s="7" t="n">
        <v>0.3447</v>
      </c>
      <c r="AX5" s="7" t="n">
        <v>34.3149</v>
      </c>
      <c r="AY5" s="7" t="n">
        <v>86.34999999999999</v>
      </c>
      <c r="AZ5" s="7" t="n">
        <v>0</v>
      </c>
      <c r="BA5" s="7" t="n">
        <v>0</v>
      </c>
      <c r="BB5" s="7" t="n">
        <v>0.0759</v>
      </c>
      <c r="BC5" s="7" t="n">
        <v>0</v>
      </c>
      <c r="BD5" s="7" t="n">
        <v>0</v>
      </c>
    </row>
    <row r="6" ht="34" customHeight="1">
      <c r="A6" s="7" t="n">
        <v>4</v>
      </c>
      <c r="B6" s="7" t="n">
        <v>8</v>
      </c>
      <c r="C6" s="7" t="n">
        <v>12</v>
      </c>
      <c r="D6" s="7" t="n">
        <v>4</v>
      </c>
      <c r="E6" s="7" t="inlineStr">
        <is>
          <t>{"scena_e_contesto": {"descrizione_generale": "Area di lavoro industriale con macchinari pesanti e movimentazione materiali.", "contesto": "Stabilimento di produzione o stampaggio metalli."}, "soggetti_e_dpi": {"persone_presenti": "Almeno quattro operatori identificabili nell'area di lavoro.", "dpi_osservati": "Caschi protettivi (colore bianco e giallo) indossati da alcuni operatori."}, "elementi_fisici": {"macchinari": "Grande pressa industriale di colore verde posizionata sul lato sinistro.", "oggetti_e_attrezzature": "Contenitori metallici per scarti, pallet con semilavorati, carrelli e un tavolo metallico."}, "attivita_e_condizioni": {"azioni_osservabili": "Un operatore è accovacciato vicino alla base della pressa; un secondo operatore è in piedi vicino alla zona di carico; un terzo soggetto transita rapidamente in basso a sinistra.", "condizioni_ambientali": "Illuminazione interna sufficiente, pavimentazione apparentemente asciutta ma occupata da attrezzature."}, "analisi_visiva_e_rischi": {"limiti_visibilita": "Inquadratura dall'alto con risoluzione moderata; presenza di sfocatura da movimento per i soggetti in transito.", "ragionamento_causale_e_rischi": "La posizione accovacciata dell'operatore alla base della pressa espone il lavoratore a rischi di schiacciamento o intrappolamento in caso di attivazione accidentale del macchinario.", "fattori_contribuenti": "Interazione ravvicinata e contemporanea di più operatori attorno alla stessa macchina senza barriere di segregazione visibili."}}</t>
        </is>
      </c>
      <c r="F6" s="7" t="n">
        <v>80</v>
      </c>
      <c r="G6" s="7" t="inlineStr">
        <is>
          <t>Il punteggio di 80 è giustificato dall'elevato rischio di schiacciamento e intrappolamento per l'operatore accovacciato alla base della pressa industriale. L'assenza di barriere di segregazione visibili e la presenza contemporanea di più soggetti nell'area aumentano significativamente la probabilità di un'attivazione accidentale o di un errore umano, configurando una situazione di pericolo grave nonostante l'uso di alcuni DPI di base come i caschi.</t>
        </is>
      </c>
      <c r="H6" s="7" t="n">
        <v>79.38</v>
      </c>
      <c r="I6" s="10" t="inlineStr">
        <is>
          <t>rosso</t>
        </is>
      </c>
      <c r="J6" s="7" t="inlineStr">
        <is>
          <t>{"scene_state": "Area di lavoro industriale attiva con macchinari e materiali disposti sul pavimento.", "environmental_conditions": ["Illuminazione interna artificiale", "Pavimentazione industriale in cemento"], "people": ["Un operatore in piedi vicino alla pressa verde", "Un operatore accovacciato alla base della pressa", "Un operatore parzialmente visibile dietro la pressa", "Un operatore parzialmente visibile sul lato destro"], "objects": ["Tavolo metallico di servizio", "Contenitori metallici per pezzi industriali", "Pallet con materiali", "Secchio di plastica vicino alla pressa"], "machines": ["Grande pressa industriale di colore verde posizionata sul lato sinistro"], "observable_actions": ["L'operatore accovacciato lavora vicino alla base della pressa", "L'operatore in piedi monitora o interagisce con l'area di lavoro della pressa"], "visible_ppe": ["Caschi di protezione (colore bianco e giallo)", "Abbigliamento da lavoro"], "notes_visibility_limitations": "La visuale dall'alto e la distanza limitano la nitidezza dei dettagli sui volti e sui dispositivi di protezione minori."}</t>
        </is>
      </c>
      <c r="K6" s="7" t="inlineStr">
        <is>
          <t>{"unsafe_behaviors": ["Operatore accovacciato alla base della pressa in una zona potenzialmente soggetta a movimenti meccanici senza visibile isolamento delle fonti di energia"], "vulnerable_elements": ["Operatore accovacciato alla base della pressa", "Operatore in piedi vicino all'area di lavoro della pressa"], "risk_cues": {"S1_people_vehicle_interference": 0.0, "S2_visibility_attention_reduction": 0.5, "S4_vehicle_infrastructure_interference": 0.0, "S3_non_compliant_behavior": 0.25, "S5_storage_structural_instability": 0.0, "S6_access_to_moving_mechanical_parts": 0.5, "S7_manual_handling_heavy_unstable_loads": 0.0}, "cue_confidence": 0.7, "diagnostic_notes": "La vicinanza degli operatori alla pressa industriale, in particolare l'operatore accovacciato alla base, evidenzia un potenziale rischio di accesso a organi meccanici (S6) e una riduzione della visibilità/attenzione dovuta alla postura di lavoro (S2). La distanza e l'inquadratura limitano la verifica di DPI specifici (es. guanti, occhiali) e delle procedure di Lockout/Tagout."}</t>
        </is>
      </c>
      <c r="L6" s="7" t="inlineStr">
        <is>
          <t>{"causal_chain_plausible": true, "causal_chain_text": "L'operatore accovacciato lavora alla base della pressa senza isolamento energetico visibile. L'operatore in piedi, interagendo con l'area di lavoro, potrebbe attivare accidentalmente la macchina o non notare il collega, causando un contatto con parti in movimento.", "near_miss_or_incident_scenario": "Schiacciamento o intrappolamento degli arti dell'operatore a terra a causa dell'avvio accidentale o del movimento imprevisto della pressa durante l'intervento.", "contributing_factors": ["Mancanza di evidenza di procedure di Lockout/Tagout (LOTO) per l'isolamento energetico.", "Postura accovacciata dell'operatore che riduce la sua visibilità e reattività.", "Vicinanza di un secondo operatore ai comandi o all'area di lavoro della pressa.", "Limitazioni strutturali della macchina che ostacolano la visibilità reciproca."]}</t>
        </is>
      </c>
      <c r="M6" s="7" t="n">
        <v>68</v>
      </c>
      <c r="N6" s="7" t="inlineStr">
        <is>
          <t>Il punteggio riflette un rischio significativo dovuto alla presenza di un operatore accovacciato alla base della pressa senza evidenza di procedure di isolamento energetico (LOTO). La vicinanza di un secondo operatore ai comandi aumenta il pericolo di un avvio accidentale con conseguenze potenzialmente gravi per l'incolumità del collega.</t>
        </is>
      </c>
      <c r="O6" s="7" t="n">
        <v>67.12</v>
      </c>
      <c r="P6" s="8" t="inlineStr">
        <is>
          <t>arancione</t>
        </is>
      </c>
      <c r="Q6" s="7" t="n">
        <v>36.23</v>
      </c>
      <c r="R6" s="7" t="n">
        <v>37.45</v>
      </c>
      <c r="S6" s="9" t="inlineStr">
        <is>
          <t>giallo</t>
        </is>
      </c>
      <c r="T6" s="7" t="n">
        <v>0.7</v>
      </c>
      <c r="U6" s="7" t="inlineStr">
        <is>
          <t>La vicinanza degli operatori alla pressa industriale, in particolare l'operatore accovacciato alla base, evidenzia un potenziale rischio di accesso a organi meccanici (S6) e una riduzione della visibilità/attenzione dovuta alla postura di lavoro (S2). La distanza e l'inquadratura limitano la verifica di DPI specifici (es. guanti, occhiali) e delle procedure di Lockout/Tagout.</t>
        </is>
      </c>
      <c r="V6" s="7" t="n">
        <v>0</v>
      </c>
      <c r="W6" s="7" t="n">
        <v>0</v>
      </c>
      <c r="X6" s="7" t="n">
        <v>0.1109</v>
      </c>
      <c r="Y6" s="7" t="n">
        <v>0</v>
      </c>
      <c r="Z6" s="7" t="n">
        <v>0</v>
      </c>
      <c r="AA6" s="7" t="n">
        <v>0.5</v>
      </c>
      <c r="AB6" s="7" t="n">
        <v>0.8176</v>
      </c>
      <c r="AC6" s="7" t="n">
        <v>0.037</v>
      </c>
      <c r="AD6" s="7" t="n">
        <v>3.0251</v>
      </c>
      <c r="AE6" s="7" t="n">
        <v>8.35</v>
      </c>
      <c r="AF6" s="7" t="n">
        <v>0.25</v>
      </c>
      <c r="AG6" s="7" t="n">
        <v>0.2689</v>
      </c>
      <c r="AH6" s="7" t="n">
        <v>0.0549</v>
      </c>
      <c r="AI6" s="7" t="n">
        <v>1.4763</v>
      </c>
      <c r="AJ6" s="7" t="n">
        <v>4.07</v>
      </c>
      <c r="AK6" s="7" t="n">
        <v>0</v>
      </c>
      <c r="AL6" s="7" t="n">
        <v>0.008200000000000001</v>
      </c>
      <c r="AM6" s="7" t="n">
        <v>0.1538</v>
      </c>
      <c r="AN6" s="7" t="n">
        <v>0.1261</v>
      </c>
      <c r="AO6" s="7" t="n">
        <v>0.35</v>
      </c>
      <c r="AP6" s="7" t="n">
        <v>0</v>
      </c>
      <c r="AQ6" s="7" t="n">
        <v>0</v>
      </c>
      <c r="AR6" s="7" t="n">
        <v>0.2228</v>
      </c>
      <c r="AS6" s="7" t="n">
        <v>0</v>
      </c>
      <c r="AT6" s="7" t="n">
        <v>0</v>
      </c>
      <c r="AU6" s="7" t="n">
        <v>0.5</v>
      </c>
      <c r="AV6" s="7" t="n">
        <v>0.9167999999999999</v>
      </c>
      <c r="AW6" s="7" t="n">
        <v>0.3447</v>
      </c>
      <c r="AX6" s="7" t="n">
        <v>31.6021</v>
      </c>
      <c r="AY6" s="7" t="n">
        <v>87.23</v>
      </c>
      <c r="AZ6" s="7" t="n">
        <v>0</v>
      </c>
      <c r="BA6" s="7" t="n">
        <v>0</v>
      </c>
      <c r="BB6" s="7" t="n">
        <v>0.0759</v>
      </c>
      <c r="BC6" s="7" t="n">
        <v>0</v>
      </c>
      <c r="BD6" s="7" t="n">
        <v>0</v>
      </c>
    </row>
    <row r="7" ht="34" customHeight="1">
      <c r="A7" s="7" t="n">
        <v>5</v>
      </c>
      <c r="B7" s="7" t="n">
        <v>10</v>
      </c>
      <c r="C7" s="7" t="n">
        <v>14</v>
      </c>
      <c r="D7" s="7" t="n">
        <v>4</v>
      </c>
      <c r="E7" s="7" t="inlineStr">
        <is>
          <t>{"analisi_scena": {"contesto": "Officina metalmeccanica con una grande pressa industriale verde sul lato sinistro, cassoni metallici e materiali di produzione disposti nell'area di lavoro.", "persone_presenti": [{"id": 1, "ruolo_apparente": "Operatore in piedi", "dpi_visibili": ["Casco bianco", "Camicia azzurra"]}, {"id": 2, "ruolo_apparente": "Operatore accovacciato vicino alla base della pressa", "dpi_visibili": ["Casco giallo"]}, {"id": 3, "ruolo_apparente": "Operatore che si alza e si flette verso la zona di lavoro della pressa", "dpi_visibili": ["Casco bianco", "Camicia azzurra"]}], "macchinari_oggetti": ["Grande pressa industriale verde", "Contenitori metallici di stoccaggio", "Carrello metallico mobile", "Pallet con componenti"], "azioni_osservabili": "L'operatore 3 passa da una posizione accovacciata a una posizione eretta, piegandosi successivamente verso l'area operativa della pressa.", "condizioni_ambientali": "Illuminazione interna sufficiente; spazi di transito parzialmente occupati da attrezzature.", "limiti_osservativi": "La risoluzione non permette di verificare con certezza l'uso di scarpe antinfortunistiche, guanti o l'effettivo stato di attivazione dei sistemi di sicurezza della pressa."}, "valutazione_sicurezza": {"dinamiche_rischiose": "L'operatore si flette molto vicino alla zona di stampaggio della pressa, esponendosi a un potenziale rischio di schiacciamento o intrappolamento in caso di attivazione accidentale.", "fattori_contribuenti": "Prossimità fisica immediata alla zona di pericolo del macchinario senza barriere protettive visibili interposte.", "sviluppi_plausibili": "Contatto accidentale con parti in movimento della pressa o scivolamento dovuto alla postura instabile vicino al macchinario."}}</t>
        </is>
      </c>
      <c r="F7" s="7" t="n">
        <v>80</v>
      </c>
      <c r="G7" s="7" t="inlineStr">
        <is>
          <t>Il punteggio di 80 riflette un rischio elevato dovuto alla presenza dell'operatore che si flette direttamente verso l'area di stampaggio della pressa industriale. La prossimità fisica immediata alla zona di pericolo, l'assenza di barriere protettive visibili e la postura instabile espongono il lavoratore a un grave rischio di schiacciamento o intrappolamento in caso di attivazione accidentale del macchinario.</t>
        </is>
      </c>
      <c r="H7" s="7" t="n">
        <v>79.75</v>
      </c>
      <c r="I7" s="10" t="inlineStr">
        <is>
          <t>rosso</t>
        </is>
      </c>
      <c r="J7" s="7" t="inlineStr">
        <is>
          <t>{"scene_state": "Ambiente industriale interno, reparto stampaggio o officina meccanica, con macchinari pesanti, attrezzature e personale in attività.", "environmental_conditions": ["Illuminazione artificiale interna", "Pavimentazione industriale"], "people": ["Un operatore in basso a sinistra che si china vicino alla pressa e poi si rialza", "Un operatore in piedi al centro-sinistra con camicia azzurra", "Un operatore parzialmente visibile dietro quest'ultimo", "Un operatore sul lato destro vicino a un tavolo"], "objects": ["Contenitori metallici", "Pallet e pedane", "Carrello metallico di servizio", "Secchio blu"], "machines": ["Grande pressa industriale di colore verde posizionata sulla sinistra"], "observable_actions": ["L'operatore in basso a sinistra si abbassa per raccogliere o posizionare un elemento vicino alla pressa, per poi rialzarsi.", "Gli altri operatori mantengono le loro posizioni di controllo o lavoro."], "visible_ppe": ["Caschi di protezione (bianco e giallo)", "Calzature di sicurezza"], "notes_visibility_limitations": "Inquadratura dall'alto tipica di una telecamera di sicurezza, con alcune zone d'ombra e dettagli del volto non definibili."}</t>
        </is>
      </c>
      <c r="K7" s="7" t="inlineStr">
        <is>
          <t>{"unsafe_behaviors": ["Operatore si china in prossimità della pressa industriale, esponendosi potenzialmente a zone d'ombra visive e a vicinanza con l'area di lavoro della macchina."], "vulnerable_elements": ["Operatore in basso a sinistra vicino alla pressa"], "risk_cues": {"S1_people_vehicle_interference": 0.0, "S2_visibility_attention_reduction": 0.5, "S3_non_compliant_behavior": 0.25, "S4_vehicle_infrastructure_interference": 0.0, "S5_storage_structural_instability": 0.0, "S6_access_to_moving_mechanical_parts": 0.5, "S7_manual_handling_heavy_unstable_loads": 0.25}, "cue_confidence": 0.75, "diagnostic_notes": "L'analisi evidenzia un potenziale rischio moderato (S2, S6) legato all'operatore che si china vicino alla pressa industriale verde per raccogliere o posizionare un oggetto. Questa postura riduce il campo visivo e aumenta la prossimità a parti potenzialmente pericolose della macchina. Non si rileva la presenza di mezzi di movimentazione (S1, S4) o instabilità di carichi (S5). La movimentazione manuale (S7) è presente ma non è possibile determinarne la gravità o il peso del carico."}</t>
        </is>
      </c>
      <c r="L7" s="7" t="inlineStr">
        <is>
          <t>{"causal_chain_plausible": true, "causal_chain_text": "L'operatore si china in prossimità della pressa verde riducendo la propria visibilità e attenzione spaziale. Un movimento imprevisto della macchina o una perdita di equilibrio dell'operatore possono portare al contatto fisico con parti pericolose.", "near_miss_or_incident_scenario": "Impatto o schiacciamento di parti del corpo dell'operatore contro la struttura o gli organi in movimento della pressa a causa della postura incongrua e della ridotta percezione del rischio.", "contributing_factors": ["Postura chinata che limita il campo visivo e la reattività", "Lavoro in estrema prossimità di una pressa industriale pesante", "Potenziale esposizione a zone d'ombra visive per gli altri operatori"]}</t>
        </is>
      </c>
      <c r="M7" s="7" t="n">
        <v>35</v>
      </c>
      <c r="N7" s="7" t="inlineStr">
        <is>
          <t>Il punteggio riflette un rischio moderato dovuto alla postura chinata dell'operatore in prossimità della pressa industriale, che riduce la visibilità e aumenta il rischio di contatto accidentale. La presenza di DPI di base mitiga parzialmente la gravità di un potenziale incidente.</t>
        </is>
      </c>
      <c r="O7" s="7" t="n">
        <v>47.85</v>
      </c>
      <c r="P7" s="9" t="inlineStr">
        <is>
          <t>giallo</t>
        </is>
      </c>
      <c r="Q7" s="7" t="n">
        <v>36.59</v>
      </c>
      <c r="R7" s="7" t="n">
        <v>37.02</v>
      </c>
      <c r="S7" s="9" t="inlineStr">
        <is>
          <t>giallo</t>
        </is>
      </c>
      <c r="T7" s="7" t="n">
        <v>0.75</v>
      </c>
      <c r="U7" s="7" t="inlineStr">
        <is>
          <t>L'analisi evidenzia un potenziale rischio moderato (S2, S6) legato all'operatore che si china vicino alla pressa industriale verde per raccogliere o posizionare un oggetto. Questa postura riduce il campo visivo e aumenta la prossimità a parti potenzialmente pericolose della macchina. Non si rileva la presenza di mezzi di movimentazione (S1, S4) o instabilità di carichi (S5). La movimentazione manuale (S7) è presente ma non è possibile determinarne la gravità o il peso del carico.</t>
        </is>
      </c>
      <c r="V7" s="7" t="n">
        <v>0</v>
      </c>
      <c r="W7" s="7" t="n">
        <v>0</v>
      </c>
      <c r="X7" s="7" t="n">
        <v>0.1109</v>
      </c>
      <c r="Y7" s="7" t="n">
        <v>0</v>
      </c>
      <c r="Z7" s="7" t="n">
        <v>0</v>
      </c>
      <c r="AA7" s="7" t="n">
        <v>0.5</v>
      </c>
      <c r="AB7" s="7" t="n">
        <v>0.8176</v>
      </c>
      <c r="AC7" s="7" t="n">
        <v>0.037</v>
      </c>
      <c r="AD7" s="7" t="n">
        <v>3.0251</v>
      </c>
      <c r="AE7" s="7" t="n">
        <v>8.27</v>
      </c>
      <c r="AF7" s="7" t="n">
        <v>0.25</v>
      </c>
      <c r="AG7" s="7" t="n">
        <v>0.2689</v>
      </c>
      <c r="AH7" s="7" t="n">
        <v>0.0549</v>
      </c>
      <c r="AI7" s="7" t="n">
        <v>1.4763</v>
      </c>
      <c r="AJ7" s="7" t="n">
        <v>4.03</v>
      </c>
      <c r="AK7" s="7" t="n">
        <v>0</v>
      </c>
      <c r="AL7" s="7" t="n">
        <v>0.008200000000000001</v>
      </c>
      <c r="AM7" s="7" t="n">
        <v>0.1538</v>
      </c>
      <c r="AN7" s="7" t="n">
        <v>0.1261</v>
      </c>
      <c r="AO7" s="7" t="n">
        <v>0.34</v>
      </c>
      <c r="AP7" s="7" t="n">
        <v>0</v>
      </c>
      <c r="AQ7" s="7" t="n">
        <v>0</v>
      </c>
      <c r="AR7" s="7" t="n">
        <v>0.2228</v>
      </c>
      <c r="AS7" s="7" t="n">
        <v>0</v>
      </c>
      <c r="AT7" s="7" t="n">
        <v>0</v>
      </c>
      <c r="AU7" s="7" t="n">
        <v>0.5</v>
      </c>
      <c r="AV7" s="7" t="n">
        <v>0.9167999999999999</v>
      </c>
      <c r="AW7" s="7" t="n">
        <v>0.3447</v>
      </c>
      <c r="AX7" s="7" t="n">
        <v>31.6021</v>
      </c>
      <c r="AY7" s="7" t="n">
        <v>86.37</v>
      </c>
      <c r="AZ7" s="7" t="n">
        <v>0.25</v>
      </c>
      <c r="BA7" s="7" t="n">
        <v>0.0474</v>
      </c>
      <c r="BB7" s="7" t="n">
        <v>0.0759</v>
      </c>
      <c r="BC7" s="7" t="n">
        <v>0.3598</v>
      </c>
      <c r="BD7" s="7" t="n">
        <v>0.98</v>
      </c>
    </row>
    <row r="8" ht="34" customHeight="1">
      <c r="A8" s="7" t="n">
        <v>6</v>
      </c>
      <c r="B8" s="7" t="n">
        <v>12</v>
      </c>
      <c r="C8" s="7" t="n">
        <v>16</v>
      </c>
      <c r="D8" s="7" t="n">
        <v>4</v>
      </c>
      <c r="E8" s="7" t="inlineStr">
        <is>
          <t>{"contesto_e_scena": {"descrizione_generale": "Area di produzione industriale con macchinari pesanti, container di materiale e operatori al lavoro.", "contesto": "Fabbrica metalmeccanica o stampaggio lamiere."}, "soggetti_e_dpi": {"operatori_presenti": 3, "dettagli_operatori": [{"id": "operatore_pressa", "azione": "Chinato vicino alla pressa per movimentare un pezzo metallico.", "dpi_osservabili": ["elmetto protettivo bianco", "calzature da lavoro"]}, {"id": "operatore_supervisore", "azione": "In piedi in posizione di osservazione vicino alla pressa.", "dpi_osservabili": ["elmetto protettivo bianco"]}, {"id": "operatore_destra", "azione": "Parzialmente visibile presso una postazione di lavoro secondaria.", "dpi_osservabili": ["elmetto protettivo"]}]}, "macchinari_e_oggetti": {"principali": ["Grande pressa industriale verde (lato sinistro)", "Contenitori metallici e cassoni per pezzi di scarto o semilavorati", "Tavolo di supporto metallico", "Lamiere e componenti metallici a terra"]}, "analisi_sicurezza": {"condizioni_ambientali": "Illuminazione artificiale sufficiente, spazi di transito parzialmente ingombrati da materiali.", "limiti_visibilita": "Inquadratura dall'alto che limita la visibilità dettagliata delle mani degli operatori e dei comandi macchina.", "dinamiche_rischiose_potenziali": "L'operatore vicino alla pressa lavora in posizione flessa, esponendosi a rischi ergonomici e potenziale schiacciamento degli arti superiori in caso di attivazione accidentale del macchinario.", "fattori_contribuenti": "Presenza di materiali a terra vicino alla zona di lavoro che potrebbero causare inciampi."}}</t>
        </is>
      </c>
      <c r="F8" s="7" t="n">
        <v>65</v>
      </c>
      <c r="G8" s="7" t="inlineStr">
        <is>
          <t>Il punteggio di 65 indica un rischio medio-alto. Sebbene gli operatori indossino i DPI base (elmetto) e vi sia un supervisore, si osservano dinamiche pericolose: l'operatore lavora chinato vicino alla pressa con rischio di schiacciamento degli arti e problemi ergonomici. Inoltre, la presenza di materiali e lamiere a terra nell'area di lavoro aumenta il rischio di inciampo.</t>
        </is>
      </c>
      <c r="H8" s="7" t="n">
        <v>70.90000000000001</v>
      </c>
      <c r="I8" s="8" t="inlineStr">
        <is>
          <t>arancione</t>
        </is>
      </c>
      <c r="J8" s="7" t="inlineStr">
        <is>
          <t>{"scene_state": "Ambiente industriale interno, un'officina o fabbrica con macchinari e materiali metallici.", "environmental_conditions": ["Illuminazione artificiale interna", "Pavimentazione industriale in cemento"], "people": ["Un operatore chinato vicino alla pressa verde", "Un operatore in piedi al centro", "Un operatore parzialmente visibile sulla destra"], "objects": ["Lastre di metallo", "Contenitori metallici", "Pallet in legno", "Tavolo metallico", "Secchio"], "machines": ["Grande pressa idraulica industriale di colore verde"], "observable_actions": ["L'operatore a sinistra si china per movimentare una lastra metallica vicino alla pressa", "L'operatore al centro rimane in piedi e osserva"], "visible_ppe": ["Caschi protettivi bianchi"], "notes_visibility_limitations": "Inquadratura dall'alto; l'operatore a destra è parzialmente fuori campo."}</t>
        </is>
      </c>
      <c r="K8" s="7" t="inlineStr">
        <is>
          <t>{"unsafe_behaviors": ["Movimentazione manuale di lastre metalliche potenzialmente pesanti senza ausili meccanici", "Operatività in postura incongrua (chinato) in prossimità di una pressa idraulica"], "vulnerable_elements": ["Operatore chinato a sinistra vicino alla pressa"], "risk_cues": {"S1_people_vehicle_interference": 0.0, "S2_visibility_attention_reduction": 0.5, "S3_non_compliant_behavior": 0.25, "S4_vehicle_infrastructure_interference": 0.0, "S5_storage_structural_instability": 0.25, "S6_access_to_moving_mechanical_parts": 0.5, "S7_manual_handling_heavy_unstable_loads": 0.75}, "cue_confidence": 0.8, "diagnostic_notes": "L'analisi evidenzia un rischio rilevante legato alla movimentazione manuale di carichi (S7), in quanto l'operatore si china per movimentare una lastra metallica senza ausili visibili. Questa postura riduce l'attenzione e il campo visivo del soggetto (S2). La vicinanza alla pressa idraulica introduce un rischio moderato di interazione con organi meccanici (S6). Non si rileva la presenza di mezzi di movimentazione nell'area (S1, S4)."}</t>
        </is>
      </c>
      <c r="L8" s="7" t="inlineStr">
        <is>
          <t>{"causal_chain_plausible": true, "causal_chain_text": "L'operatore si china per movimentare manualmente una lastra metallica pesante vicino alla pressa. La postura incongrua riduce stabilità e visibilità. La perdita di presa del carico o un movimento errato può causare lo schiacciamento degli arti o lesioni da sforzo.", "near_miss_or_incident_scenario": "Schiacciamento degli arti superiori o trauma muscolo-scheletrico acuto dell'operatore a causa della perdita di controllo della lastra metallica durante il sollevamento manuale in postura chinata.", "contributing_factors": ["Movimentazione manuale di carichi pesanti senza ausili meccanici", "Postura di lavoro incongrua e non ergonomica", "Operatività in stretta prossimità di una pressa idraulica", "Riduzione del campo visivo e dell'attenzione dell'operatore chinato"]}</t>
        </is>
      </c>
      <c r="M8" s="7" t="n">
        <v>65</v>
      </c>
      <c r="N8" s="7" t="inlineStr">
        <is>
          <t>Il punteggio riflette un rischio significativo dovuto alla movimentazione manuale di lastre metalliche pesanti in una postura incongrua e chinata. La vicinanza alla pressa idraulica e la ridotta visibilità dell'operatore aumentano la probabilità di infortuni muscolo-scheletrici o schiacciamenti.</t>
        </is>
      </c>
      <c r="O8" s="7" t="n">
        <v>65.64</v>
      </c>
      <c r="P8" s="8" t="inlineStr">
        <is>
          <t>arancione</t>
        </is>
      </c>
      <c r="Q8" s="7" t="n">
        <v>41.06</v>
      </c>
      <c r="R8" s="7" t="n">
        <v>40.56</v>
      </c>
      <c r="S8" s="9" t="inlineStr">
        <is>
          <t>giallo</t>
        </is>
      </c>
      <c r="T8" s="7" t="n">
        <v>0.8</v>
      </c>
      <c r="U8" s="7" t="inlineStr">
        <is>
          <t>L'analisi evidenzia un rischio rilevante legato alla movimentazione manuale di carichi (S7), in quanto l'operatore si china per movimentare una lastra metallica senza ausili visibili. Questa postura riduce l'attenzione e il campo visivo del soggetto (S2). La vicinanza alla pressa idraulica introduce un rischio moderato di interazione con organi meccanici (S6). Non si rileva la presenza di mezzi di movimentazione nell'area (S1, S4).</t>
        </is>
      </c>
      <c r="V8" s="7" t="n">
        <v>0</v>
      </c>
      <c r="W8" s="7" t="n">
        <v>0</v>
      </c>
      <c r="X8" s="7" t="n">
        <v>0.1109</v>
      </c>
      <c r="Y8" s="7" t="n">
        <v>0</v>
      </c>
      <c r="Z8" s="7" t="n">
        <v>0</v>
      </c>
      <c r="AA8" s="7" t="n">
        <v>0.5</v>
      </c>
      <c r="AB8" s="7" t="n">
        <v>0.8176</v>
      </c>
      <c r="AC8" s="7" t="n">
        <v>0.037</v>
      </c>
      <c r="AD8" s="7" t="n">
        <v>3.0251</v>
      </c>
      <c r="AE8" s="7" t="n">
        <v>7.37</v>
      </c>
      <c r="AF8" s="7" t="n">
        <v>0.25</v>
      </c>
      <c r="AG8" s="7" t="n">
        <v>0.2689</v>
      </c>
      <c r="AH8" s="7" t="n">
        <v>0.0549</v>
      </c>
      <c r="AI8" s="7" t="n">
        <v>1.4763</v>
      </c>
      <c r="AJ8" s="7" t="n">
        <v>3.6</v>
      </c>
      <c r="AK8" s="7" t="n">
        <v>0</v>
      </c>
      <c r="AL8" s="7" t="n">
        <v>0.008200000000000001</v>
      </c>
      <c r="AM8" s="7" t="n">
        <v>0.1538</v>
      </c>
      <c r="AN8" s="7" t="n">
        <v>0.1261</v>
      </c>
      <c r="AO8" s="7" t="n">
        <v>0.31</v>
      </c>
      <c r="AP8" s="7" t="n">
        <v>0.25</v>
      </c>
      <c r="AQ8" s="7" t="n">
        <v>0.0359</v>
      </c>
      <c r="AR8" s="7" t="n">
        <v>0.2228</v>
      </c>
      <c r="AS8" s="7" t="n">
        <v>0.7999000000000001</v>
      </c>
      <c r="AT8" s="7" t="n">
        <v>1.95</v>
      </c>
      <c r="AU8" s="7" t="n">
        <v>0.5</v>
      </c>
      <c r="AV8" s="7" t="n">
        <v>0.9167999999999999</v>
      </c>
      <c r="AW8" s="7" t="n">
        <v>0.3447</v>
      </c>
      <c r="AX8" s="7" t="n">
        <v>31.6021</v>
      </c>
      <c r="AY8" s="7" t="n">
        <v>76.97</v>
      </c>
      <c r="AZ8" s="7" t="n">
        <v>0.75</v>
      </c>
      <c r="BA8" s="7" t="n">
        <v>0.531</v>
      </c>
      <c r="BB8" s="7" t="n">
        <v>0.0759</v>
      </c>
      <c r="BC8" s="7" t="n">
        <v>4.0303</v>
      </c>
      <c r="BD8" s="7" t="n">
        <v>9.82</v>
      </c>
    </row>
    <row r="9" ht="34" customHeight="1">
      <c r="A9" s="7" t="n">
        <v>7</v>
      </c>
      <c r="B9" s="7" t="n">
        <v>14</v>
      </c>
      <c r="C9" s="7" t="n">
        <v>18</v>
      </c>
      <c r="D9" s="7" t="n">
        <v>4</v>
      </c>
      <c r="E9" s="7" t="inlineStr">
        <is>
          <t>{"scena_e_contesto": {"descrizione": "Area di produzione industriale con macchinari pesanti, container metallici e postazioni di lavoro.", "contesto": "Fabbrica di lavorazione metalli o stampaggio."}, "personale_e_dpi": {"operatori_rilevati": 3, "dettagli_operatori": [{"id": "Operatore 1", "posizione": "Presso la pressa verde a sinistra", "azione": "Chinato in avanti per movimentare o posizionare un pezzo metallico", "dpi_visibili": "Elmetto protettivo (parzialmente visibile causa postura)"}, {"id": "Operatore 2", "posizione": "Centro-sinistra, in piedi", "azione": "Osservazione e supervisione", "dpi_visibili": "Elmetto protettivo bianco, abbigliamento da lavoro"}, {"id": "Operatore 3", "posizione": "Destra, parzialmente visibile", "azione": "Attività statica presso un banco di lavoro", "dpi_visibili": "Non chiaramente identificabili"}]}, "macchinari_e_oggetti": {"principali": ["Grande pressa industriale verde (lato sinistro)", "Contenitori metallici per pezzi di scarto o semilavorati", "Tavolo di supporto metallico", "Pallet e attrezzature di stoccaggio"]}, "analisi_sicurezza": {"condizioni_ambientali": "Illuminazione artificiale interna, pavimentazione piana con presenza di ostacoli e attrezzature nelle vicinanze delle aree di transito.", "limiti_visibilita": "Inquadratura dall'alto che limita la verifica di dettagli minori come calzature di sicurezza, occhiali protettivi o l'esatta postura dell'operatore alla pressa.", "rischi_potenziali": "Rischio ergonomico per la postura incongrua dell'operatore 1; rischio di schiacciamento o cesoiamento in caso di attivazione accidentale della pressa durante la manipolazione manuale.", "fattori_contribuenti": "Prossimità fisica dell'operatore alle parti in movimento del macchinario senza barriere fisiche visibili in funzione in quel preciso istante."}}</t>
        </is>
      </c>
      <c r="F9" s="7" t="n">
        <v>75</v>
      </c>
      <c r="G9" s="7" t="inlineStr">
        <is>
          <t>Il punteggio di 75 riflette un rischio elevato dovuto all'Operatore 1 chinato per manipolare manualmente un pezzo all'interno di una grande pressa industriale, in prossimità di parti in movimento e senza barriere fisiche di sicurezza visibilmente attive. Questo comporta un rischio significativo di schiacciamento, cesoiamento ed ergonomico, parzialmente mitigato dalla presenza di un supervisore (Operatore 2) e dall'uso di elmetti.</t>
        </is>
      </c>
      <c r="H9" s="7" t="n">
        <v>75.86</v>
      </c>
      <c r="I9" s="10" t="inlineStr">
        <is>
          <t>rosso</t>
        </is>
      </c>
      <c r="J9" s="7" t="inlineStr">
        <is>
          <t>{"scene_state": "Area di lavoro industriale con macchinari pesanti, cassoni di stoccaggio e personale operativo.", "environmental_conditions": ["Illuminazione interna artificiale", "Pavimentazione industriale in cemento"], "people": ["Operatore chinato vicino alla pressa verde", "Operatore in piedi con casco bianco al centro", "Operatore parzialmente visibile sulla destra", "Operatore con casco giallo che appare brevemente dietro la pressa"], "objects": ["Lastre metalliche", "Cassoni di stoccaggio in legno e metallo", "Tavolo metallico in primo piano", "Secchio bianco", "Pallet"], "machines": ["Grande pressa industriale di colore verde sulla sinistra"], "observable_actions": ["L'operatore a sinistra è chinato e manipola una lastra metallica vicino alla pressa", "L'operatore al centro osserva la scena in piedi", "L'operatore a destra lavora vicino a un tavolo"], "visible_ppe": ["Casco protettivo bianco", "Casco protettivo giallo", "Indumenti da lavoro"], "notes_visibility_limitations": "Inquadratura dall'alto con risoluzione da telecamera di sicurezza; alcune aree sono parzialmente occluse dai macchinari."}</t>
        </is>
      </c>
      <c r="K9" s="7" t="inlineStr">
        <is>
          <t>{"unsafe_behaviors": ["Manipolazione manuale di lastre metalliche in prossimità della pressa senza ausili meccanici visibili", "Operatore chinato in postura incongrua vicino a organi meccanici potenzialmente attivi"], "vulnerable_elements": ["Operatore chinato a sinistra vicino alla pressa", "Operatore al centro esposto a potenziali schegge o movimenti della macchina"], "risk_cues": {"S1_people_vehicle_interference": 0.0, "S2_visibility_attention_reduction": 0.5, "S3_non_compliant_behavior": 0.25, "S4_vehicle_infrastructure_interference": 0.0, "S5_storage_structural_instability": 0.25, "S6_access_to_moving_mechanical_parts": 0.75, "S7_manual_handling_heavy_unstable_loads": 0.5}, "cue_confidence": 0.8, "diagnostic_notes": "L'analisi evidenzia un rischio elevato di accesso a organi meccanici (S6) dovuto all'operatore chinato che manipola lastre metalliche vicino alla pressa verde. Questa postura riduce la visibilità e l'attenzione (S2). La movimentazione manuale di lastre metalliche (S7) comporta rischi di taglio o schiacciamento. Non si registrano interferenze con veicoli (S1, S4)."}</t>
        </is>
      </c>
      <c r="L9" s="7" t="inlineStr">
        <is>
          <t>{"causal_chain_plausible": true, "causal_chain_text": "L'operatore lavora chinato manipolando manualmente lastre metalliche vicino alla pressa. La postura incongrua riduce la sua attenzione e visibilità. Un movimento imprevisto della macchina o della lastra può causare un contatto pericoloso.", "near_miss_or_incident_scenario": "Schiacciamento o taglio degli arti superiori dell'operatore durante la manipolazione della lastra metallica vicino alla pressa in funzione.", "contributing_factors": ["Manipolazione manuale di lastre metalliche senza ausili meccanici", "Postura incongrua e chinata vicino a organi meccanici in movimento", "Prossimità immediata alla pressa verde senza barriere protettive visibili", "Ridotta visibilità e attenzione dovute alla posizione di lavoro"]}</t>
        </is>
      </c>
      <c r="M9" s="7" t="n">
        <v>70</v>
      </c>
      <c r="N9" s="7" t="inlineStr">
        <is>
          <t>Il punteggio riflette un rischio significativo dovuto alla manipolazione manuale di lastre metalliche in postura incongrua e in estrema prossimità della pressa industriale. La mancanza di barriere protettive visibili aumenta notevolmente la probabilità di gravi infortuni da schiacciamento o taglio.</t>
        </is>
      </c>
      <c r="O9" s="7" t="n">
        <v>69.51000000000001</v>
      </c>
      <c r="P9" s="8" t="inlineStr">
        <is>
          <t>arancione</t>
        </is>
      </c>
      <c r="Q9" s="7" t="n">
        <v>41.39</v>
      </c>
      <c r="R9" s="7" t="n">
        <v>41.14</v>
      </c>
      <c r="S9" s="9" t="inlineStr">
        <is>
          <t>giallo</t>
        </is>
      </c>
      <c r="T9" s="7" t="n">
        <v>0.8</v>
      </c>
      <c r="U9" s="7" t="inlineStr">
        <is>
          <t>L'analisi evidenzia un rischio elevato di accesso a organi meccanici (S6) dovuto all'operatore chinato che manipola lastre metalliche vicino alla pressa verde. Questa postura riduce la visibilità e l'attenzione (S2). La movimentazione manuale di lastre metalliche (S7) comporta rischi di taglio o schiacciamento. Non si registrano interferenze con veicoli (S1, S4).</t>
        </is>
      </c>
      <c r="V9" s="7" t="n">
        <v>0</v>
      </c>
      <c r="W9" s="7" t="n">
        <v>0</v>
      </c>
      <c r="X9" s="7" t="n">
        <v>0.1109</v>
      </c>
      <c r="Y9" s="7" t="n">
        <v>0</v>
      </c>
      <c r="Z9" s="7" t="n">
        <v>0</v>
      </c>
      <c r="AA9" s="7" t="n">
        <v>0.5</v>
      </c>
      <c r="AB9" s="7" t="n">
        <v>0.8176</v>
      </c>
      <c r="AC9" s="7" t="n">
        <v>0.037</v>
      </c>
      <c r="AD9" s="7" t="n">
        <v>3.0251</v>
      </c>
      <c r="AE9" s="7" t="n">
        <v>7.31</v>
      </c>
      <c r="AF9" s="7" t="n">
        <v>0.25</v>
      </c>
      <c r="AG9" s="7" t="n">
        <v>0.2689</v>
      </c>
      <c r="AH9" s="7" t="n">
        <v>0.0549</v>
      </c>
      <c r="AI9" s="7" t="n">
        <v>1.4763</v>
      </c>
      <c r="AJ9" s="7" t="n">
        <v>3.57</v>
      </c>
      <c r="AK9" s="7" t="n">
        <v>0</v>
      </c>
      <c r="AL9" s="7" t="n">
        <v>0.008200000000000001</v>
      </c>
      <c r="AM9" s="7" t="n">
        <v>0.1538</v>
      </c>
      <c r="AN9" s="7" t="n">
        <v>0.1261</v>
      </c>
      <c r="AO9" s="7" t="n">
        <v>0.3</v>
      </c>
      <c r="AP9" s="7" t="n">
        <v>0.25</v>
      </c>
      <c r="AQ9" s="7" t="n">
        <v>0.0359</v>
      </c>
      <c r="AR9" s="7" t="n">
        <v>0.2228</v>
      </c>
      <c r="AS9" s="7" t="n">
        <v>0.7999000000000001</v>
      </c>
      <c r="AT9" s="7" t="n">
        <v>1.93</v>
      </c>
      <c r="AU9" s="7" t="n">
        <v>0.75</v>
      </c>
      <c r="AV9" s="7" t="n">
        <v>0.9955000000000001</v>
      </c>
      <c r="AW9" s="7" t="n">
        <v>0.3447</v>
      </c>
      <c r="AX9" s="7" t="n">
        <v>34.3149</v>
      </c>
      <c r="AY9" s="7" t="n">
        <v>82.91</v>
      </c>
      <c r="AZ9" s="7" t="n">
        <v>0.5</v>
      </c>
      <c r="BA9" s="7" t="n">
        <v>0.2176</v>
      </c>
      <c r="BB9" s="7" t="n">
        <v>0.0759</v>
      </c>
      <c r="BC9" s="7" t="n">
        <v>1.6516</v>
      </c>
      <c r="BD9" s="7" t="n">
        <v>3.99</v>
      </c>
    </row>
    <row r="10" ht="34" customHeight="1">
      <c r="A10" s="7" t="n">
        <v>8</v>
      </c>
      <c r="B10" s="7" t="n">
        <v>16</v>
      </c>
      <c r="C10" s="7" t="n">
        <v>20</v>
      </c>
      <c r="D10" s="7" t="n">
        <v>4</v>
      </c>
      <c r="E10" s="7" t="inlineStr">
        <is>
          <t>{"scena_generale": {"contesto": "Officina metalmeccanica o impianto di stampaggio industriale.", "condizioni_ambientali": "Illuminazione artificiale interna, pavimentazione piana ma potenzialmente scivolosa."}, "elementi_rilevati": {"persone": "Almeno quattro operatori presenti nell'area di lavoro.", "macchinari": "Grande pressa industriale verde sul lato sinistro.", "oggetti": "Contenitori metallici, cassoni di stoccaggio, carrelli e attrezzature da lavoro.", "dpi": "Caschi di protezione (bianco e giallo) visibili su alcuni operatori."}, "dinamica_evento": {"descrizione_azione": "Un operatore chinato vicino alla pressa perde l'equilibrio e cade improvvisamente a terra. Gli altri operatori si avvicinano per prestare soccorso.", "limiti_visivi": "Inquadratura dall'alto che limita la visibilità dei dettagli sul pavimento e delle cause esatte della caduta."}, "valutazione_sicurezza": {"ragionamento_causale": "La caduta potrebbe essere stata causata da un inciampo su attrezzature a terra o da uno scivolamento su sostanze liquide non visibili.", "fattori_contribuenti": "Presenza di ostacoli a terra e postura incongrua dell'operatore durante le attività vicino al macchinario.", "sviluppi_rischiosi": "Rischio di lesioni da impatto con il suolo o con le parti metalliche della pressa circostante."}}</t>
        </is>
      </c>
      <c r="F10" s="7" t="n">
        <v>85</v>
      </c>
      <c r="G10" s="7" t="inlineStr">
        <is>
          <t>Il punteggio di 85 è giustificato dall'avvenuta caduta di un operatore in un'area industriale critica, vicino a una pressa metallica. L'impatto al suolo e la prossimità a macchinari pesanti comportano un rischio immediato di lesioni fisiche. La necessità di soccorso immediato da parte dei colleghi evidenzia la gravità dell'evento.</t>
        </is>
      </c>
      <c r="H10" s="7" t="n">
        <v>83.84</v>
      </c>
      <c r="I10" s="10" t="inlineStr">
        <is>
          <t>rosso</t>
        </is>
      </c>
      <c r="J10" s="7" t="inlineStr">
        <is>
          <t>{"scene_state": "Interno di un'officina industriale con macchinari e attrezzature, dove si verifica la caduta di un operatore.", "environmental_conditions": ["Illuminazione artificiale interna", "Pavimentazione industriale"], "people": ["Operatore con camicia blu e pantaloni scuri (che cade a terra)", "Operatore con camicia azzurra e casco bianco", "Operatore con casco giallo"], "objects": ["Contenitori metallici e casse in legno", "Tavolo da lavoro metallico", "Secchio", "Pallet"], "machines": ["Grande pressa industriale di colore verde sulla sinistra"], "observable_actions": ["Un operatore si china vicino alla pressa verde, perde l'equilibrio e cade all'indietro sul pavimento.", "Gli altri operatori si muovono verso il collega caduto."], "visible_ppe": ["Caschi di protezione (bianco e giallo)", "Calzature da lavoro"], "notes_visibility_limitations": "Inquadratura dall'alto e fissa; alcune parti dell'area sono parzialmente oscurate dai macchinari."}</t>
        </is>
      </c>
      <c r="K10" s="7" t="inlineStr">
        <is>
          <t>{"unsafe_behaviors": ["Perdita di equilibrio durante operazione vicino alla pressa", "Mancato uso visibile del casco protettivo per l'operatore caduto"], "vulnerable_elements": ["Operatore a terra", "Operatori accorsi in aiuto"], "risk_cues": {"S1_people_vehicle_interference": 0.0, "S2_visibility_attention_reduction": 0.5, "S3_non_compliant_behavior": 0.5, "S4_vehicle_infrastructure_interference": 0.0, "S5_storage_structural_instability": 0.0, "S6_access_to_moving_mechanical_parts": 0.25, "S7_manual_handling_heavy_unstable_loads": 0.0}, "cue_confidence": 0.8, "diagnostic_notes": "Un operatore perde l'equilibrio e cade all'indietro vicino a una pressa industriale. Non è esplicitamente indicato l'uso del casco per l'operatore caduto, a differenza dei colleghi. Possibile riduzione dell'attenzione o postura instabile durante l'attività."}</t>
        </is>
      </c>
      <c r="L10" s="7" t="inlineStr">
        <is>
          <t>{"causal_chain_plausible": true, "causal_chain_text": "L'operatore si china vicino alla pressa senza casco protettivo, perde l'equilibrio e cade all'indietro sul pavimento industriale, rischiando un trauma cranico o lesioni da impatto.", "near_miss_or_incident_scenario": "Infortunio da caduta a livello con potenziale trauma cranico o muscolo-scheletrico dovuto all'impatto al suolo in assenza di DPI (casco).", "contributing_factors": ["Mancato uso del casco protettivo da parte dell'operatore caduto", "Postura instabile o perdita di equilibrio durante l'attività vicino alla pressa", "Presenza di macchinari industriali (pressa) nelle immediate vicinanze"]}</t>
        </is>
      </c>
      <c r="M10" s="7" t="n">
        <v>85</v>
      </c>
      <c r="N10" s="7" t="inlineStr">
        <is>
          <t>Il punteggio elevato è giustificato dall'avvenuta caduta a terra dell'operatore che, privo di casco protettivo, rischia gravi lesioni o un trauma cranico da impatto. La prossimità a una pressa industriale aumenta la criticità dell'evento, richiedendo un intervento immediato di soccorso.</t>
        </is>
      </c>
      <c r="O10" s="7" t="n">
        <v>82.55</v>
      </c>
      <c r="P10" s="10" t="inlineStr">
        <is>
          <t>rosso</t>
        </is>
      </c>
      <c r="Q10" s="7" t="n">
        <v>19.85</v>
      </c>
      <c r="R10" s="7" t="n">
        <v>28.37</v>
      </c>
      <c r="S10" s="9" t="inlineStr">
        <is>
          <t>giallo</t>
        </is>
      </c>
      <c r="T10" s="7" t="n">
        <v>0.8</v>
      </c>
      <c r="U10" s="7" t="inlineStr">
        <is>
          <t>Un operatore perde l'equilibrio e cade all'indietro vicino a una pressa industriale. Non è esplicitamente indicato l'uso del casco per l'operatore caduto, a differenza dei colleghi. Possibile riduzione dell'attenzione o postura instabile durante l'attività.</t>
        </is>
      </c>
      <c r="V10" s="7" t="n">
        <v>0</v>
      </c>
      <c r="W10" s="7" t="n">
        <v>0</v>
      </c>
      <c r="X10" s="7" t="n">
        <v>0.1109</v>
      </c>
      <c r="Y10" s="7" t="n">
        <v>0</v>
      </c>
      <c r="Z10" s="7" t="n">
        <v>0</v>
      </c>
      <c r="AA10" s="7" t="n">
        <v>0.5</v>
      </c>
      <c r="AB10" s="7" t="n">
        <v>0.8176</v>
      </c>
      <c r="AC10" s="7" t="n">
        <v>0.037</v>
      </c>
      <c r="AD10" s="7" t="n">
        <v>3.0251</v>
      </c>
      <c r="AE10" s="7" t="n">
        <v>15.24</v>
      </c>
      <c r="AF10" s="7" t="n">
        <v>0.5</v>
      </c>
      <c r="AG10" s="7" t="n">
        <v>0.8176</v>
      </c>
      <c r="AH10" s="7" t="n">
        <v>0.0549</v>
      </c>
      <c r="AI10" s="7" t="n">
        <v>4.4886</v>
      </c>
      <c r="AJ10" s="7" t="n">
        <v>22.61</v>
      </c>
      <c r="AK10" s="7" t="n">
        <v>0</v>
      </c>
      <c r="AL10" s="7" t="n">
        <v>0.008200000000000001</v>
      </c>
      <c r="AM10" s="7" t="n">
        <v>0.1538</v>
      </c>
      <c r="AN10" s="7" t="n">
        <v>0.1261</v>
      </c>
      <c r="AO10" s="7" t="n">
        <v>0.64</v>
      </c>
      <c r="AP10" s="7" t="n">
        <v>0</v>
      </c>
      <c r="AQ10" s="7" t="n">
        <v>0</v>
      </c>
      <c r="AR10" s="7" t="n">
        <v>0.2228</v>
      </c>
      <c r="AS10" s="7" t="n">
        <v>0</v>
      </c>
      <c r="AT10" s="7" t="n">
        <v>0</v>
      </c>
      <c r="AU10" s="7" t="n">
        <v>0.25</v>
      </c>
      <c r="AV10" s="7" t="n">
        <v>0.3543</v>
      </c>
      <c r="AW10" s="7" t="n">
        <v>0.3447</v>
      </c>
      <c r="AX10" s="7" t="n">
        <v>12.2127</v>
      </c>
      <c r="AY10" s="7" t="n">
        <v>61.52</v>
      </c>
      <c r="AZ10" s="7" t="n">
        <v>0</v>
      </c>
      <c r="BA10" s="7" t="n">
        <v>0</v>
      </c>
      <c r="BB10" s="7" t="n">
        <v>0.0759</v>
      </c>
      <c r="BC10" s="7" t="n">
        <v>0</v>
      </c>
      <c r="BD10" s="7" t="n">
        <v>0</v>
      </c>
    </row>
    <row r="11" ht="34" customHeight="1">
      <c r="A11" s="7" t="n">
        <v>9</v>
      </c>
      <c r="B11" s="7" t="n">
        <v>18</v>
      </c>
      <c r="C11" s="7" t="n">
        <v>22</v>
      </c>
      <c r="D11" s="7" t="n">
        <v>4</v>
      </c>
      <c r="E11" s="7" t="inlineStr">
        <is>
          <t>{"scena_generale": {"contesto": "Area di lavoro interna di uno stabilimento industriale o officina meccanica.", "condizioni_ambientali": "Illuminazione artificiale interna, pavimentazione industriale con presenza di attrezzature, cavi/tubi a terra e ostacoli sparsi."}, "soggetti_coinvolti": [{"id": "Operatore 1", "posizione": "In piedi vicino alla macchina verde sullo sfondo.", "dpi_rilevati": "Casco protettivo giallo, abbigliamento da lavoro scuro."}, {"id": "Operatore 2", "posizione": "In piedi al centro della scena, poi si muove per prestare soccorso.", "dpi_rilevati": "Casco protettivo bianco, camicia chiara, pantaloni scuri."}, {"id": "Operatore 3 (Infortunato)", "posizione": "Inizialmente accovacciato a terra, successivamente cade supino sul pavimento.", "dpi_rilevati": "Abbigliamento scuro, presenza di casco non chiaramente visibile o perso durante la caduta."}], "elementi_materiali": {"macchinari": "Grande pressa industriale di colore verde sul lato sinistro.", "attrezzature_oggetti": "Tavoli da lavoro metallici, contenitori metallici industriali per lo stoccaggio, bancali, un secchio e tubi/cavi flessibili adagiati sul pavimento nell'area di transito."}, "dinamica_osservata": {"descrizione_evento": "L'Operatore 3, inizialmente accovacciato vicino alla base della pressa, perde l'equilibrio e cade improvvisamente all'indietro sul pavimento. L'Operatore 2, situato nelle immediate vicinanze, assiste alla caduta, si sposta rapidamente verso di lui e si china per verificare le sue condizioni e prestare assistenza. L'Operatore 1 osserva la scena dalla sua posizione.", "limiti_osservativi": "La causa esatta della caduta (scivolamento, inciampo sui cavi a terra o malore improvviso) non è determinabile con assoluta certezza a causa della risoluzione e dell'angolazione della telecamera."}, "analisi_sicurezza": {"fattori_di_rischio_osservati": ["Presenza di cavi e tubi flessibili disordinati sul pavimento nelle immediate vicinanze degli operatori, configurando un potenziale rischio di inciampo.", "Spazio di manovra ristretto intorno alla macchina operatrice dovuto alla presenza di attrezzature e materiali depositati."], "conseguenze_reali_o_potenziali": "Infortunio da caduta a livello con impatto sul pavimento industriale rigido; potenziale trauma cranico o muscolo-scheletrico.", "misure_correttive_suggerite": ["Implementare una gestione sistematica dei cavi (cable management) per mantenere libere le aree di passaggio.", "Garantire l'uso costante e corretto dei DPI (casco protettivo) per tutti gli operatori nell'area di produzione."]}}</t>
        </is>
      </c>
      <c r="F11" s="7" t="n">
        <v>90</v>
      </c>
      <c r="G11" s="7" t="inlineStr">
        <is>
          <t>Il punteggio riflette un livello di rischio critico dovuto al verificarsi di un infortunio reale: l'Operatore 3 è caduto all'indietro sul pavimento industriale rigido, con potenziale rischio di trauma cranico o muscolo-scheletrico (il casco non è chiaramente visibile o è stato perso). La presenza di cavi e tubi a terra rappresenta un grave fattore di rischio di inciampo non gestito, e la necessità di soccorso immediato da parte dell'Operatore 2 conferma la gravità dell'evento in corso.</t>
        </is>
      </c>
      <c r="H11" s="7" t="n">
        <v>88.79000000000001</v>
      </c>
      <c r="I11" s="10" t="inlineStr">
        <is>
          <t>rosso</t>
        </is>
      </c>
      <c r="J11" s="7" t="inlineStr">
        <is>
          <t>{"scene_state": "Interno di un'officina meccanica o fabbrica con presenza di macchinari e materiali disposti disordinatamente.", "environmental_conditions": ["Illuminazione interna", "Pavimentazione industriale"], "people": ["Un lavoratore a terra", "Un lavoratore in camicia azzurra che lo soccorre", "Un lavoratore con casco giallo vicino alla pressa", "Altre persone visibili sullo sfondo"], "objects": ["Cassoni metallici", "Pallet in legno e metallo", "Tavolo da lavoro in metallo", "Secchi e contenitori minori"], "machines": ["Grande pressa industriale di colore verde sulla sinistra"], "observable_actions": ["Un lavoratore cade a terra", "Un collega interviene prontamente per aiutarlo a rialzarsi", "Gli altri presenti osservano la scena"], "visible_ppe": ["Casco di sicurezza giallo indossato da uno dei lavoratori"], "notes_visibility_limitations": "Risoluzione della telecamera di sicurezza limitata, ripresa dall'alto che parzialmente occulta i dettagli dei volti."}</t>
        </is>
      </c>
      <c r="K11" s="7" t="inlineStr">
        <is>
          <t>{"unsafe_behaviors": ["Transito in aree ingombre di materiali", "Mancato mantenimento dell'ordine e pulizia delle vie di transito (housekeeping inadeguato)"], "vulnerable_elements": ["Lavoratore caduto a terra", "Lavoratore soccorritore esposto a potenziali ostacoli al suolo"], "risk_cues": {"S1_people_vehicle_interference": 0.0, "S2_visibility_attention_reduction": 0.5, "S3_non_compliant_behavior": 0.5, "S4_vehicle_infrastructure_interference": 0.0, "S5_storage_structural_instability": 0.25, "S6_access_to_moving_mechanical_parts": 0.0, "S7_manual_handling_heavy_unstable_loads": 0.0}, "cue_confidence": 0.8, "diagnostic_notes": "La caduta del lavoratore suggerisce la presenza di un potenziale pericolo di inciampo dovuto al disordine dell'officina (pallet, cassoni e materiali sparsi). Non si evidenzia la presenza di mezzi di movimentazione o di carichi sospesi nella finestra temporale analizzata."}</t>
        </is>
      </c>
      <c r="L11" s="7" t="inlineStr">
        <is>
          <t>{"causal_chain_plausible": true, "causal_chain_text": "La presenza di vie di transito ostruite da pallet e cassoni metallici riduce lo spazio di manovra sicuro. Il lavoratore, transitando in quest'area ingombra, inciampa su un ostacolo non rimosso, perdendo l'equilibrio e cadendo a terra.", "near_miss_or_incident_scenario": "Infortunio da caduta a livello dovuto a inciampo su materiali disordinati lungo le vie di transito, con conseguente rischio di lesioni o traumi per il lavoratore e per il soccorritore.", "contributing_factors": ["Housekeeping inadeguato con accumulo di materiali al suolo", "Presenza di ostacoli fisici (pallet e cassoni) nelle aree di passaggio", "Mancata delimitazione e pulizia delle vie di transito pedonale"]}</t>
        </is>
      </c>
      <c r="M11" s="7" t="n">
        <v>70</v>
      </c>
      <c r="N11" s="7" t="inlineStr">
        <is>
          <t>Il punteggio riflette un incidente già avvenuto (caduta a livello di un lavoratore) causato da un inadeguato mantenimento dell'ordine nelle vie di transito. La presenza di ostacoli e macchinari pesanti nelle vicinanze aumenta il rischio di lesioni significative sia per l'infortunato che per i soccorritori.</t>
        </is>
      </c>
      <c r="O11" s="7" t="n">
        <v>75.02</v>
      </c>
      <c r="P11" s="10" t="inlineStr">
        <is>
          <t>rosso</t>
        </is>
      </c>
      <c r="Q11" s="7" t="n">
        <v>9.359999999999999</v>
      </c>
      <c r="R11" s="7" t="n">
        <v>16.96</v>
      </c>
      <c r="S11" s="11" t="inlineStr">
        <is>
          <t>verde</t>
        </is>
      </c>
      <c r="T11" s="7" t="n">
        <v>0.8</v>
      </c>
      <c r="U11" s="7" t="inlineStr">
        <is>
          <t>La caduta del lavoratore suggerisce la presenza di un potenziale pericolo di inciampo dovuto al disordine dell'officina (pallet, cassoni e materiali sparsi). Non si evidenzia la presenza di mezzi di movimentazione o di carichi sospesi nella finestra temporale analizzata.</t>
        </is>
      </c>
      <c r="V11" s="7" t="n">
        <v>0</v>
      </c>
      <c r="W11" s="7" t="n">
        <v>0</v>
      </c>
      <c r="X11" s="7" t="n">
        <v>0.1109</v>
      </c>
      <c r="Y11" s="7" t="n">
        <v>0</v>
      </c>
      <c r="Z11" s="7" t="n">
        <v>0</v>
      </c>
      <c r="AA11" s="7" t="n">
        <v>0.5</v>
      </c>
      <c r="AB11" s="7" t="n">
        <v>0.8176</v>
      </c>
      <c r="AC11" s="7" t="n">
        <v>0.037</v>
      </c>
      <c r="AD11" s="7" t="n">
        <v>3.0251</v>
      </c>
      <c r="AE11" s="7" t="n">
        <v>32.32</v>
      </c>
      <c r="AF11" s="7" t="n">
        <v>0.5</v>
      </c>
      <c r="AG11" s="7" t="n">
        <v>0.8176</v>
      </c>
      <c r="AH11" s="7" t="n">
        <v>0.0549</v>
      </c>
      <c r="AI11" s="7" t="n">
        <v>4.4886</v>
      </c>
      <c r="AJ11" s="7" t="n">
        <v>47.96</v>
      </c>
      <c r="AK11" s="7" t="n">
        <v>0</v>
      </c>
      <c r="AL11" s="7" t="n">
        <v>0.008200000000000001</v>
      </c>
      <c r="AM11" s="7" t="n">
        <v>0.1538</v>
      </c>
      <c r="AN11" s="7" t="n">
        <v>0.1261</v>
      </c>
      <c r="AO11" s="7" t="n">
        <v>1.35</v>
      </c>
      <c r="AP11" s="7" t="n">
        <v>0.25</v>
      </c>
      <c r="AQ11" s="7" t="n">
        <v>0.0359</v>
      </c>
      <c r="AR11" s="7" t="n">
        <v>0.2228</v>
      </c>
      <c r="AS11" s="7" t="n">
        <v>0.7999000000000001</v>
      </c>
      <c r="AT11" s="7" t="n">
        <v>8.550000000000001</v>
      </c>
      <c r="AU11" s="7" t="n">
        <v>0</v>
      </c>
      <c r="AV11" s="7" t="n">
        <v>0.0266</v>
      </c>
      <c r="AW11" s="7" t="n">
        <v>0.3447</v>
      </c>
      <c r="AX11" s="7" t="n">
        <v>0.9169</v>
      </c>
      <c r="AY11" s="7" t="n">
        <v>9.800000000000001</v>
      </c>
      <c r="AZ11" s="7" t="n">
        <v>0</v>
      </c>
      <c r="BA11" s="7" t="n">
        <v>0</v>
      </c>
      <c r="BB11" s="7" t="n">
        <v>0.0759</v>
      </c>
      <c r="BC11" s="7" t="n">
        <v>0</v>
      </c>
      <c r="BD11" s="7" t="n">
        <v>0</v>
      </c>
    </row>
    <row r="12" ht="34" customHeight="1">
      <c r="A12" s="7" t="n">
        <v>10</v>
      </c>
      <c r="B12" s="7" t="n">
        <v>20</v>
      </c>
      <c r="C12" s="7" t="n">
        <v>24</v>
      </c>
      <c r="D12" s="7" t="n">
        <v>4</v>
      </c>
      <c r="E12" s="7" t="inlineStr">
        <is>
          <t>{"metadati": {"intervallo_temporale": "20.0s - 24.0s", "durata": "4.0s"}, "descrizione_scena": {"contesto": "Officina metalmeccanica o impianto industriale con macchinari pesanti, cassoni metallici e attrezzature sparse.", "condizioni_ambientali": "Illuminazione artificiale interna sufficiente, ma presenza di ingombri a terra che riducono lo spazio di manovra."}, "elementi_rilevati": {"persone": "Almeno cinque operatori visibili. Un operatore a terra viene soccorso da un collega con casco bianco e camicia azzurra. Altri lavoratori osservano o si muovono nell'area.", "macchinari_e_oggetti": "Grande pressa industriale verde a sinistra, cassoni metallici di stoccaggio, transpallet, tubi e cavi flessibili sul pavimento.", "dpi": "Caschi di protezione visibili su alcuni operatori (giallo e bianco). Abbigliamento da lavoro standard. Uso di calzature di sicurezza non chiaramente verificabile."}, "dinamica_osservata": {"azioni": "Un lavoratore è a terra e viene aiutato a rialzarsi da un collega. Successivamente, entrambi si allontanano dall'area della pressa mentre altri lavoratori convergono o transitano nella zona.", "limiti_visibilita": "Inquadratura dall'alto e risoluzione media limitano la visibilità dei dettagli del pavimento e della causa esatta della caduta."}, "analisi_rischi_sicurezza": {"ragionamento_causale": "La presenza di cavi e attrezzature disordinate sul pavimento vicino alla pressa rappresenta un grave rischio di inciampo, probabile causa della caduta dell'operatore.", "sviluppi_rischiosi_plausibili": "Rischio di lesioni da caduta o impatto contro le strutture metalliche circostanti. Possibile intralcio alle vie di fuga in caso di emergenza dovuto al disordine.", "fattori_contribuenti": "Scarsa pulizia e ordine dell'area di lavoro (housekeeping inadeguato), con cavi e tubi flessibili non canalizzati sul piano di calpestio."}}</t>
        </is>
      </c>
      <c r="F12" s="7" t="n">
        <v>80</v>
      </c>
      <c r="G12" s="7" t="inlineStr">
        <is>
          <t>Il punteggio di 80 è giustificato dall'avvenuto infortunio (operatore a terra soccorso da un collega) causato plausibilmente da un inciampo. La presenza di cavi e tubi flessibili non canalizzati sul pavimento in prossimità di macchinari pesanti evidenzia un grave deficit di housekeeping, mantenendo alto il rischio di ulteriori cadute o impatti contro le strutture metalliche circostanti.</t>
        </is>
      </c>
      <c r="H12" s="7" t="n">
        <v>83.52</v>
      </c>
      <c r="I12" s="10" t="inlineStr">
        <is>
          <t>rosso</t>
        </is>
      </c>
      <c r="J12" s="7" t="inlineStr">
        <is>
          <t>{"scene_state": "Interno di un'officina meccanica o fabbrica con presenza di macchinari, cassoni e personale.", "environmental_conditions": ["Illuminazione interna artificiale", "Pavimentazione industriale"], "people": ["Un operatore a terra", "Un operatore con camicia azzurra e casco bianco che assiste il collega a terra", "Un operatore con casco giallo vicino alla pressa verde", "Altri lavoratori in movimento nell'area"], "objects": ["Cassoni metallici contenenti pezzi", "Pallet e pedane", "Tavoli di supporto"], "machines": ["Grande pressa industriale verde posizionata sulla sinistra"], "observable_actions": ["Un lavoratore aiuta un collega a rialzarsi da terra", "Altri lavoratori camminano e transitano nell'area di lavoro"], "visible_ppe": ["Caschi di protezione (bianco e giallo)", "Calzature da lavoro"], "notes_visibility_limitations": "Inquadratura di sicurezza dall'alto con risoluzione medio-bassa e parziale sfocatura dei volti."}</t>
        </is>
      </c>
      <c r="K12" s="7" t="inlineStr">
        <is>
          <t>{"unsafe_behaviors": ["Possibile scivolamento o caduta a terra di un operatore", "Transito ravvicinato a zone di lavoro senza apparente delimitazione"], "vulnerable_elements": ["Operatore a terra", "Operatore che assiste il collega a terra"], "risk_cues": {"S1_people_vehicle_interference": 0.0, "S2_visibility_attention_reduction": 0.25, "S3_non_compliant_behavior": 0.5, "S4_vehicle_infrastructure_interference": 0.0, "S5_storage_structural_instability": 0.0, "S6_access_to_moving_mechanical_parts": 0.25, "S7_manual_handling_heavy_unstable_loads": 0.0}, "cue_confidence": 0.8, "diagnostic_notes": "L'evento principale riguarda un operatore a terra aiutato a rialzarsi da un collega, suggerendo una precedente caduta o inciampo (S3). Non si notano mezzi in movimento (S1, S4) o movimentazione di carichi pesanti (S7). Un operatore è vicino alla pressa (S6), ma senza evidenze di imminente pericolo."}</t>
        </is>
      </c>
      <c r="L12" s="7" t="inlineStr">
        <is>
          <t>{"causal_chain_plausible": true, "causal_chain_text": "La presenza di un operatore a terra suggerisce una caduta già avvenuta. In un'area di lavoro con macchinari e ostacoli fisici, un inciampo o scivolamento può causare impatti secondari gravi contro strutture metalliche o organi in movimento.", "near_miss_or_incident_scenario": "Infortunio per caduta a livello dovuto a inciampo su attrezzature/pallet o scivolamento sulla pavimentazione, con rischio di impatto contro i cassoni metallici o la pressa verde.", "contributing_factors": ["Presenza di ostacoli e materiali (pallet, cassoni) nelle zone di transito", "Mancanza di percorsi pedonali chiaramente delimitati e separati dalle aree di lavoro", "Potenziale scivolosità della pavimentazione industriale dell'officina"]}</t>
        </is>
      </c>
      <c r="M12" s="7" t="n">
        <v>65</v>
      </c>
      <c r="N12" s="7" t="inlineStr">
        <is>
          <t>Il punteggio riflette un rischio significativo dovuto alla presenza di un operatore già a terra, segno di una caduta o inciampo avvenuto in prossimità di macchinari e ostacoli metallici. Sebbene il collega stia prestando assistenza, l'evento evidenzia potenziali carenze nella sicurezza dei percorsi di transito.</t>
        </is>
      </c>
      <c r="O12" s="7" t="n">
        <v>69.01000000000001</v>
      </c>
      <c r="P12" s="8" t="inlineStr">
        <is>
          <t>arancione</t>
        </is>
      </c>
      <c r="Q12" s="7" t="n">
        <v>18.88</v>
      </c>
      <c r="R12" s="7" t="n">
        <v>20.49</v>
      </c>
      <c r="S12" s="11" t="inlineStr">
        <is>
          <t>verde</t>
        </is>
      </c>
      <c r="T12" s="7" t="n">
        <v>0.8</v>
      </c>
      <c r="U12" s="7" t="inlineStr">
        <is>
          <t>L'evento principale riguarda un operatore a terra aiutato a rialzarsi da un collega, suggerendo una precedente caduta o inciampo (S3). Non si notano mezzi in movimento (S1, S4) o movimentazione di carichi pesanti (S7). Un operatore è vicino alla pressa (S6), ma senza evidenze di imminente pericolo.</t>
        </is>
      </c>
      <c r="V12" s="7" t="n">
        <v>0</v>
      </c>
      <c r="W12" s="7" t="n">
        <v>0</v>
      </c>
      <c r="X12" s="7" t="n">
        <v>0.1109</v>
      </c>
      <c r="Y12" s="7" t="n">
        <v>0</v>
      </c>
      <c r="Z12" s="7" t="n">
        <v>0</v>
      </c>
      <c r="AA12" s="7" t="n">
        <v>0.25</v>
      </c>
      <c r="AB12" s="7" t="n">
        <v>0.5553</v>
      </c>
      <c r="AC12" s="7" t="n">
        <v>0.037</v>
      </c>
      <c r="AD12" s="7" t="n">
        <v>2.0546</v>
      </c>
      <c r="AE12" s="7" t="n">
        <v>10.88</v>
      </c>
      <c r="AF12" s="7" t="n">
        <v>0.5</v>
      </c>
      <c r="AG12" s="7" t="n">
        <v>0.8176</v>
      </c>
      <c r="AH12" s="7" t="n">
        <v>0.0549</v>
      </c>
      <c r="AI12" s="7" t="n">
        <v>4.4886</v>
      </c>
      <c r="AJ12" s="7" t="n">
        <v>23.77</v>
      </c>
      <c r="AK12" s="7" t="n">
        <v>0</v>
      </c>
      <c r="AL12" s="7" t="n">
        <v>0.008200000000000001</v>
      </c>
      <c r="AM12" s="7" t="n">
        <v>0.1538</v>
      </c>
      <c r="AN12" s="7" t="n">
        <v>0.1261</v>
      </c>
      <c r="AO12" s="7" t="n">
        <v>0.67</v>
      </c>
      <c r="AP12" s="7" t="n">
        <v>0</v>
      </c>
      <c r="AQ12" s="7" t="n">
        <v>0</v>
      </c>
      <c r="AR12" s="7" t="n">
        <v>0.2228</v>
      </c>
      <c r="AS12" s="7" t="n">
        <v>0</v>
      </c>
      <c r="AT12" s="7" t="n">
        <v>0</v>
      </c>
      <c r="AU12" s="7" t="n">
        <v>0.25</v>
      </c>
      <c r="AV12" s="7" t="n">
        <v>0.3543</v>
      </c>
      <c r="AW12" s="7" t="n">
        <v>0.3447</v>
      </c>
      <c r="AX12" s="7" t="n">
        <v>12.2127</v>
      </c>
      <c r="AY12" s="7" t="n">
        <v>64.69</v>
      </c>
      <c r="AZ12" s="7" t="n">
        <v>0</v>
      </c>
      <c r="BA12" s="7" t="n">
        <v>0</v>
      </c>
      <c r="BB12" s="7" t="n">
        <v>0.0759</v>
      </c>
      <c r="BC12" s="7" t="n">
        <v>0</v>
      </c>
      <c r="BD12" s="7" t="n">
        <v>0</v>
      </c>
    </row>
    <row r="13" ht="34" customHeight="1">
      <c r="A13" s="7" t="n">
        <v>11</v>
      </c>
      <c r="B13" s="7" t="n">
        <v>22</v>
      </c>
      <c r="C13" s="7" t="n">
        <v>26</v>
      </c>
      <c r="D13" s="7" t="n">
        <v>4</v>
      </c>
      <c r="E13" s="7" t="inlineStr">
        <is>
          <t>{"descrizione_scena": {"contesto": "Area interna di uno stabilimento industriale o metalmeccanico con macchinari pesanti e cassoni.", "macchinari_oggetti": "Grande pressa industriale verde a sinistra, cassoni metallici, pallet, tavoli da lavoro e uno scooter.", "condizioni_ambientali": "Illuminazione artificiale interna, pavimentazione industriale piana."}, "dinamica_osservata": {"persone_coinvolte": "Almeno 6-7 operatori presenti nell'area.", "azioni": "Un operatore a bordo di uno scooter cade o si ferma bruscamente. Altri lavoratori accorrono rapidamente creando un assembramento caotico con possibili spintoni o alterchi fisici.", "dpi": "Alcuni operatori indossano elmetti protettivi (bianchi e gialli), ma l'uso dei DPI non appare uniforme o completo per tutti i presenti."}, "analisi_sicurezza": {"limiti_visivi": "Inquadratura dall'alto e risoluzione medio-bassa che rendono parzialmente ambigua la natura esatta dell'interazione (incidente stradale interno vs alterco fisico).", "fattori_contribuenti": "Presenza di un veicolo a motore (scooter) in un'area di produzione stretta e affollata, reazione caotica del personale.", "rischi_plausibili": "Collisioni secondarie con macchinari pesanti in funzione, lesioni da caduta o aggressione fisica, intralcio alle vie di fuga in caso di emergenza."}}</t>
        </is>
      </c>
      <c r="F13" s="7" t="n">
        <v>85</v>
      </c>
      <c r="G13" s="7" t="inlineStr">
        <is>
          <t>Il punteggio di 85 riflette un livello di rischio molto elevato. La caduta o l'arresto brusco di un veicolo a motore (scooter) all'interno di un'area di produzione stretta e con macchinari pesanti rappresenta un grave pericolo. L'assembramento caotico di 6-7 operatori, con possibili alterchi fisici e un uso non uniforme dei DPI, aumenta esponenzialmente il rischio di lesioni personali, collisioni secondarie e intralcio alle vie di fuga in caso di emergenza.</t>
        </is>
      </c>
      <c r="H13" s="7" t="n">
        <v>85.66</v>
      </c>
      <c r="I13" s="10" t="inlineStr">
        <is>
          <t>rosso</t>
        </is>
      </c>
      <c r="J13" s="7" t="inlineStr">
        <is>
          <t>{"scene_state": "Area di lavoro industriale attiva con transito di personale e mezzi.", "environmental_conditions": ["Illuminazione interna sufficiente", "Ambiente di lavoro coperto con pavimentazione industriale"], "people": ["Almeno 7 operatori presenti nell'area di lavoro"], "objects": ["Scooter", "Contenitori metallici di grandi dimensioni", "Pallet e carrelli", "Tavoli da lavoro"], "machines": ["Grande pressa industriale di colore verde sul lato sinistro"], "observable_actions": ["Un operatore a bordo di uno scooter si ferma al centro dell'area", "Diversi lavoratori a piedi si avvicinano e si radunano attorno allo scooter", "Un operatore cammina nella parte inferiore sinistra dello schermo"], "visible_ppe": ["Caschi di protezione (gialli e bianchi)", "Uniformi da lavoro (camicie azzurre e pantaloni scuri)"], "notes_visibility_limitations": "Inquadratura dall'alto con risoluzione di sicurezza; alcuni dettagli minori o specifici DPI potrebbero non essere chiaramente visibili."}</t>
        </is>
      </c>
      <c r="K13" s="7" t="inlineStr">
        <is>
          <t>{"unsafe_behaviors": ["Utilizzo di un mezzo di trasporto non industriale (scooter) all'interno di un'area di produzione attiva", "Assembramento di pedoni attorno a un veicolo a motore in transito o fermo in zona operativa"], "vulnerable_elements": ["Operatori a piedi presenti nell'area di transito e manovra dello scooter"], "risk_cues": {"S1_people_vehicle_interference": 0.75, "S2_visibility_attention_reduction": 0.5, "S3_non_compliant_behavior": 0.75, "S4_vehicle_infrastructure_interference": 0.25, "S5_storage_structural_instability": 0.0, "S6_access_to_moving_mechanical_parts": 0.0, "S7_manual_handling_heavy_unstable_loads": 0.0}, "cue_confidence": 0.85, "diagnostic_notes": "La criticità principale è legata alla presenza dello scooter all'interno del reparto produttivo (S1, S3). L'assembramento di diversi operatori attorno al mezzo crea una situazione di potenziale distrazione e ridotta attenzione verso l'ambiente circostante (S2), inclusa la vicina pressa industriale. Non si rilevano rischi immediati di instabilità di carichi o movimentazione manuale pericolosa."}</t>
        </is>
      </c>
      <c r="L13" s="7" t="inlineStr">
        <is>
          <t>{"causal_chain_plausible": true, "causal_chain_text": "L'ingresso di un mezzo non industriale (scooter) in un'area di produzione attiva crea un'interferenza veicolo-pedone. La sosta del mezzo e il conseguente assembramento di lavoratori attorno ad esso riducono l'attenzione visiva e spaziale dei presenti. Una ripartenza improvvisa dello scooter o un movimento distratto di un operatore può causare un impatto diretto o una caduta.", "near_miss_or_incident_scenario": "Collisione a bassa velocità tra lo scooter in fase di manovra/ripartenza e uno dei lavoratori a piedi radunati nelle sue immediate vicinanze, con conseguente rischio di lesioni agli arti inferiori.", "contributing_factors": ["Utilizzo di un mezzo di trasporto non autorizzato/non industriale all'interno del reparto", "Assembramento di personale a piedi attorno a un veicolo fermo in zona operativa", "Riduzione della consapevolezza situazionale e distrazione dei lavoratori vicino a macchinari attivi", "Assenza di barriere o percorsi pedonali protetti e segregati"]}</t>
        </is>
      </c>
      <c r="M13" s="7" t="n">
        <v>65</v>
      </c>
      <c r="N13" s="7" t="inlineStr">
        <is>
          <t>La presenza non autorizzata di uno scooter all'interno del reparto produttivo e l'assembramento di pedoni attorno ad esso generano un rischio significativo di collisione e distrazione in prossimità di macchinari attivi. Questa violazione delle norme di sicurezza riduce la consapevolezza situazionale degli operatori, aumentando la probabilità di infortuni.</t>
        </is>
      </c>
      <c r="O13" s="7" t="n">
        <v>66.59999999999999</v>
      </c>
      <c r="P13" s="8" t="inlineStr">
        <is>
          <t>arancione</t>
        </is>
      </c>
      <c r="Q13" s="7" t="n">
        <v>19.83</v>
      </c>
      <c r="R13" s="7" t="n">
        <v>20.33</v>
      </c>
      <c r="S13" s="11" t="inlineStr">
        <is>
          <t>verde</t>
        </is>
      </c>
      <c r="T13" s="7" t="n">
        <v>0.85</v>
      </c>
      <c r="U13" s="7" t="inlineStr">
        <is>
          <t>La criticità principale è legata alla presenza dello scooter all'interno del reparto produttivo (S1, S3). L'assembramento di diversi operatori attorno al mezzo crea una situazione di potenziale distrazione e ridotta attenzione verso l'ambiente circostante (S2), inclusa la vicina pressa industriale. Non si rilevano rischi immediati di instabilità di carichi o movimentazione manuale pericolosa.</t>
        </is>
      </c>
      <c r="V13" s="7" t="n">
        <v>0.75</v>
      </c>
      <c r="W13" s="7" t="n">
        <v>0.75</v>
      </c>
      <c r="X13" s="7" t="n">
        <v>0.1109</v>
      </c>
      <c r="Y13" s="7" t="n">
        <v>8.317500000000001</v>
      </c>
      <c r="Z13" s="7" t="n">
        <v>41.94</v>
      </c>
      <c r="AA13" s="7" t="n">
        <v>0.5</v>
      </c>
      <c r="AB13" s="7" t="n">
        <v>0.8176</v>
      </c>
      <c r="AC13" s="7" t="n">
        <v>0.037</v>
      </c>
      <c r="AD13" s="7" t="n">
        <v>3.0251</v>
      </c>
      <c r="AE13" s="7" t="n">
        <v>15.26</v>
      </c>
      <c r="AF13" s="7" t="n">
        <v>0.75</v>
      </c>
      <c r="AG13" s="7" t="n">
        <v>0.982</v>
      </c>
      <c r="AH13" s="7" t="n">
        <v>0.0549</v>
      </c>
      <c r="AI13" s="7" t="n">
        <v>5.3912</v>
      </c>
      <c r="AJ13" s="7" t="n">
        <v>27.19</v>
      </c>
      <c r="AK13" s="7" t="n">
        <v>0.25</v>
      </c>
      <c r="AL13" s="7" t="n">
        <v>0.1419</v>
      </c>
      <c r="AM13" s="7" t="n">
        <v>0.1538</v>
      </c>
      <c r="AN13" s="7" t="n">
        <v>2.1824</v>
      </c>
      <c r="AO13" s="7" t="n">
        <v>11.01</v>
      </c>
      <c r="AP13" s="7" t="n">
        <v>0</v>
      </c>
      <c r="AQ13" s="7" t="n">
        <v>0</v>
      </c>
      <c r="AR13" s="7" t="n">
        <v>0.2228</v>
      </c>
      <c r="AS13" s="7" t="n">
        <v>0</v>
      </c>
      <c r="AT13" s="7" t="n">
        <v>0</v>
      </c>
      <c r="AU13" s="7" t="n">
        <v>0</v>
      </c>
      <c r="AV13" s="7" t="n">
        <v>0.0266</v>
      </c>
      <c r="AW13" s="7" t="n">
        <v>0.3447</v>
      </c>
      <c r="AX13" s="7" t="n">
        <v>0.9169</v>
      </c>
      <c r="AY13" s="7" t="n">
        <v>4.62</v>
      </c>
      <c r="AZ13" s="7" t="n">
        <v>0</v>
      </c>
      <c r="BA13" s="7" t="n">
        <v>0</v>
      </c>
      <c r="BB13" s="7" t="n">
        <v>0.0759</v>
      </c>
      <c r="BC13" s="7" t="n">
        <v>0</v>
      </c>
      <c r="BD13" s="7" t="n">
        <v>0</v>
      </c>
    </row>
    <row r="14" ht="34" customHeight="1">
      <c r="A14" s="7" t="n">
        <v>12</v>
      </c>
      <c r="B14" s="7" t="n">
        <v>24</v>
      </c>
      <c r="C14" s="7" t="n">
        <v>28</v>
      </c>
      <c r="D14" s="7" t="n">
        <v>4</v>
      </c>
      <c r="E14" s="7" t="inlineStr">
        <is>
          <t>{"scena_e_contesto": {"descrizione_generale": "Area di lavoro interna di uno stabilimento industriale o logistico con pavimentazione in cemento e presenza di macchinari e attrezzature.", "contesto": "Produzione manifatturiera o lavorazione metalli, caratterizzata da macchinari pesanti e stoccaggio di materiali.", "condizioni_ambientali": "Illuminazione artificiale interna sufficiente; piano di calpestio potenzialmente ingombrato da attrezzature e materiali."}, "soggetti_e_oggetti": {"persone_presenti": "Almeno 6-7 operatori concentrati in un'area ristretta al centro della scena.", "macchinari": "Grande pressa industriale verde sul lato sinistro, parzialmente visibile.", "oggetti": "Contenitori metallici, pallet, carrelli per movimentazione merci e componenti semilavorati.", "dpi_rilevati": "Presenza parziale di elmetti protettivi (uno giallo, uno chiaro); altri operatori non sembrano indossare copricapi protettivi. Abbigliamento da lavoro standard."}, "dinamica_e_azioni": {"azioni_osservabili": "Un gruppo di lavoratori in camicia azzurra è riunito in modo ravvicinato. Si nota un'interazione fisica concitata o un possibile confronto/discussione tra alcuni di loro, con gesti e movimenti di trattenimento.", "limiti_visibilita": "Inquadratura dall'alto e distanza della telecamera limitano la comprensione dei dettagli dei volti e della natura esatta dell'interazione (se di soccorso, alterco o coordinamento)."}, "analisi_rischi": {"ragionamento_causale": "La concentrazione di persone in atteggiamento concitato vicino a macchinari operativi e aree di stoccaggio riduce la consapevolezza situazionale dei singoli.", "sviluppi_rischiosi": "Rischio moderato di cadute accidentali, urti contro le strutture metalliche circostanti o distrazione rispetto al funzionamento dei macchinari attivi.", "fattori_contribuenti": "Spazio di manovra ridotto a causa della presenza di ostacoli a terra e vicinanza a zone di pericolo non delimitate."}}</t>
        </is>
      </c>
      <c r="F14" s="7" t="n">
        <v>70</v>
      </c>
      <c r="G14" s="7" t="inlineStr">
        <is>
          <t>Il punteggio di 70 è giustificato dall'interazione fisica concitata o alterco tra numerosi operatori in un'area ristretta, caratterizzata dalla presenza di macchinari pesanti (pressa industriale) e ostacoli a terra. La ridotta consapevolezza situazionale, unita al mancato utilizzo generalizzato dei DPI (elmetti), eleva significativamente il rischio di cadute accidentali, urti contro strutture metalliche e distrazione rispetto alle fonti di pericolo attive.</t>
        </is>
      </c>
      <c r="H14" s="7" t="n">
        <v>76.26000000000001</v>
      </c>
      <c r="I14" s="10" t="inlineStr">
        <is>
          <t>rosso</t>
        </is>
      </c>
      <c r="J14" s="7" t="inlineStr">
        <is>
          <t>{"scene_state": "Area di lavoro industriale interna con diversi operatori raggruppati al centro.", "environmental_conditions": ["Illuminazione artificiale interna", "Pavimentazione industriale"], "people": ["Un gruppo di circa 6-7 lavoratori riuniti al centro", "Un operatore che si muove verso il gruppo", "Un operatore fermo vicino al macchinario di sinistra"], "objects": ["Contenitori metallici", "Pallet e casse", "Carrelli", "Documenti o materiali a terra"], "machines": ["Grande pressa industriale di colore verde posizionata a sinistra"], "observable_actions": ["Gli operatori sono raggruppati e discutono o interagiscono tra loro", "Un operatore in camicia azzurra cammina verso il gruppo principale"], "visible_ppe": ["Caschi di protezione (giallo e bianchi)", "Uniformi da lavoro (camicie azzurre)"], "notes_visibility_limitations": "La visuale dall'alto e la risoluzione della telecamera di sicurezza limitano la nitidezza dei dettagli."}</t>
        </is>
      </c>
      <c r="K14" s="7" t="inlineStr">
        <is>
          <t>{"unsafe_behaviors": ["Presenza di materiali o documenti a terra che possono costituire un rischio di inciampo", "Raggruppamento di lavoratori in un'area operativa centrale senza apparente delimitazione di sicurezza"], "vulnerable_elements": ["Operatori raggruppati al centro dell'area di lavoro", "Operatore fermo vicino alla pressa industriale"], "risk_cues": {"S1_people_vehicle_interference": 0.0, "S2_visibility_attention_reduction": 0.25, "S3_non_compliant_behavior": 0.25, "S4_vehicle_infrastructure_interference": 0.0, "S5_storage_structural_instability": 0.0, "S6_access_to_moving_mechanical_parts": 0.25, "S7_manual_handling_heavy_unstable_loads": 0.0}, "cue_confidence": 0.7, "diagnostic_notes": "La scena evidenzia un gruppo di operatori concentrati in una discussione al centro dell'officina, il che potrebbe ridurre la loro attenzione verso l'ambiente circostante (S2). La presenza di materiali a terra configura un potenziale rischio di inciampo (S3). Un operatore si trova vicino alla pressa industriale, ma non vi sono evidenze di interazione diretta con organi in movimento (S6). Non si rilevano mezzi in transito o movimentazione di carichi pesanti."}</t>
        </is>
      </c>
      <c r="L14" s="7" t="inlineStr">
        <is>
          <t>{"causal_chain_plausible": true, "causal_chain_text": "La presenza di materiali e documenti a terra crea un pericolo di inciampo in una zona di passaggio. La concentrazione di lavoratori in gruppo riduce la loro attenzione verso l'ambiente circostante. Un operatore che si muove verso o all'interno del gruppo può non avvedere l'ostacolo al suolo, inciampando.", "near_miss_or_incident_scenario": "Un lavoratore del gruppo o l'operatore in movimento non nota i documenti/materiali sul pavimento a causa della distrazione e inciampa, rischiando una caduta al suolo o contro i carrelli e i contenitori metallici vicini.", "contributing_factors": ["Presenza di materiali e documenti disordinati sul pavimento", "Ridotta attenzione dei lavoratori dovuta alla discussione di gruppo", "Mancanza di delimitazione di sicurezza per le aree di riunione rispetto a quelle operative"]}</t>
        </is>
      </c>
      <c r="M14" s="7" t="n">
        <v>35</v>
      </c>
      <c r="N14" s="7" t="inlineStr">
        <is>
          <t>Il rischio è moderato a causa della presenza di materiali a terra che creano un potenziale pericolo di inciampo e della distrazione del gruppo di lavoratori riuniti nell'area operativa. Non si rilevano pericoli imminenti legati a macchinari in movimento o transito di mezzi.</t>
        </is>
      </c>
      <c r="O14" s="7" t="n">
        <v>47.64</v>
      </c>
      <c r="P14" s="9" t="inlineStr">
        <is>
          <t>giallo</t>
        </is>
      </c>
      <c r="Q14" s="7" t="n">
        <v>15.87</v>
      </c>
      <c r="R14" s="7" t="n">
        <v>17.65</v>
      </c>
      <c r="S14" s="11" t="inlineStr">
        <is>
          <t>verde</t>
        </is>
      </c>
      <c r="T14" s="7" t="n">
        <v>0.7</v>
      </c>
      <c r="U14" s="7" t="inlineStr">
        <is>
          <t>La scena evidenzia un gruppo di operatori concentrati in una discussione al centro dell'officina, il che potrebbe ridurre la loro attenzione verso l'ambiente circostante (S2). La presenza di materiali a terra configura un potenziale rischio di inciampo (S3). Un operatore si trova vicino alla pressa industriale, ma non vi sono evidenze di interazione diretta con organi in movimento (S6). Non si rilevano mezzi in transito o movimentazione di carichi pesanti.</t>
        </is>
      </c>
      <c r="V14" s="7" t="n">
        <v>0</v>
      </c>
      <c r="W14" s="7" t="n">
        <v>0</v>
      </c>
      <c r="X14" s="7" t="n">
        <v>0.1109</v>
      </c>
      <c r="Y14" s="7" t="n">
        <v>0</v>
      </c>
      <c r="Z14" s="7" t="n">
        <v>0</v>
      </c>
      <c r="AA14" s="7" t="n">
        <v>0.25</v>
      </c>
      <c r="AB14" s="7" t="n">
        <v>0.5553</v>
      </c>
      <c r="AC14" s="7" t="n">
        <v>0.037</v>
      </c>
      <c r="AD14" s="7" t="n">
        <v>2.0546</v>
      </c>
      <c r="AE14" s="7" t="n">
        <v>12.95</v>
      </c>
      <c r="AF14" s="7" t="n">
        <v>0.25</v>
      </c>
      <c r="AG14" s="7" t="n">
        <v>0.2689</v>
      </c>
      <c r="AH14" s="7" t="n">
        <v>0.0549</v>
      </c>
      <c r="AI14" s="7" t="n">
        <v>1.4763</v>
      </c>
      <c r="AJ14" s="7" t="n">
        <v>9.300000000000001</v>
      </c>
      <c r="AK14" s="7" t="n">
        <v>0</v>
      </c>
      <c r="AL14" s="7" t="n">
        <v>0.008200000000000001</v>
      </c>
      <c r="AM14" s="7" t="n">
        <v>0.1538</v>
      </c>
      <c r="AN14" s="7" t="n">
        <v>0.1261</v>
      </c>
      <c r="AO14" s="7" t="n">
        <v>0.79</v>
      </c>
      <c r="AP14" s="7" t="n">
        <v>0</v>
      </c>
      <c r="AQ14" s="7" t="n">
        <v>0</v>
      </c>
      <c r="AR14" s="7" t="n">
        <v>0.2228</v>
      </c>
      <c r="AS14" s="7" t="n">
        <v>0</v>
      </c>
      <c r="AT14" s="7" t="n">
        <v>0</v>
      </c>
      <c r="AU14" s="7" t="n">
        <v>0.25</v>
      </c>
      <c r="AV14" s="7" t="n">
        <v>0.3543</v>
      </c>
      <c r="AW14" s="7" t="n">
        <v>0.3447</v>
      </c>
      <c r="AX14" s="7" t="n">
        <v>12.2127</v>
      </c>
      <c r="AY14" s="7" t="n">
        <v>76.95</v>
      </c>
      <c r="AZ14" s="7" t="n">
        <v>0</v>
      </c>
      <c r="BA14" s="7" t="n">
        <v>0</v>
      </c>
      <c r="BB14" s="7" t="n">
        <v>0.0759</v>
      </c>
      <c r="BC14" s="7" t="n">
        <v>0</v>
      </c>
      <c r="BD14" s="7" t="n">
        <v>0</v>
      </c>
    </row>
    <row r="15" ht="34" customHeight="1">
      <c r="A15" s="7" t="n">
        <v>13</v>
      </c>
      <c r="B15" s="7" t="n">
        <v>26</v>
      </c>
      <c r="C15" s="7" t="n">
        <v>30</v>
      </c>
      <c r="D15" s="7" t="n">
        <v>4</v>
      </c>
      <c r="E15" s="7" t="inlineStr">
        <is>
          <t>{"analisi_scena": {"contesto": "Stabilimento industriale con macchinari pesanti e aree di stoccaggio.", "descrizione_generale": "Un gruppo di operatori è riunito al centro dell'area di lavoro, vicino a una pressa industriale e a carrelli di materiale."}, "soggetti_e_oggetti": {"persone": "Almeno sei operatori visibili. Un gruppo centrale di cinque persone in camicia azzurra e pantaloni scuri, un operatore con casco giallo vicino alla pressa, e un altro sulla destra.", "macchinari_e_attrezzature": "Grande pressa industriale verde (sinistra), carrelli metallici, pallet con componenti, tavoli da lavoro."}, "dinamiche_e_azioni": {"attivita_rilevate": "Il gruppo centrale è fermo in cerchio, apparentemente impegnato in una discussione o coordinamento ravvicinato. L'operatore vicino alla pressa osserva o attende."}, "condizioni_ambientali_e_visibilita": {"illuminazione": "Artificiale, tipica da capannone industriale.", "limiti_visivi": "Inquadratura dall'alto che limita la visibilità dei dettagli dei volti e delle mani dei soggetti nel gruppo centrale causa reciproco occultamento."}, "analisi_sicurezza": {"dpi_rilevati": "Casco di protezione giallo visibile su un operatore. Altri membri del gruppo centrale sembrano non indossare il casco protettivo.", "fattori_di_rischio": "Presenza di un gruppo di persone ferme in una zona di transito e operativa vicino a macchinari pesanti. Possibile distrazione rispetto alle attività circostanti.", "sviluppi_rischiosi_plausibili": "Rischio di urto accidentale con carrelli in movimento o materiali movimentati a causa della sosta in area operativa senza adeguata distanza di sicurezza."}}</t>
        </is>
      </c>
      <c r="F15" s="7" t="n">
        <v>50</v>
      </c>
      <c r="G15" s="7" t="inlineStr">
        <is>
          <t>Il punteggio di 50 indica un rischio moderato. Si rileva un gruppo di operatori fermo in un'area operativa e di transito vicino a macchinari pesanti, configurando una potenziale situazione di intralcio e distrazione. Inoltre, la maggior parte dei soggetti nel gruppo centrale sembra priva di casco protettivo, aumentando la vulnerabilità a urti accidentali o caduta di materiali in un contesto industriale.</t>
        </is>
      </c>
      <c r="H15" s="7" t="n">
        <v>60.5</v>
      </c>
      <c r="I15" s="8" t="inlineStr">
        <is>
          <t>arancione</t>
        </is>
      </c>
      <c r="J15" s="7" t="inlineStr">
        <is>
          <t>{"scene_state": "Area di lavoro industriale con presenza di personale e macchinari.", "environmental_conditions": ["Illuminazione artificiale", "Pavimentazione in cemento"], "people": ["Un gruppo di circa 5-6 lavoratori in camicia azzurra e pantaloni scuri", "Un lavoratore con casco giallo vicino alla pressa verde", "Una persona parzialmente visibile sullo sfondo"], "objects": ["Pallet metallici", "Contenitori e casse", "Tavoli da lavoro", "Materiali sparsi sul pavimento"], "machines": ["Grande pressa industriale verde sulla sinistra", "Strutture di carrelli o macchinari sul lato destro"], "observable_actions": ["I lavoratori in azzurro sono fermi in gruppo e interagiscono tra loro", "Il lavoratore vicino alla pressa è in piedi in posizione statica"], "visible_ppe": ["Elmetto protettivo giallo", "Elmetti protettivi bianchi", "Divise da lavoro"], "notes_visibility_limitations": "Inquadratura dall'alto con risoluzione medio-bassa che limita la visibilità dei dettagli minuti."}</t>
        </is>
      </c>
      <c r="K15" s="7" t="inlineStr">
        <is>
          <t>{"unsafe_behaviors": ["Presenza di materiali sparsi sul pavimento che ostruiscono i passaggi", "Stazionamento di un gruppo di lavoratori in un'area potenzialmente operativa senza apparente attività produttiva in corso"], "vulnerable_elements": ["Gruppo di lavoratori in camicia azzurra", "Lavoratore vicino alla pressa industriale"], "risk_cues": {"S1_people_vehicle_interference": 0.0, "S2_visibility_attention_reduction": 0.25, "S3_non_compliant_behavior": 0.5, "S4_vehicle_infrastructure_interference": 0.0, "S5_storage_structural_instability": 0.25, "S6_access_to_moving_mechanical_parts": 0.0, "S7_manual_handling_heavy_unstable_loads": 0.0}, "cue_confidence": 0.7, "diagnostic_notes": "La presenza di materiali sparsi sul pavimento rappresenta un rischio di inciampo e indica una non conformità nella gestione dell'ordine e della pulizia (S3). Il gruppo di lavoratori fermo a discutere potrebbe presentare una parziale riduzione dell'attenzione rispetto ai rischi dell'ambiente industriale circostante (S2). Non si osservano mezzi in movimento o interazioni dirette con organi meccanici o carichi pesanti in questa finestra temporale."}</t>
        </is>
      </c>
      <c r="L15" s="7" t="inlineStr">
        <is>
          <t>{"causal_chain_plausible": true, "causal_chain_text": "La presenza di materiali sparsi sul pavimento crea un immediato pericolo d'inciampo. I lavoratori, concentrati nell'interazione di gruppo e parzialmente distratti, potrebbero muoversi senza prestare attenzione al piano di calpestio, urtando gli ostacoli e perdendo l'equilibrio.", "near_miss_or_incident_scenario": "Un lavoratore del gruppo decide di spostarsi, non nota un oggetto sul cemento a causa della distrazione, inciampa e cade rovinosamente a terra o contro un macchinario.", "contributing_factors": ["Presenza di ostacoli e materiali non stoccati correttamente sul pavimento", "Distrazione dei lavoratori impegnati in attività non produttive in area operativa", "Carenza di housekeeping e gestione dell'ordine nei passaggi"]}</t>
        </is>
      </c>
      <c r="M15" s="7" t="n">
        <v>35</v>
      </c>
      <c r="N15" s="7" t="inlineStr">
        <is>
          <t>Il rischio è moderato a causa della presenza di materiali sparsi sul pavimento che creano un potenziale pericolo di inciampo per i lavoratori parzialmente distratti. L'assenza di mezzi in movimento o di lavorazioni ad alto rischio attive riduce la probabilità di incidenti gravi in questa finestra temporale.</t>
        </is>
      </c>
      <c r="O15" s="7" t="n">
        <v>40.06</v>
      </c>
      <c r="P15" s="9" t="inlineStr">
        <is>
          <t>giallo</t>
        </is>
      </c>
      <c r="Q15" s="7" t="n">
        <v>8.390000000000001</v>
      </c>
      <c r="R15" s="7" t="n">
        <v>12.09</v>
      </c>
      <c r="S15" s="11" t="inlineStr">
        <is>
          <t>verde</t>
        </is>
      </c>
      <c r="T15" s="7" t="n">
        <v>0.7</v>
      </c>
      <c r="U15" s="7" t="inlineStr">
        <is>
          <t>La presenza di materiali sparsi sul pavimento rappresenta un rischio di inciampo e indica una non conformità nella gestione dell'ordine e della pulizia (S3). Il gruppo di lavoratori fermo a discutere potrebbe presentare una parziale riduzione dell'attenzione rispetto ai rischi dell'ambiente industriale circostante (S2). Non si osservano mezzi in movimento o interazioni dirette con organi meccanici o carichi pesanti in questa finestra temporale.</t>
        </is>
      </c>
      <c r="V15" s="7" t="n">
        <v>0</v>
      </c>
      <c r="W15" s="7" t="n">
        <v>0</v>
      </c>
      <c r="X15" s="7" t="n">
        <v>0.1109</v>
      </c>
      <c r="Y15" s="7" t="n">
        <v>0</v>
      </c>
      <c r="Z15" s="7" t="n">
        <v>0</v>
      </c>
      <c r="AA15" s="7" t="n">
        <v>0.25</v>
      </c>
      <c r="AB15" s="7" t="n">
        <v>0.5553</v>
      </c>
      <c r="AC15" s="7" t="n">
        <v>0.037</v>
      </c>
      <c r="AD15" s="7" t="n">
        <v>2.0546</v>
      </c>
      <c r="AE15" s="7" t="n">
        <v>24.49</v>
      </c>
      <c r="AF15" s="7" t="n">
        <v>0.5</v>
      </c>
      <c r="AG15" s="7" t="n">
        <v>0.8176</v>
      </c>
      <c r="AH15" s="7" t="n">
        <v>0.0549</v>
      </c>
      <c r="AI15" s="7" t="n">
        <v>4.4886</v>
      </c>
      <c r="AJ15" s="7" t="n">
        <v>53.5</v>
      </c>
      <c r="AK15" s="7" t="n">
        <v>0</v>
      </c>
      <c r="AL15" s="7" t="n">
        <v>0.008200000000000001</v>
      </c>
      <c r="AM15" s="7" t="n">
        <v>0.1538</v>
      </c>
      <c r="AN15" s="7" t="n">
        <v>0.1261</v>
      </c>
      <c r="AO15" s="7" t="n">
        <v>1.5</v>
      </c>
      <c r="AP15" s="7" t="n">
        <v>0.25</v>
      </c>
      <c r="AQ15" s="7" t="n">
        <v>0.0359</v>
      </c>
      <c r="AR15" s="7" t="n">
        <v>0.2228</v>
      </c>
      <c r="AS15" s="7" t="n">
        <v>0.7999000000000001</v>
      </c>
      <c r="AT15" s="7" t="n">
        <v>9.529999999999999</v>
      </c>
      <c r="AU15" s="7" t="n">
        <v>0</v>
      </c>
      <c r="AV15" s="7" t="n">
        <v>0.0266</v>
      </c>
      <c r="AW15" s="7" t="n">
        <v>0.3447</v>
      </c>
      <c r="AX15" s="7" t="n">
        <v>0.9169</v>
      </c>
      <c r="AY15" s="7" t="n">
        <v>10.93</v>
      </c>
      <c r="AZ15" s="7" t="n">
        <v>0</v>
      </c>
      <c r="BA15" s="7" t="n">
        <v>0</v>
      </c>
      <c r="BB15" s="7" t="n">
        <v>0.0759</v>
      </c>
      <c r="BC15" s="7" t="n">
        <v>0</v>
      </c>
      <c r="BD15" s="7" t="n">
        <v>0</v>
      </c>
    </row>
    <row r="16" ht="34" customHeight="1">
      <c r="A16" s="7" t="n">
        <v>14</v>
      </c>
      <c r="B16" s="7" t="n">
        <v>28</v>
      </c>
      <c r="C16" s="7" t="n">
        <v>32</v>
      </c>
      <c r="D16" s="7" t="n">
        <v>4</v>
      </c>
      <c r="E16" s="7" t="inlineStr">
        <is>
          <t>{"analisi_scena": {"descrizione_generale": "Area di lavoro interna di uno stabilimento industriale con un gruppo di operatori radunati al centro e macchinari circostanti.", "contesto": "Produzione manifatturiera o lavorazione metalli, caratterizzato da macchinari pesanti e stoccaggio materiali."}, "soggetti_e_oggetti": {"persone_presenti": "Circa 7-8 operatori. Un gruppo è fermo a discutere al centro; un operatore si muove vicino alla pressa a sinistra; un altro si avvicina al gruppo dal basso a fine clip.", "macchinari": "Grande pressa industriale verde sul lato sinistro, parzialmente visibile.", "oggetti_attrezzature": "Pallet metallici, contenitori industriali, tavoli da lavoro, lamiere e materiali di scarto a terra."}, "dinamiche_e_azioni": {"azioni_osservabili": "Gli operatori al centro discutono e gesticolano. Un lavoratore cammina verso di loro. Non si osservano macchinari in movimento attivo in questa specifica area durante la clip."}, "condizioni_ambientali_e_visibilita": {"condizioni_ambientali": "Illuminazione interna artificiale, pavimentazione industriale con segni di usura e presenza di ostacoli a terra.", "limiti_visibilita": "Inquadratura dall'alto che limita la percezione dei dettagli dei volti e dei movimenti precisi delle mani. Alcuni operatori si coprono a vicenda."}, "analisi_sicurezza": {"dpi_rilevati": "Alcuni operatori indossano elmetti protettivi (gialli e bianchi) e calzature di sicurezza. Altri membri del gruppo sembrano privi di elmetto protettivo.", "fattori_contribuenti": "Presenza di materiali e attrezzature sparsi sul pavimento che riducono lo spazio di manovra sicuro. Concentrazione di persone in una zona di transito/lavoro.", "sviluppi_rischiosi_plausibili": "Rischio di inciampo o scivolamento dovuto ai materiali a terra. Possibile distrazione dei lavoratori rispetto all'ambiente circostante durante la discussione di gruppo. Mancato uso uniforme dei DPI (elmetti) espone alcuni soggetti a rischi di impatto dall'alto o urti."}}</t>
        </is>
      </c>
      <c r="F16" s="7" t="n">
        <v>40</v>
      </c>
      <c r="G16" s="7" t="inlineStr">
        <is>
          <t>Il punteggio di 40 indica un rischio moderato. Pur in assenza di macchinari in movimento attivo, si rilevano fattori di rischio significativi: il mancato uso uniforme dei DPI (elmetti) da parte di alcuni lavoratori, la presenza di ostacoli e materiali di scarto a terra che favoriscono il rischio di inciampo, e la concentrazione di un gruppo di persone in una zona di transito/lavoro che può generare distrazione.</t>
        </is>
      </c>
      <c r="H16" s="7" t="n">
        <v>48.2</v>
      </c>
      <c r="I16" s="9" t="inlineStr">
        <is>
          <t>giallo</t>
        </is>
      </c>
      <c r="J16" s="7" t="inlineStr">
        <is>
          <t>{"scene_state": "Area di lavoro industriale interna con diversi operatori riuniti al centro.", "environmental_conditions": ["Illuminazione artificiale interna", "Pavimentazione in cemento con attrezzature e materiali disposti nell'area"], "people": ["Un gruppo di circa 5-6 persone riunite in cerchio al centro", "Un operatore vicino alla macchina verde a sinistra", "Un operatore che cammina dal basso verso il centro della scena", "Un operatore nella parte superiore vicino a un carrello"], "objects": ["Pallet in legno e metallo", "Tavoli da lavoro", "Contenitori metallici", "Materiali a terra"], "machines": ["Grande pressa industriale di colore verde sulla sinistra", "Carrelli industriali su ruote"], "observable_actions": ["Un gruppo di lavoratori discute in cerchio", "Un uomo si unisce al gruppo camminando dal basso", "Un operatore rimane fermo vicino alla pressa"], "visible_ppe": ["Caschi protettivi (gialli e bianchi) visibili su alcuni operatori", "Divise da lavoro (camicie azzurre e pantaloni scuri)"], "notes_visibility_limitations": "Inquadratura dall'alto che limita la visibilità dei dettagli dei volti e di alcuni DPI specifici."}</t>
        </is>
      </c>
      <c r="K16" s="7" t="inlineStr">
        <is>
          <t>{"unsafe_behaviors": ["Sosta prolungata di un gruppo di operatori al centro dell'area di transito/lavoro", "Potenziale distrazione dei lavoratori riuniti in cerchio rispetto all'ambiente circostante"], "vulnerable_elements": ["Gruppo di 5-6 operatori riuniti al centro", "Operatore che cammina nell'area di transito"], "risk_cues": {"S1_people_vehicle_interference": 0.0, "S2_visibility_attention_reduction": 0.25, "S3_non_compliant_behavior": 0.25, "S4_vehicle_infrastructure_interference": 0.0, "S5_storage_structural_instability": 0.25, "S6_access_to_moving_mechanical_parts": 0.25, "S7_manual_handling_heavy_unstable_loads": 0.0}, "cue_confidence": 0.8, "diagnostic_notes": "La scena evidenzia un gruppo di operatori riuniti al centro dell'area di lavoro per una discussione. Questo comportamento, sebbene non immediatamente pericoloso in assenza di mezzi in movimento attivi, riduce la soglia di attenzione spaziale (S2) e avviene in una zona di transito non specificamente protetta (S3). Si nota la presenza di materiali e attrezzature a terra che potrebbero costituire un rischio d'inciampo (S5). Un operatore staziona vicino alla pressa ma senza interagire direttamente con parti in movimento (S6)."}</t>
        </is>
      </c>
      <c r="L16" s="7" t="inlineStr">
        <is>
          <t>{"causal_chain_plausible": true, "causal_chain_text": "La sosta prolungata del gruppo al centro dell'area di transito riduce la consapevolezza situazionale dei lavoratori. Un operatore in movimento, distratto dalla discussione o con la visuale parzialmente ostruita, può non avvedersi dei materiali e delle attrezzature presenti a terra, provocando un inciampo o una collisione.", "near_miss_or_incident_scenario": "Inciampo e caduta a terra di un operatore a causa di ostacoli non segnalati sul pavimento, favorito dalla distrazione dovuta alla riunione in corso nell'area di transito.", "contributing_factors": ["Presenza di materiali e attrezzature disposti disordinatamente a terra", "Sosta e discussione di gruppo in una zona di transito non protetta", "Riduzione dell'attenzione spaziale dei lavoratori coinvolti nella discussione", "Mancanza di una delimitazione chiara delle aree di passaggio rispetto a quelle di lavoro"]}</t>
        </is>
      </c>
      <c r="M16" s="7" t="n">
        <v>35</v>
      </c>
      <c r="N16" s="7" t="inlineStr">
        <is>
          <t>Il punteggio riflette un rischio moderato dovuto alla sosta di un gruppo di lavoratori in un'area di transito con materiali a terra, che aumenta il rischio di inciampo e riduce la soglia di attenzione. Non si rilevano tuttavia pericoli immediati legati a mezzi in movimento o lavorazioni ad alto rischio in corso.</t>
        </is>
      </c>
      <c r="O16" s="7" t="n">
        <v>37.02</v>
      </c>
      <c r="P16" s="9" t="inlineStr">
        <is>
          <t>giallo</t>
        </is>
      </c>
      <c r="Q16" s="7" t="n">
        <v>16.67</v>
      </c>
      <c r="R16" s="7" t="n">
        <v>16.91</v>
      </c>
      <c r="S16" s="11" t="inlineStr">
        <is>
          <t>verde</t>
        </is>
      </c>
      <c r="T16" s="7" t="n">
        <v>0.8</v>
      </c>
      <c r="U16" s="7" t="inlineStr">
        <is>
          <t>La scena evidenzia un gruppo di operatori riuniti al centro dell'area di lavoro per una discussione. Questo comportamento, sebbene non immediatamente pericoloso in assenza di mezzi in movimento attivi, riduce la soglia di attenzione spaziale (S2) e avviene in una zona di transito non specificamente protetta (S3). Si nota la presenza di materiali e attrezzature a terra che potrebbero costituire un rischio d'inciampo (S5). Un operatore staziona vicino alla pressa ma senza interagire direttamente con parti in movimento (S6).</t>
        </is>
      </c>
      <c r="V16" s="7" t="n">
        <v>0</v>
      </c>
      <c r="W16" s="7" t="n">
        <v>0</v>
      </c>
      <c r="X16" s="7" t="n">
        <v>0.1109</v>
      </c>
      <c r="Y16" s="7" t="n">
        <v>0</v>
      </c>
      <c r="Z16" s="7" t="n">
        <v>0</v>
      </c>
      <c r="AA16" s="7" t="n">
        <v>0.25</v>
      </c>
      <c r="AB16" s="7" t="n">
        <v>0.5553</v>
      </c>
      <c r="AC16" s="7" t="n">
        <v>0.037</v>
      </c>
      <c r="AD16" s="7" t="n">
        <v>2.0546</v>
      </c>
      <c r="AE16" s="7" t="n">
        <v>12.33</v>
      </c>
      <c r="AF16" s="7" t="n">
        <v>0.25</v>
      </c>
      <c r="AG16" s="7" t="n">
        <v>0.2689</v>
      </c>
      <c r="AH16" s="7" t="n">
        <v>0.0549</v>
      </c>
      <c r="AI16" s="7" t="n">
        <v>1.4763</v>
      </c>
      <c r="AJ16" s="7" t="n">
        <v>8.859999999999999</v>
      </c>
      <c r="AK16" s="7" t="n">
        <v>0</v>
      </c>
      <c r="AL16" s="7" t="n">
        <v>0.008200000000000001</v>
      </c>
      <c r="AM16" s="7" t="n">
        <v>0.1538</v>
      </c>
      <c r="AN16" s="7" t="n">
        <v>0.1261</v>
      </c>
      <c r="AO16" s="7" t="n">
        <v>0.76</v>
      </c>
      <c r="AP16" s="7" t="n">
        <v>0.25</v>
      </c>
      <c r="AQ16" s="7" t="n">
        <v>0.0359</v>
      </c>
      <c r="AR16" s="7" t="n">
        <v>0.2228</v>
      </c>
      <c r="AS16" s="7" t="n">
        <v>0.7999000000000001</v>
      </c>
      <c r="AT16" s="7" t="n">
        <v>4.8</v>
      </c>
      <c r="AU16" s="7" t="n">
        <v>0.25</v>
      </c>
      <c r="AV16" s="7" t="n">
        <v>0.3543</v>
      </c>
      <c r="AW16" s="7" t="n">
        <v>0.3447</v>
      </c>
      <c r="AX16" s="7" t="n">
        <v>12.2127</v>
      </c>
      <c r="AY16" s="7" t="n">
        <v>73.26000000000001</v>
      </c>
      <c r="AZ16" s="7" t="n">
        <v>0</v>
      </c>
      <c r="BA16" s="7" t="n">
        <v>0</v>
      </c>
      <c r="BB16" s="7" t="n">
        <v>0.0759</v>
      </c>
      <c r="BC16" s="7" t="n">
        <v>0</v>
      </c>
      <c r="BD16" s="7" t="n">
        <v>0</v>
      </c>
    </row>
    <row r="17" ht="34" customHeight="1">
      <c r="A17" s="7" t="n">
        <v>15</v>
      </c>
      <c r="B17" s="7" t="n">
        <v>30</v>
      </c>
      <c r="C17" s="7" t="n">
        <v>34</v>
      </c>
      <c r="D17" s="7" t="n">
        <v>4</v>
      </c>
      <c r="E17" s="7" t="inlineStr">
        <is>
          <t>{"metadati": {"intervallo_temporale": "30.0 - 34.0 secondi", "durata": "4.0 secondi"}, "descrizione_scena": {"contesto": "Area di produzione o assemblaggio industriale con presenza di macchinari pesanti, postazioni di lavoro e materiali stoccati a terra.", "macchinari_e_attrezzature": [{"tipo": "Pressa industriale o macchinario di stampaggio", "colore": "Verde", "posizione": "Lato sinistro dell'inquadratura"}, {"tipo": "Contenitori metallici e pallet", "dettagli": "Ceste metalliche per lo stoccaggio di componenti e pallet in legno/metallo distribuiti nell'area di transito."}], "condizioni_ambientali": {"illuminazione": "Artificiale, tipica da capannone industriale, sufficiente ma con ombre marcate.", "pulizia_e_ordine": "Presenza di materiale sparso sul pavimento (fogli, piccoli detriti) vicino alla base del macchinario verde, che costituisce potenziale intralcio."}}, "analisi_personale": {"persone_rilevate": 8, "attivita": "Un gruppo di circa 7 operatori è radunato al centro dell'area di transito, apparentemente impegnato in una discussione o coordinamento. Un ulteriore operatore si muove dal primo piano verso il gruppo.", "dispositivi_protezione_individuale": {"elmetti": "Alcuni operatori indossano elmetti protettivi (gialli e bianchi), mentre per altri la presenza dell'elmetto non è chiaramente distinguibile a causa della risoluzione e dell'angolazione.", "abbigliamento": "Divise da lavoro (camicie/maglie azzurre e pantaloni scuri, un operatore in rosso).", "calzature_e_altri_dpi": "Non chiaramente verificabili dalla distanza della telecamera."}}, "limiti_osservativi": {"occlusioni_e_ambiguita": "La telecamera è posizionata in alto (vista zenitale angolata). Questo limita la visibilità dei dettagli del viso, dei cartelli di segnaletica orizzontale (se presenti) e della tipologia esatta di calzature di sicurezza utilizzate."}, "valutazione_rischi_safety": {"fattori_di_rischio_osservati": [{"categoria": "Layout e Viabilità", "descrizione": "Mancanza di linee di demarcazione chiare per i percorsi pedonali sicuri. Gli operatori sostano e transitano direttamente nell'area operativa e di movimentazione carichi."}, {"categoria": "Inciampo e Caduta", "descrizione": "Presenza di oggetti e fogli sul pavimento nelle immediate vicinanze delle zone di passaggio."}], "sviluppi_rischiosi_plausibili": [{"scenario": "Inciampo o scivolamento", "causa": "Presenza di detriti/fogli non rimossi sul pavimento durante il transito dei lavoratori."}, {"scenario": "Interferenza uomo-macchina / uomo-carico", "causa": "La sosta prolungata del gruppo di lavoratori al centro della via di transito espone gli stessi a rischi di investimento qualora sopraggiungessero mezzi di movimentazione interna (es. carrelli elevatori)."}]}}</t>
        </is>
      </c>
      <c r="F17" s="7" t="n">
        <v>55</v>
      </c>
      <c r="G17" s="7" t="inlineStr">
        <is>
          <t>Il punteggio di 55 è giustificato dalla sosta di un gruppo numeroso di operatori (8 persone) direttamente al centro di un'area di transito operativo priva di segnaletica orizzontale di sicurezza. Questa situazione, unita alla presenza di detriti e fogli sul pavimento (rischio inciampo) e alla non verificabilità dei DPI per tutti i soggetti, configura una situazione di rischio moderato-alto per la sicurezza dei lavoratori.</t>
        </is>
      </c>
      <c r="H17" s="7" t="n">
        <v>56.03</v>
      </c>
      <c r="I17" s="8" t="inlineStr">
        <is>
          <t>arancione</t>
        </is>
      </c>
      <c r="J17" s="7" t="inlineStr">
        <is>
          <t>{"scene_state": "Area interna di uno stabilimento industriale con operai raggruppati al centro.", "environmental_conditions": ["Illuminazione artificiale interna", "Pavimentazione industriale con detriti"], "people": ["Gruppo di circa 7-8 lavoratori", "Un lavoratore in primo piano che cammina verso il gruppo"], "objects": ["Pallet", "Contenitori metallici", "Sacchi e materiali di scarto"], "machines": ["Grande macchinario industriale verde sulla sinistra"], "observable_actions": ["I lavoratori interagiscono in gruppo", "Un uomo cammina di spalle verso il centro della scena"], "visible_ppe": ["Caschi di protezione (gialli e bianchi)", "Abbigliamento da lavoro"], "notes_visibility_limitations": "Inquadratura dall'alto e risoluzione limitano la nitidezza dei dettagli."}</t>
        </is>
      </c>
      <c r="K17" s="7" t="inlineStr">
        <is>
          <t>{"unsafe_behaviors": ["Stazionamento e transito in un'area operativa con presenza di detriti e materiali di scarto al suolo"], "vulnerable_elements": ["Lavoratori presenti nell'area centrale", "Lavoratore in primo piano che cammina verso il gruppo"], "risk_cues": {"S1_people_vehicle_interference": 0.0, "S2_visibility_attention_reduction": 0.25, "S3_non_compliant_behavior": 0.25, "S4_vehicle_infrastructure_interference": 0.0, "S5_storage_structural_instability": 0.25, "S6_access_to_moving_mechanical_parts": 0.0, "S7_manual_handling_heavy_unstable_loads": 0.0}, "cue_confidence": 0.7, "diagnostic_notes": "La scena evidenzia un potenziale rischio di inciampo dovuto alla presenza di detriti, sacchi e materiali di scarto sulla pavimentazione industriale (S2, S3, S5). I lavoratori indossano i caschi di protezione. Non si osservano mezzi di movimentazione in transito (S1, S4), interventi su organi meccanici in movimento (S6) o attività di movimentazione manuale dei carichi (S7). La risoluzione e l'inquadratura dall'alto limitano la visibilità fine dei dettagli."}</t>
        </is>
      </c>
      <c r="L17" s="7" t="inlineStr">
        <is>
          <t>{"causal_chain_plausible": true, "causal_chain_text": "La presenza di detriti, sacchi e materiali di scarto sulla pavimentazione, combinata con il transito dei lavoratori e la loro interazione di gruppo, crea un rischio d'inciampo. Un lavoratore in movimento, distratto dall'interazione, potrebbe non notare un ostacolo al suolo, perdere l'equilibrio e cadere.", "near_miss_or_incident_scenario": "Un lavoratore inciampa su un detrito o materiale di scarto mentre cammina verso il gruppo, rischiando una caduta al livello del suolo con potenziali lesioni o contusioni.", "contributing_factors": ["Presenza di detriti, sacchi e materiali di scarto sulla pavimentazione industriale", "Transito e stazionamento di lavoratori in un'area operativa non sgombra da ostacoli", "Possibile riduzione dell'attenzione visiva al suolo dovuta all'interazione sociale tra i lavoratori"]}</t>
        </is>
      </c>
      <c r="M17" s="7" t="n">
        <v>35</v>
      </c>
      <c r="N17" s="7" t="inlineStr">
        <is>
          <t>Il rischio è moderato a causa della presenza di detriti e materiali di scarto sulla pavimentazione che aumentano il pericolo di inciampo per i lavoratori nell'area. L'uso dei caschi protettivi e l'assenza di mezzi in movimento o carichi sospesi riducono la potenziale gravità di un incidente.</t>
        </is>
      </c>
      <c r="O17" s="7" t="n">
        <v>35.81</v>
      </c>
      <c r="P17" s="9" t="inlineStr">
        <is>
          <t>giallo</t>
        </is>
      </c>
      <c r="Q17" s="7" t="n">
        <v>5.37</v>
      </c>
      <c r="R17" s="7" t="n">
        <v>9.99</v>
      </c>
      <c r="S17" s="11" t="inlineStr">
        <is>
          <t>verde</t>
        </is>
      </c>
      <c r="T17" s="7" t="n">
        <v>0.7</v>
      </c>
      <c r="U17" s="7" t="inlineStr">
        <is>
          <t>La scena evidenzia un potenziale rischio di inciampo dovuto alla presenza di detriti, sacchi e materiali di scarto sulla pavimentazione industriale (S2, S3, S5). I lavoratori indossano i caschi di protezione. Non si osservano mezzi di movimentazione in transito (S1, S4), interventi su organi meccanici in movimento (S6) o attività di movimentazione manuale dei carichi (S7). La risoluzione e l'inquadratura dall'alto limitano la visibilità fine dei dettagli.</t>
        </is>
      </c>
      <c r="V17" s="7" t="n">
        <v>0</v>
      </c>
      <c r="W17" s="7" t="n">
        <v>0</v>
      </c>
      <c r="X17" s="7" t="n">
        <v>0.1109</v>
      </c>
      <c r="Y17" s="7" t="n">
        <v>0</v>
      </c>
      <c r="Z17" s="7" t="n">
        <v>0</v>
      </c>
      <c r="AA17" s="7" t="n">
        <v>0.25</v>
      </c>
      <c r="AB17" s="7" t="n">
        <v>0.5553</v>
      </c>
      <c r="AC17" s="7" t="n">
        <v>0.037</v>
      </c>
      <c r="AD17" s="7" t="n">
        <v>2.0546</v>
      </c>
      <c r="AE17" s="7" t="n">
        <v>38.26</v>
      </c>
      <c r="AF17" s="7" t="n">
        <v>0.25</v>
      </c>
      <c r="AG17" s="7" t="n">
        <v>0.2689</v>
      </c>
      <c r="AH17" s="7" t="n">
        <v>0.0549</v>
      </c>
      <c r="AI17" s="7" t="n">
        <v>1.4763</v>
      </c>
      <c r="AJ17" s="7" t="n">
        <v>27.49</v>
      </c>
      <c r="AK17" s="7" t="n">
        <v>0</v>
      </c>
      <c r="AL17" s="7" t="n">
        <v>0.008200000000000001</v>
      </c>
      <c r="AM17" s="7" t="n">
        <v>0.1538</v>
      </c>
      <c r="AN17" s="7" t="n">
        <v>0.1261</v>
      </c>
      <c r="AO17" s="7" t="n">
        <v>2.35</v>
      </c>
      <c r="AP17" s="7" t="n">
        <v>0.25</v>
      </c>
      <c r="AQ17" s="7" t="n">
        <v>0.0359</v>
      </c>
      <c r="AR17" s="7" t="n">
        <v>0.2228</v>
      </c>
      <c r="AS17" s="7" t="n">
        <v>0.7999000000000001</v>
      </c>
      <c r="AT17" s="7" t="n">
        <v>14.9</v>
      </c>
      <c r="AU17" s="7" t="n">
        <v>0</v>
      </c>
      <c r="AV17" s="7" t="n">
        <v>0.0266</v>
      </c>
      <c r="AW17" s="7" t="n">
        <v>0.3447</v>
      </c>
      <c r="AX17" s="7" t="n">
        <v>0.9169</v>
      </c>
      <c r="AY17" s="7" t="n">
        <v>17.07</v>
      </c>
      <c r="AZ17" s="7" t="n">
        <v>0</v>
      </c>
      <c r="BA17" s="7" t="n">
        <v>0</v>
      </c>
      <c r="BB17" s="7" t="n">
        <v>0.0759</v>
      </c>
      <c r="BC17" s="7" t="n">
        <v>0</v>
      </c>
      <c r="BD17" s="7" t="n">
        <v>0</v>
      </c>
    </row>
    <row r="18" ht="34" customHeight="1">
      <c r="A18" s="7" t="n">
        <v>16</v>
      </c>
      <c r="B18" s="7" t="n">
        <v>32</v>
      </c>
      <c r="C18" s="7" t="n">
        <v>36</v>
      </c>
      <c r="D18" s="7" t="n">
        <v>4</v>
      </c>
      <c r="E18" s="7" t="inlineStr">
        <is>
          <t>{"scena_e_contesto": {"descrizione_generale": "Area interna di uno stabilimento industriale con presenza di macchinari pesanti e un gruppo di lavoratori concentrati al centro.", "contesto": "Produzione manifatturiera o lavorazione metalli."}, "elementi_rilevati": {"persone": "Gruppo di circa 8-9 lavoratori che interagiscono tra loro in piedi.", "macchinari": "Grande pressa industriale verde sul lato sinistro, carrelli di trasporto e piattaforme metalliche.", "oggetti": "Pallet, contenitori metallici, detriti e materiali sparsi sul pavimento.", "dpi": "Alcuni lavoratori indossano elmetti (giallo e bianco). Altri DPI non sono chiaramente identificabili a causa della distanza."}, "dinamiche_e_condizioni": {"azioni": "I lavoratori sono fermi in gruppo, discutono e si muovono leggermente nello spazio centrale.", "condizioni_ambientali": "Illuminazione interna artificiale, pavimentazione con segni di usura e ingombri.", "limiti_visibilita": "Inquadratura dall'alto che limita la visibilità dei dettagli del volto e dei DPI specifici. Parziale sovrapposizione tra le persone."}, "analisi_sicurezza": {"ragionamento_causale": "La concentrazione di personale in una zona di passaggio e vicino a macchinari operativi riduce lo spazio di manovra sicuro.", "fattori_contribuenti": "Presenza di oggetti e scarti a terra vicino all'area di stazionamento dei lavoratori.", "sviluppi_rischiosi": "Rischio moderato di inciampo sui materiali a terra o di contatto accidentale con strutture circostanti in caso di movimenti repentini."}}</t>
        </is>
      </c>
      <c r="F18" s="7" t="n">
        <v>40</v>
      </c>
      <c r="G18" s="7" t="inlineStr">
        <is>
          <t>Il punteggio di 40 indica un rischio moderato. La concentrazione di un gruppo numeroso di lavoratori in una zona di transito e in prossimità di macchinari pesanti (pressa industriale) riduce lo spazio di manovra sicuro. La presenza di detriti, pallet e materiali sparsi sul pavimento genera un rischio concreto di inciampo e caduta. Inoltre, l'impossibilità di verificare l'uso corretto e completo dei DPI per tutti i presenti rappresenta un ulteriore fattore di vulnerabilità.</t>
        </is>
      </c>
      <c r="H18" s="7" t="n">
        <v>46.41</v>
      </c>
      <c r="I18" s="9" t="inlineStr">
        <is>
          <t>giallo</t>
        </is>
      </c>
      <c r="J18" s="7" t="inlineStr">
        <is>
          <t>{"scene_state": "Area di lavoro industriale con un gruppo di operatori riuniti al centro del passaggio.", "environmental_conditions": ["Illuminazione interna artificiale", "Pavimentazione industriale in cemento"], "people": ["Circa 8-10 lavoratori presenti, alcuni in piedi in cerchio, altri in movimento."], "objects": ["Pallet in legno", "Contenitori metallici", "Carrelli per il trasporto materiali", "Fogli o detriti a terra"], "machines": ["Grande pressa industriale di colore verde sulla sinistra", "Macchinari di lavorazione sullo sfondo"], "observable_actions": ["Gli operatori discutono tra loro in gruppo", "Un lavoratore cammina di spalle verso il centro del gruppo"], "visible_ppe": ["Caschi protettivi (gialli e bianchi)", "Indumenti da lavoro (camicie blu e bianche)"], "notes_visibility_limitations": "Inquadratura dall'alto e risoluzione che limita la visibilità dei dettagli minuti come scarpe antinfortunistiche o occhiali protettivi."}</t>
        </is>
      </c>
      <c r="K18" s="7" t="inlineStr">
        <is>
          <t>{"unsafe_behaviors": ["Operatore che cammina all'indietro (di spalle) verso il centro del gruppo", "Sosta di un gruppo numeroso di lavoratori al centro di un'area di passaggio", "Presenza di fogli o detriti a terra che possono causare scivolamenti o inciampi"], "vulnerable_elements": ["Lavoratori radunati nel corridoio di transito", "Lavoratore in movimento con visibilità ridotta (cammina di spalle)"], "risk_cues": {"S1_people_vehicle_interference": 0.25, "S2_visibility_attention_reduction": 0.75, "S3_non_compliant_behavior": 0.5, "S4_vehicle_infrastructure_interference": 0.0, "S5_storage_structural_instability": 0.25, "S6_access_to_moving_mechanical_parts": 0.0, "S7_manual_handling_heavy_unstable_loads": 0.0}, "cue_confidence": 0.8, "diagnostic_notes": "L'elemento di rischio principale è rappresentato dall'operatore che cammina all'indietro (S2), riducendo la propria visibilità e attenzione spaziale. Il gruppo è radunato in un'area di passaggio (S3), ostacolando potenzialmente il transito. La presenza di detriti a terra costituisce un rischio di inciampo. Non si osservano mezzi in movimento o movimentazione manuale di carichi in questa specifica."}</t>
        </is>
      </c>
      <c r="L18" s="7" t="inlineStr">
        <is>
          <t>{"causal_chain_plausible": true, "causal_chain_text": "L'operatore cammina all'indietro riducendo la propria visibilità. Muovendosi verso il gruppo nel corridoio, rischia di non vedere i detriti a terra o i colleghi fermi, causando un inciampo o una collisione.", "near_miss_or_incident_scenario": "Inciampo dell'operatore sui detriti a terra o collisione con i colleghi fermi nel passaggio, con conseguente caduta a livello.", "contributing_factors": ["Movimento all'indietro con visibilità e attenzione ridotte", "Presenza di fogli o detriti sulla pavimentazione industriale", "Sosta di un gruppo numeroso di lavoratori in una zona di transito"]}</t>
        </is>
      </c>
      <c r="M18" s="7" t="n">
        <v>38</v>
      </c>
      <c r="N18" s="7" t="inlineStr">
        <is>
          <t>Il rischio è moderato a causa dell'operatore che cammina all'indietro con visibilità ridotta in presenza di detriti al suolo e di colleghi fermi in un'area di transito. Questa situazione aumenta la probabilità di inciampi o collisioni, sebbene non vi siano veicoli o carichi sospesi in movimento immediato.</t>
        </is>
      </c>
      <c r="O18" s="7" t="n">
        <v>37.87</v>
      </c>
      <c r="P18" s="9" t="inlineStr">
        <is>
          <t>giallo</t>
        </is>
      </c>
      <c r="Q18" s="7" t="n">
        <v>12.59</v>
      </c>
      <c r="R18" s="7" t="n">
        <v>13.36</v>
      </c>
      <c r="S18" s="11" t="inlineStr">
        <is>
          <t>verde</t>
        </is>
      </c>
      <c r="T18" s="7" t="n">
        <v>0.8</v>
      </c>
      <c r="U18" s="7" t="inlineStr">
        <is>
          <t>L'elemento di rischio principale è rappresentato dall'operatore che cammina all'indietro (S2), riducendo la propria visibilità e attenzione spaziale. Il gruppo è radunato in un'area di passaggio (S3), ostacolando potenzialmente il transito. La presenza di detriti a terra costituisce un rischio di inciampo. Non si osservano mezzi in movimento o movimentazione manuale di carichi in questa specifica.</t>
        </is>
      </c>
      <c r="V18" s="7" t="n">
        <v>0.25</v>
      </c>
      <c r="W18" s="7" t="n">
        <v>0.25</v>
      </c>
      <c r="X18" s="7" t="n">
        <v>0.1109</v>
      </c>
      <c r="Y18" s="7" t="n">
        <v>2.7725</v>
      </c>
      <c r="Z18" s="7" t="n">
        <v>22.02</v>
      </c>
      <c r="AA18" s="7" t="n">
        <v>0.75</v>
      </c>
      <c r="AB18" s="7" t="n">
        <v>0.9415</v>
      </c>
      <c r="AC18" s="7" t="n">
        <v>0.037</v>
      </c>
      <c r="AD18" s="7" t="n">
        <v>3.4835</v>
      </c>
      <c r="AE18" s="7" t="n">
        <v>27.67</v>
      </c>
      <c r="AF18" s="7" t="n">
        <v>0.5</v>
      </c>
      <c r="AG18" s="7" t="n">
        <v>0.8176</v>
      </c>
      <c r="AH18" s="7" t="n">
        <v>0.0549</v>
      </c>
      <c r="AI18" s="7" t="n">
        <v>4.4886</v>
      </c>
      <c r="AJ18" s="7" t="n">
        <v>35.65</v>
      </c>
      <c r="AK18" s="7" t="n">
        <v>0</v>
      </c>
      <c r="AL18" s="7" t="n">
        <v>0.008200000000000001</v>
      </c>
      <c r="AM18" s="7" t="n">
        <v>0.1538</v>
      </c>
      <c r="AN18" s="7" t="n">
        <v>0.1261</v>
      </c>
      <c r="AO18" s="7" t="n">
        <v>1</v>
      </c>
      <c r="AP18" s="7" t="n">
        <v>0.25</v>
      </c>
      <c r="AQ18" s="7" t="n">
        <v>0.0359</v>
      </c>
      <c r="AR18" s="7" t="n">
        <v>0.2228</v>
      </c>
      <c r="AS18" s="7" t="n">
        <v>0.7999000000000001</v>
      </c>
      <c r="AT18" s="7" t="n">
        <v>6.35</v>
      </c>
      <c r="AU18" s="7" t="n">
        <v>0</v>
      </c>
      <c r="AV18" s="7" t="n">
        <v>0.0266</v>
      </c>
      <c r="AW18" s="7" t="n">
        <v>0.3447</v>
      </c>
      <c r="AX18" s="7" t="n">
        <v>0.9169</v>
      </c>
      <c r="AY18" s="7" t="n">
        <v>7.28</v>
      </c>
      <c r="AZ18" s="7" t="n">
        <v>0</v>
      </c>
      <c r="BA18" s="7" t="n">
        <v>0</v>
      </c>
      <c r="BB18" s="7" t="n">
        <v>0.0759</v>
      </c>
      <c r="BC18" s="7" t="n">
        <v>0</v>
      </c>
      <c r="BD18" s="7" t="n">
        <v>0</v>
      </c>
    </row>
    <row r="19" ht="34" customHeight="1">
      <c r="A19" s="7" t="n">
        <v>17</v>
      </c>
      <c r="B19" s="7" t="n">
        <v>34</v>
      </c>
      <c r="C19" s="7" t="n">
        <v>36.689</v>
      </c>
      <c r="D19" s="7" t="n">
        <v>2.689</v>
      </c>
      <c r="E19" s="7" t="inlineStr">
        <is>
          <t>{"descrizione_generale": "Un gruppo di lavoratori è radunato al centro di un'officina industriale, vicino a macchinari pesanti.", "contesto_industriale": "Area di produzione o assemblaggio con presenza di presse industriali e postazioni di lavoro.", "persone_presenti": "Circa 8-10 operatori, inclusi supervisori e operatori di linea, alcuni in movimento.", "macchinari_e_oggetti": "Grande pressa industriale verde a sinistra, banchi da lavoro in metallo, carrelli e materiali stoccati.", "azioni_osservabili": "I lavoratori discutono in gruppo; alcuni iniziano a muoversi verso diverse aree dell'officina.", "condizioni_ambientali": "Ambiente interno, illuminazione artificiale standard, pavimentazione industriale con segnaletica parziale.", "limiti_visibilita": "Inquadratura dall'alto che limita la visibilità dei dettagli dei volti e dei piccoli DPI. Parziale sovrapposizione dei corpi.", "analisi_sicurezza": {"dpi_rilevati": "Caschi protettivi (gialli e bianchi), gilet ad alta visibilità e uniformi da lavoro standard.", "ragionamento_causale": "La concentrazione di personale in un'area di transito vicino a macchinari può ostacolare il passaggio sicuro.", "rischi_potenziali": "Rischio moderato di inciampo su materiali a terra o collisione involontaria durante la dispersione del gruppo.", "fattori_contribuenti": "Presenza di attrezzature e materiali disposti vicino alle aree di passaggio dei lavoratori."}}</t>
        </is>
      </c>
      <c r="F19" s="7" t="n">
        <v>30</v>
      </c>
      <c r="G19" s="7" t="inlineStr">
        <is>
          <t>Il punteggio di 30 indica un rischio moderato. Sebbene gli operatori indossino i DPI adeguati (caschi e gilet ad alta visibilità), l'assembramento in una zona di transito vicino a macchinari pesanti e la presenza di attrezzature nelle aree di passaggio aumentano il rischio di inciampi o collisioni accidentali durante la dispersione del gruppo.</t>
        </is>
      </c>
      <c r="H19" s="7" t="n">
        <v>36.56</v>
      </c>
      <c r="I19" s="9" t="inlineStr">
        <is>
          <t>giallo</t>
        </is>
      </c>
      <c r="J19" s="7" t="inlineStr">
        <is>
          <t>{"scene_state": "Un gruppo di lavoratori è riunito al centro di un'officina industriale.", "environmental_conditions": ["Illuminazione artificiale interna", "Visibilità sufficiente"], "people": ["Un gruppo di circa 8-10 lavoratori con diverse divise"], "objects": ["Banchi da lavoro", "Pallet metallici", "Carrelli", "Materiali a terra"], "machines": ["Grande pressa industriale verde sulla sinistra"], "observable_actions": ["I lavoratori discutono in gruppo", "Alcuni si muovono leggermente"], "visible_ppe": ["Elmetti protettivi (gialli e bianchi)", "Abiti da lavoro"], "notes_visibility_limitations": "Inquadratura CCTV dall'alto con risoluzione limitata."}</t>
        </is>
      </c>
      <c r="K19" s="7" t="inlineStr">
        <is>
          <t>{"unsafe_behaviors": ["Sosta e discussione di gruppo in un'area operativa centrale potenzialmente destinata al transito o alle lavorazioni"], "vulnerable_elements": ["Gruppo di circa 8-10 lavoratori riuniti al centro dell'officina"], "risk_cues": {"S1_people_vehicle_interference": 0.0, "S2_visibility_attention_reduction": 0.25, "S3_non_compliant_behavior": 0.25, "S4_vehicle_infrastructure_interference": 0.0, "S5_storage_structural_instability": 0.0, "S6_access_to_moving_mechanical_parts": 0.0, "S7_manual_handling_heavy_unstable_loads": 0.0}, "cue_confidence": 0.8, "diagnostic_notes": "I lavoratori sono riuniti in gruppo per discutere. Sebbene indossino i DPI base (elmetti), la sosta prolungata al centro dell'officina, vicino a banchi, carrelli e a una pressa industriale, può ridurre la consapevolezza situazionale rispetto a eventuali pericoli circostanti. Non si rilevano mezzi in movimento o movimentazione carichi in questa specifica finestra temporale."}</t>
        </is>
      </c>
      <c r="L19" s="7" t="inlineStr">
        <is>
          <t>{"causal_chain_plausible": true, "causal_chain_text": "La sosta di un gruppo numeroso in un'area operativa centrale riduce la consapevolezza situazionale dei singoli. La distrazione causata dalla discussione, combinata con la presenza di ostacoli fisici come materiali a terra, carrelli e banchi da lavoro nelle immediate vicinanze, può indurre movimenti involontari senza adeguato controllo visivo dello spazio circostante.", "near_miss_or_incident_scenario": "Un lavoratore del gruppo compie un passo indietro o un movimento laterale improvviso durante la discussione, inciampando nei materiali a terra o urtando un carrello metallico, con conseguente rischio di caduta o lesione.", "contributing_factors": ["Sosta e discussione di gruppo in zona di transito/lavoro", "Presenza di ostacoli fisici e materiali depositati a terra", "Ridotta attenzione situazionale dei lavoratori focalizzati sulla discussione"]}</t>
        </is>
      </c>
      <c r="M19" s="7" t="n">
        <v>30</v>
      </c>
      <c r="N19" s="7" t="inlineStr">
        <is>
          <t>Il rischio è moderato poiché la sosta di gruppo in un'area operativa riduce l'attenzione situazionale, aumentando la probabilità di inciampi sui materiali a terra. Tuttavia, l'assenza di carrelli in movimento o lavorazioni ad alto rischio attive in questo momento limita la gravità immediata.</t>
        </is>
      </c>
      <c r="O19" s="7" t="n">
        <v>33.15</v>
      </c>
      <c r="P19" s="9" t="inlineStr">
        <is>
          <t>giallo</t>
        </is>
      </c>
      <c r="Q19" s="7" t="n">
        <v>4.57</v>
      </c>
      <c r="R19" s="7" t="n">
        <v>8.09</v>
      </c>
      <c r="S19" s="11" t="inlineStr">
        <is>
          <t>verde</t>
        </is>
      </c>
      <c r="T19" s="7" t="n">
        <v>0.8</v>
      </c>
      <c r="U19" s="7" t="inlineStr">
        <is>
          <t>I lavoratori sono riuniti in gruppo per discutere. Sebbene indossino i DPI base (elmetti), la sosta prolungata al centro dell'officina, vicino a banchi, carrelli e a una pressa industriale, può ridurre la consapevolezza situazionale rispetto a eventuali pericoli circostanti. Non si rilevano mezzi in movimento o movimentazione carichi in questa specifica finestra temporale.</t>
        </is>
      </c>
      <c r="V19" s="7" t="n">
        <v>0</v>
      </c>
      <c r="W19" s="7" t="n">
        <v>0</v>
      </c>
      <c r="X19" s="7" t="n">
        <v>0.1109</v>
      </c>
      <c r="Y19" s="7" t="n">
        <v>0</v>
      </c>
      <c r="Z19" s="7" t="n">
        <v>0</v>
      </c>
      <c r="AA19" s="7" t="n">
        <v>0.25</v>
      </c>
      <c r="AB19" s="7" t="n">
        <v>0.5553</v>
      </c>
      <c r="AC19" s="7" t="n">
        <v>0.037</v>
      </c>
      <c r="AD19" s="7" t="n">
        <v>2.0546</v>
      </c>
      <c r="AE19" s="7" t="n">
        <v>44.96</v>
      </c>
      <c r="AF19" s="7" t="n">
        <v>0.25</v>
      </c>
      <c r="AG19" s="7" t="n">
        <v>0.2689</v>
      </c>
      <c r="AH19" s="7" t="n">
        <v>0.0549</v>
      </c>
      <c r="AI19" s="7" t="n">
        <v>1.4763</v>
      </c>
      <c r="AJ19" s="7" t="n">
        <v>32.3</v>
      </c>
      <c r="AK19" s="7" t="n">
        <v>0</v>
      </c>
      <c r="AL19" s="7" t="n">
        <v>0.008200000000000001</v>
      </c>
      <c r="AM19" s="7" t="n">
        <v>0.1538</v>
      </c>
      <c r="AN19" s="7" t="n">
        <v>0.1261</v>
      </c>
      <c r="AO19" s="7" t="n">
        <v>2.76</v>
      </c>
      <c r="AP19" s="7" t="n">
        <v>0</v>
      </c>
      <c r="AQ19" s="7" t="n">
        <v>0</v>
      </c>
      <c r="AR19" s="7" t="n">
        <v>0.2228</v>
      </c>
      <c r="AS19" s="7" t="n">
        <v>0</v>
      </c>
      <c r="AT19" s="7" t="n">
        <v>0</v>
      </c>
      <c r="AU19" s="7" t="n">
        <v>0</v>
      </c>
      <c r="AV19" s="7" t="n">
        <v>0.0266</v>
      </c>
      <c r="AW19" s="7" t="n">
        <v>0.3447</v>
      </c>
      <c r="AX19" s="7" t="n">
        <v>0.9169</v>
      </c>
      <c r="AY19" s="7" t="n">
        <v>20.06</v>
      </c>
      <c r="AZ19" s="7" t="n">
        <v>0</v>
      </c>
      <c r="BA19" s="7" t="n">
        <v>0</v>
      </c>
      <c r="BB19" s="7" t="n">
        <v>0.0759</v>
      </c>
      <c r="BC19" s="7" t="n">
        <v>0</v>
      </c>
      <c r="BD19" s="7" t="n">
        <v>0</v>
      </c>
    </row>
    <row r="20" ht="34" customHeight="1">
      <c r="A20" s="7" t="n">
        <v>18</v>
      </c>
      <c r="B20" s="7" t="n">
        <v>36</v>
      </c>
      <c r="C20" s="7" t="n">
        <v>36.689</v>
      </c>
      <c r="D20" s="7" t="n">
        <v>0.6889999999999999</v>
      </c>
      <c r="E20" s="7" t="inlineStr">
        <is>
          <t>{"finestra_temporale": {"inizio_s": 36.0, "fine_s": 36.689, "durata_s": 0.689}, "descrizione_scena": {"contesto": "Reparto produttivo industriale con macchinari pesanti e attrezzature di movimentazione.", "panoramica": "Un gruppo di circa 8-10 operatori è radunato al centro del passaggio, vicino a una pressa industriale."}, "elementi_rilevati": {"persone": "Operatori in abiti da lavoro (blu/scuri), alcuni con caschi protettivi.", "macchinari": "Grande pressa verticale sul lato sinistro, banchi di lavoro e strutture metalliche a destra.", "oggetti": "Pallet, contenitori industriali, materiali di produzione sparsi."}, "dinamiche_e_azioni": {"attivita": "Interazione di gruppo e discussione. Un operatore si sposta verso la parte destra dell'inquadratura.", "condizioni_ambientali": "Illuminazione artificiale discreta, pavimentazione libera al centro ma ingombra ai margini."}, "analisi_sicurezza": {"dpi_osservati": "Caschi di sicurezza (gialli e bianchi) indossati solo da alcuni operatori. Calzature di sicurezza non chiaramente distinguibili.", "limiti_visibilita": "Inquadratura zenitale grandangolare che riduce il dettaglio sui singoli DPI e sulle espressioni.", "fattori_rischio_potenziali": "Assembramento di personale in zona di transito e in prossimità di macchine operative. Presenza di operatori apparentemente privi di casco protettivo in area di potenziale caduta oggetti.", "sviluppi_rischiosi": "Rischio di urto o intralcio in caso di avvio improvviso dei macchinari o movimentazione carichi nelle vicinanze."}}</t>
        </is>
      </c>
      <c r="F20" s="7" t="n">
        <v>45</v>
      </c>
      <c r="G20" s="7" t="inlineStr">
        <is>
          <t>Il punteggio di 45 indica un rischio moderato. Si osserva un assembramento di 8-10 operatori in una zona di transito e in prossimità di una pressa industriale. La presenza di lavoratori privi di casco protettivo in un'area con potenziale rischio di caduta oggetti e la possibilità di intralcio in caso di movimentazione carichi o avvio macchinari costituiscono non-conformità rilevanti per la sicurezza.</t>
        </is>
      </c>
      <c r="H20" s="7" t="n">
        <v>45.37</v>
      </c>
      <c r="I20" s="9" t="inlineStr">
        <is>
          <t>giallo</t>
        </is>
      </c>
      <c r="J20" s="7" t="inlineStr">
        <is>
          <t>{"scene_state": "Area di lavoro industriale interna con un gruppo di operatori riuniti al centro.", "environmental_conditions": ["Illuminazione artificiale interna", "Pavimentazione industriale grigia"], "people": ["Un gruppo di circa 8 persone (operatori e supervisori) ferme in cerchio che interagiscono."], "objects": ["Pallet in legno", "Piastre metalliche", "Scatole e sacchi di materiale", "Carrello di trasporto"], "machines": ["Grande pressa industriale sul lato sinistro", "Macchinari e attrezzature sullo sfondo"], "observable_actions": ["Gli operatori sono in piedi, discutono e si confrontano in gruppo."], "visible_ppe": ["Caschi protettivi (gialli e bianchi)", "Gilet ad alta visibilità", "Calzature di sicurezza"], "notes_visibility_limitations": "Inquadratura dall'alto e distanza limitano la nitidezza dei dettagli del viso e dei DPI specifici."}</t>
        </is>
      </c>
      <c r="K20" s="7" t="inlineStr">
        <is>
          <t>{"unsafe_behaviors": [], "vulnerable_elements": ["Operatori presenti nell'area di lavoro"],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"Gli operatori sono riuniti in cerchio per un briefing o confronto. Indossano i DPI base visibili (caschi, gilet ad alta visibilità, calzature di sicurezza). Non si registrano attività di movimentazione carichi, transito di mezzi o interazioni con parti meccaniche in movimento in questa finestra temporale, mantenendo il livello di rischio a zero."}</t>
        </is>
      </c>
      <c r="L20" s="7" t="inlineStr">
        <is>
          <t>{"causal_chain_plausible": false, "causal_chain_text": "Nessuna catena causale di rischio rilevata. Gli operatori si trovano in un'area sicura per un briefing di lavoro, indossano i DPI idonei e non vi sono macchinari in movimento o carichi sospesi nelle immediate vicinanze.", "near_miss_or_incident_scenario": "Nessun scenario di incidente o near miss plausibile in base agli elementi osservati.", "contributing_factors": []}</t>
        </is>
      </c>
      <c r="M20" s="7" t="n">
        <v>5</v>
      </c>
      <c r="N20" s="7" t="inlineStr">
        <is>
          <t>Gli operatori sono riuniti in sicurezza per un briefing e indossano correttamente i DPI previsti. Non si rilevano attività operative a rischio, macchinari in movimento o interferenze con mezzi nell'area.</t>
        </is>
      </c>
      <c r="O20" s="7" t="n">
        <v>16.26</v>
      </c>
      <c r="P20" s="11" t="inlineStr">
        <is>
          <t>verde</t>
        </is>
      </c>
      <c r="Q20" s="7" t="n">
        <v>1.2</v>
      </c>
      <c r="R20" s="7" t="n">
        <v>3.96</v>
      </c>
      <c r="S20" s="11" t="inlineStr">
        <is>
          <t>verde</t>
        </is>
      </c>
      <c r="T20" s="7" t="n">
        <v>0.9</v>
      </c>
      <c r="U20" s="7" t="inlineStr">
        <is>
          <t>Gli operatori sono riuniti in cerchio per un briefing o confronto. Indossano i DPI base visibili (caschi, gilet ad alta visibilità, calzature di sicurezza). Non si registrano attività di movimentazione carichi, transito di mezzi o interazioni con parti meccaniche in movimento in questa finestra temporale, mantenendo il livello di rischio a zero.</t>
        </is>
      </c>
      <c r="V20" s="7" t="n">
        <v>0</v>
      </c>
      <c r="W20" s="7" t="n">
        <v>0</v>
      </c>
      <c r="X20" s="7" t="n">
        <v>0.1109</v>
      </c>
      <c r="Y20" s="7" t="n">
        <v>0</v>
      </c>
      <c r="Z20" s="7" t="n">
        <v>0</v>
      </c>
      <c r="AA20" s="7" t="n">
        <v>0</v>
      </c>
      <c r="AB20" s="7" t="n">
        <v>0</v>
      </c>
      <c r="AC20" s="7" t="n">
        <v>0.037</v>
      </c>
      <c r="AD20" s="7" t="n">
        <v>0</v>
      </c>
      <c r="AE20" s="7" t="n">
        <v>0</v>
      </c>
      <c r="AF20" s="7" t="n">
        <v>0</v>
      </c>
      <c r="AG20" s="7" t="n">
        <v>0.0293</v>
      </c>
      <c r="AH20" s="7" t="n">
        <v>0.0549</v>
      </c>
      <c r="AI20" s="7" t="n">
        <v>0.1609</v>
      </c>
      <c r="AJ20" s="7" t="n">
        <v>13.41</v>
      </c>
      <c r="AK20" s="7" t="n">
        <v>0</v>
      </c>
      <c r="AL20" s="7" t="n">
        <v>0.008200000000000001</v>
      </c>
      <c r="AM20" s="7" t="n">
        <v>0.1538</v>
      </c>
      <c r="AN20" s="7" t="n">
        <v>0.1261</v>
      </c>
      <c r="AO20" s="7" t="n">
        <v>10.51</v>
      </c>
      <c r="AP20" s="7" t="n">
        <v>0</v>
      </c>
      <c r="AQ20" s="7" t="n">
        <v>0</v>
      </c>
      <c r="AR20" s="7" t="n">
        <v>0.2228</v>
      </c>
      <c r="AS20" s="7" t="n">
        <v>0</v>
      </c>
      <c r="AT20" s="7" t="n">
        <v>0</v>
      </c>
      <c r="AU20" s="7" t="n">
        <v>0</v>
      </c>
      <c r="AV20" s="7" t="n">
        <v>0.0266</v>
      </c>
      <c r="AW20" s="7" t="n">
        <v>0.3447</v>
      </c>
      <c r="AX20" s="7" t="n">
        <v>0.9169</v>
      </c>
      <c r="AY20" s="7" t="n">
        <v>76.41</v>
      </c>
      <c r="AZ20" s="7" t="n">
        <v>0</v>
      </c>
      <c r="BA20" s="7" t="n">
        <v>0</v>
      </c>
      <c r="BB20" s="7" t="n">
        <v>0.0759</v>
      </c>
      <c r="BC20" s="7" t="n">
        <v>0</v>
      </c>
      <c r="BD20" s="7" t="n">
        <v>0</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W20"/>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7" customWidth="1" min="10" max="10"/>
    <col width="7" customWidth="1" min="11" max="11"/>
    <col width="7" customWidth="1" min="12" max="12"/>
    <col width="8" customWidth="1" min="13" max="13"/>
    <col width="8" customWidth="1" min="14" max="14"/>
    <col width="8" customWidth="1" min="15" max="15"/>
    <col width="8" customWidth="1" min="16" max="16"/>
    <col width="8" customWidth="1" min="17" max="17"/>
    <col width="8" customWidth="1" min="18" max="18"/>
    <col width="10" customWidth="1" min="19" max="19"/>
    <col width="10" customWidth="1" min="20" max="20"/>
    <col width="10" customWidth="1" min="21" max="21"/>
    <col width="11" customWidth="1" min="22" max="22"/>
    <col width="9" customWidth="1" min="23" max="23"/>
  </cols>
  <sheetData>
    <row r="1" ht="16" customHeight="1">
      <c r="A1" s="2" t="inlineStr">
        <is>
          <t>window_id</t>
        </is>
      </c>
      <c r="B1" s="2" t="inlineStr">
        <is>
          <t>start_time_s</t>
        </is>
      </c>
      <c r="C1" s="2" t="inlineStr">
        <is>
          <t>end_time_s</t>
        </is>
      </c>
      <c r="D1" s="3" t="inlineStr">
        <is>
          <t>instantaneous_risk_score_vlm_free</t>
        </is>
      </c>
      <c r="E1" s="4" t="inlineStr">
        <is>
          <t>instantaneous_risk_score_vlm</t>
        </is>
      </c>
      <c r="F1" s="5" t="inlineStr">
        <is>
          <t>instantaneous_risk_score_ahp</t>
        </is>
      </c>
      <c r="G1" s="3" t="inlineStr">
        <is>
          <t>dynamic_risk_score_vlm_free</t>
        </is>
      </c>
      <c r="H1" s="4" t="inlineStr">
        <is>
          <t>dynamic_risk_score_vlm</t>
        </is>
      </c>
      <c r="I1" s="5" t="inlineStr">
        <is>
          <t>dynamic_risk_score_ahp</t>
        </is>
      </c>
      <c r="J1" s="3" t="inlineStr">
        <is>
          <t>traffic_light_color_vlm_free</t>
        </is>
      </c>
      <c r="K1" s="4" t="inlineStr">
        <is>
          <t>traffic_light_color_vlm</t>
        </is>
      </c>
      <c r="L1" s="5" t="inlineStr">
        <is>
          <t>traffic_light_color_ahp</t>
        </is>
      </c>
      <c r="M1" s="12" t="inlineStr">
        <is>
          <t>diff_inst_free_vs_guided</t>
        </is>
      </c>
      <c r="N1" s="12" t="inlineStr">
        <is>
          <t>diff_inst_free_vs_ahp</t>
        </is>
      </c>
      <c r="O1" s="12" t="inlineStr">
        <is>
          <t>diff_inst_guided_vs_ahp</t>
        </is>
      </c>
      <c r="P1" s="12" t="inlineStr">
        <is>
          <t>diff_dyn_free_vs_guided</t>
        </is>
      </c>
      <c r="Q1" s="12" t="inlineStr">
        <is>
          <t>diff_dyn_free_vs_ahp</t>
        </is>
      </c>
      <c r="R1" s="12" t="inlineStr">
        <is>
          <t>diff_dyn_guided_vs_ahp</t>
        </is>
      </c>
      <c r="S1" s="13" t="inlineStr">
        <is>
          <t>traffic_light_agreement_free_guided</t>
        </is>
      </c>
      <c r="T1" s="13" t="inlineStr">
        <is>
          <t>traffic_light_agreement_free_ahp</t>
        </is>
      </c>
      <c r="U1" s="13" t="inlineStr">
        <is>
          <t>traffic_light_agreement_guided_ahp</t>
        </is>
      </c>
      <c r="V1" s="13" t="inlineStr">
        <is>
          <t>three_way_traffic_agreement</t>
        </is>
      </c>
      <c r="W1" s="14" t="inlineStr">
        <is>
          <t>mean_dynamic_score_3_branches</t>
        </is>
      </c>
    </row>
    <row r="2" ht="34" customHeight="1">
      <c r="A2" s="7" t="n">
        <v>0</v>
      </c>
      <c r="B2" s="7" t="n">
        <v>0</v>
      </c>
      <c r="C2" s="7" t="n">
        <v>4</v>
      </c>
      <c r="D2" s="7" t="n">
        <v>60</v>
      </c>
      <c r="E2" s="7" t="n">
        <v>45</v>
      </c>
      <c r="F2" s="7" t="n">
        <v>36.06</v>
      </c>
      <c r="G2" s="7" t="n">
        <v>60</v>
      </c>
      <c r="H2" s="7" t="n">
        <v>45</v>
      </c>
      <c r="I2" s="7" t="n">
        <v>36.06</v>
      </c>
      <c r="J2" s="8" t="inlineStr">
        <is>
          <t>arancione</t>
        </is>
      </c>
      <c r="K2" s="9" t="inlineStr">
        <is>
          <t>giallo</t>
        </is>
      </c>
      <c r="L2" s="9" t="inlineStr">
        <is>
          <t>giallo</t>
        </is>
      </c>
      <c r="M2" s="7" t="n">
        <v>15</v>
      </c>
      <c r="N2" s="7" t="n">
        <v>23.94</v>
      </c>
      <c r="O2" s="7" t="n">
        <v>8.94</v>
      </c>
      <c r="P2" s="7" t="n">
        <v>15</v>
      </c>
      <c r="Q2" s="7" t="n">
        <v>23.94</v>
      </c>
      <c r="R2" s="7" t="n">
        <v>8.94</v>
      </c>
      <c r="S2" s="10" t="inlineStr">
        <is>
          <t>disaccordo</t>
        </is>
      </c>
      <c r="T2" s="10" t="inlineStr">
        <is>
          <t>disaccordo</t>
        </is>
      </c>
      <c r="U2" s="11" t="inlineStr">
        <is>
          <t>accordo</t>
        </is>
      </c>
      <c r="V2" s="10" t="inlineStr">
        <is>
          <t>disaccordo</t>
        </is>
      </c>
      <c r="W2" s="7" t="n">
        <v>47.02</v>
      </c>
    </row>
    <row r="3" ht="34" customHeight="1">
      <c r="A3" s="7" t="n">
        <v>1</v>
      </c>
      <c r="B3" s="7" t="n">
        <v>2</v>
      </c>
      <c r="C3" s="7" t="n">
        <v>6</v>
      </c>
      <c r="D3" s="7" t="n">
        <v>70</v>
      </c>
      <c r="E3" s="7" t="n">
        <v>55</v>
      </c>
      <c r="F3" s="7" t="n">
        <v>36.23</v>
      </c>
      <c r="G3" s="7" t="n">
        <v>68.5</v>
      </c>
      <c r="H3" s="7" t="n">
        <v>53.5</v>
      </c>
      <c r="I3" s="7" t="n">
        <v>36.2</v>
      </c>
      <c r="J3" s="8" t="inlineStr">
        <is>
          <t>arancione</t>
        </is>
      </c>
      <c r="K3" s="8" t="inlineStr">
        <is>
          <t>arancione</t>
        </is>
      </c>
      <c r="L3" s="9" t="inlineStr">
        <is>
          <t>giallo</t>
        </is>
      </c>
      <c r="M3" s="7" t="n">
        <v>15</v>
      </c>
      <c r="N3" s="7" t="n">
        <v>33.77</v>
      </c>
      <c r="O3" s="7" t="n">
        <v>18.77</v>
      </c>
      <c r="P3" s="7" t="n">
        <v>15</v>
      </c>
      <c r="Q3" s="7" t="n">
        <v>32.3</v>
      </c>
      <c r="R3" s="7" t="n">
        <v>17.3</v>
      </c>
      <c r="S3" s="11" t="inlineStr">
        <is>
          <t>accordo</t>
        </is>
      </c>
      <c r="T3" s="10" t="inlineStr">
        <is>
          <t>disaccordo</t>
        </is>
      </c>
      <c r="U3" s="10" t="inlineStr">
        <is>
          <t>disaccordo</t>
        </is>
      </c>
      <c r="V3" s="10" t="inlineStr">
        <is>
          <t>disaccordo</t>
        </is>
      </c>
      <c r="W3" s="7" t="n">
        <v>52.73</v>
      </c>
    </row>
    <row r="4" ht="34" customHeight="1">
      <c r="A4" s="7" t="n">
        <v>2</v>
      </c>
      <c r="B4" s="7" t="n">
        <v>4</v>
      </c>
      <c r="C4" s="7" t="n">
        <v>8</v>
      </c>
      <c r="D4" s="7" t="n">
        <v>50</v>
      </c>
      <c r="E4" s="7" t="n">
        <v>55</v>
      </c>
      <c r="F4" s="7" t="n">
        <v>37.03</v>
      </c>
      <c r="G4" s="7" t="n">
        <v>57.4</v>
      </c>
      <c r="H4" s="7" t="n">
        <v>54.4</v>
      </c>
      <c r="I4" s="7" t="n">
        <v>36.9</v>
      </c>
      <c r="J4" s="8" t="inlineStr">
        <is>
          <t>arancione</t>
        </is>
      </c>
      <c r="K4" s="8" t="inlineStr">
        <is>
          <t>arancione</t>
        </is>
      </c>
      <c r="L4" s="9" t="inlineStr">
        <is>
          <t>giallo</t>
        </is>
      </c>
      <c r="M4" s="7" t="n">
        <v>5</v>
      </c>
      <c r="N4" s="7" t="n">
        <v>12.97</v>
      </c>
      <c r="O4" s="7" t="n">
        <v>17.97</v>
      </c>
      <c r="P4" s="7" t="n">
        <v>3</v>
      </c>
      <c r="Q4" s="7" t="n">
        <v>20.5</v>
      </c>
      <c r="R4" s="7" t="n">
        <v>17.5</v>
      </c>
      <c r="S4" s="11" t="inlineStr">
        <is>
          <t>accordo</t>
        </is>
      </c>
      <c r="T4" s="10" t="inlineStr">
        <is>
          <t>disaccordo</t>
        </is>
      </c>
      <c r="U4" s="10" t="inlineStr">
        <is>
          <t>disaccordo</t>
        </is>
      </c>
      <c r="V4" s="10" t="inlineStr">
        <is>
          <t>disaccordo</t>
        </is>
      </c>
      <c r="W4" s="7" t="n">
        <v>49.57</v>
      </c>
    </row>
    <row r="5" ht="34" customHeight="1">
      <c r="A5" s="7" t="n">
        <v>3</v>
      </c>
      <c r="B5" s="7" t="n">
        <v>6</v>
      </c>
      <c r="C5" s="7" t="n">
        <v>10</v>
      </c>
      <c r="D5" s="7" t="n">
        <v>80</v>
      </c>
      <c r="E5" s="7" t="n">
        <v>68</v>
      </c>
      <c r="F5" s="7" t="n">
        <v>39.74</v>
      </c>
      <c r="G5" s="7" t="n">
        <v>78.45999999999999</v>
      </c>
      <c r="H5" s="7" t="n">
        <v>65.81</v>
      </c>
      <c r="I5" s="7" t="n">
        <v>39.28</v>
      </c>
      <c r="J5" s="10" t="inlineStr">
        <is>
          <t>rosso</t>
        </is>
      </c>
      <c r="K5" s="8" t="inlineStr">
        <is>
          <t>arancione</t>
        </is>
      </c>
      <c r="L5" s="9" t="inlineStr">
        <is>
          <t>giallo</t>
        </is>
      </c>
      <c r="M5" s="7" t="n">
        <v>12</v>
      </c>
      <c r="N5" s="7" t="n">
        <v>40.26</v>
      </c>
      <c r="O5" s="7" t="n">
        <v>28.26</v>
      </c>
      <c r="P5" s="7" t="n">
        <v>12.65</v>
      </c>
      <c r="Q5" s="7" t="n">
        <v>39.18</v>
      </c>
      <c r="R5" s="7" t="n">
        <v>26.53</v>
      </c>
      <c r="S5" s="10" t="inlineStr">
        <is>
          <t>disaccordo</t>
        </is>
      </c>
      <c r="T5" s="10" t="inlineStr">
        <is>
          <t>disaccordo</t>
        </is>
      </c>
      <c r="U5" s="10" t="inlineStr">
        <is>
          <t>disaccordo</t>
        </is>
      </c>
      <c r="V5" s="10" t="inlineStr">
        <is>
          <t>disaccordo</t>
        </is>
      </c>
      <c r="W5" s="7" t="n">
        <v>61.18</v>
      </c>
    </row>
    <row r="6" ht="34" customHeight="1">
      <c r="A6" s="7" t="n">
        <v>4</v>
      </c>
      <c r="B6" s="7" t="n">
        <v>8</v>
      </c>
      <c r="C6" s="7" t="n">
        <v>12</v>
      </c>
      <c r="D6" s="7" t="n">
        <v>80</v>
      </c>
      <c r="E6" s="7" t="n">
        <v>68</v>
      </c>
      <c r="F6" s="7" t="n">
        <v>36.23</v>
      </c>
      <c r="G6" s="7" t="n">
        <v>79.38</v>
      </c>
      <c r="H6" s="7" t="n">
        <v>67.12</v>
      </c>
      <c r="I6" s="7" t="n">
        <v>37.45</v>
      </c>
      <c r="J6" s="10" t="inlineStr">
        <is>
          <t>rosso</t>
        </is>
      </c>
      <c r="K6" s="8" t="inlineStr">
        <is>
          <t>arancione</t>
        </is>
      </c>
      <c r="L6" s="9" t="inlineStr">
        <is>
          <t>giallo</t>
        </is>
      </c>
      <c r="M6" s="7" t="n">
        <v>12</v>
      </c>
      <c r="N6" s="7" t="n">
        <v>43.77</v>
      </c>
      <c r="O6" s="7" t="n">
        <v>31.77</v>
      </c>
      <c r="P6" s="7" t="n">
        <v>12.26</v>
      </c>
      <c r="Q6" s="7" t="n">
        <v>41.93</v>
      </c>
      <c r="R6" s="7" t="n">
        <v>29.67</v>
      </c>
      <c r="S6" s="10" t="inlineStr">
        <is>
          <t>disaccordo</t>
        </is>
      </c>
      <c r="T6" s="10" t="inlineStr">
        <is>
          <t>disaccordo</t>
        </is>
      </c>
      <c r="U6" s="10" t="inlineStr">
        <is>
          <t>disaccordo</t>
        </is>
      </c>
      <c r="V6" s="10" t="inlineStr">
        <is>
          <t>disaccordo</t>
        </is>
      </c>
      <c r="W6" s="7" t="n">
        <v>61.32</v>
      </c>
    </row>
    <row r="7" ht="34" customHeight="1">
      <c r="A7" s="7" t="n">
        <v>5</v>
      </c>
      <c r="B7" s="7" t="n">
        <v>10</v>
      </c>
      <c r="C7" s="7" t="n">
        <v>14</v>
      </c>
      <c r="D7" s="7" t="n">
        <v>80</v>
      </c>
      <c r="E7" s="7" t="n">
        <v>35</v>
      </c>
      <c r="F7" s="7" t="n">
        <v>36.59</v>
      </c>
      <c r="G7" s="7" t="n">
        <v>79.75</v>
      </c>
      <c r="H7" s="7" t="n">
        <v>47.85</v>
      </c>
      <c r="I7" s="7" t="n">
        <v>37.02</v>
      </c>
      <c r="J7" s="10" t="inlineStr">
        <is>
          <t>rosso</t>
        </is>
      </c>
      <c r="K7" s="9" t="inlineStr">
        <is>
          <t>giallo</t>
        </is>
      </c>
      <c r="L7" s="9" t="inlineStr">
        <is>
          <t>giallo</t>
        </is>
      </c>
      <c r="M7" s="7" t="n">
        <v>45</v>
      </c>
      <c r="N7" s="7" t="n">
        <v>43.41</v>
      </c>
      <c r="O7" s="7" t="n">
        <v>1.59</v>
      </c>
      <c r="P7" s="7" t="n">
        <v>31.9</v>
      </c>
      <c r="Q7" s="7" t="n">
        <v>42.73</v>
      </c>
      <c r="R7" s="7" t="n">
        <v>10.83</v>
      </c>
      <c r="S7" s="10" t="inlineStr">
        <is>
          <t>disaccordo</t>
        </is>
      </c>
      <c r="T7" s="10" t="inlineStr">
        <is>
          <t>disaccordo</t>
        </is>
      </c>
      <c r="U7" s="11" t="inlineStr">
        <is>
          <t>accordo</t>
        </is>
      </c>
      <c r="V7" s="10" t="inlineStr">
        <is>
          <t>disaccordo</t>
        </is>
      </c>
      <c r="W7" s="7" t="n">
        <v>54.87</v>
      </c>
    </row>
    <row r="8" ht="34" customHeight="1">
      <c r="A8" s="7" t="n">
        <v>6</v>
      </c>
      <c r="B8" s="7" t="n">
        <v>12</v>
      </c>
      <c r="C8" s="7" t="n">
        <v>16</v>
      </c>
      <c r="D8" s="7" t="n">
        <v>65</v>
      </c>
      <c r="E8" s="7" t="n">
        <v>65</v>
      </c>
      <c r="F8" s="7" t="n">
        <v>41.06</v>
      </c>
      <c r="G8" s="7" t="n">
        <v>70.90000000000001</v>
      </c>
      <c r="H8" s="7" t="n">
        <v>65.64</v>
      </c>
      <c r="I8" s="7" t="n">
        <v>40.56</v>
      </c>
      <c r="J8" s="8" t="inlineStr">
        <is>
          <t>arancione</t>
        </is>
      </c>
      <c r="K8" s="8" t="inlineStr">
        <is>
          <t>arancione</t>
        </is>
      </c>
      <c r="L8" s="9" t="inlineStr">
        <is>
          <t>giallo</t>
        </is>
      </c>
      <c r="M8" s="7" t="n">
        <v>0</v>
      </c>
      <c r="N8" s="7" t="n">
        <v>23.94</v>
      </c>
      <c r="O8" s="7" t="n">
        <v>23.94</v>
      </c>
      <c r="P8" s="7" t="n">
        <v>5.26</v>
      </c>
      <c r="Q8" s="7" t="n">
        <v>30.34</v>
      </c>
      <c r="R8" s="7" t="n">
        <v>25.08</v>
      </c>
      <c r="S8" s="11" t="inlineStr">
        <is>
          <t>accordo</t>
        </is>
      </c>
      <c r="T8" s="10" t="inlineStr">
        <is>
          <t>disaccordo</t>
        </is>
      </c>
      <c r="U8" s="10" t="inlineStr">
        <is>
          <t>disaccordo</t>
        </is>
      </c>
      <c r="V8" s="10" t="inlineStr">
        <is>
          <t>disaccordo</t>
        </is>
      </c>
      <c r="W8" s="7" t="n">
        <v>59.03</v>
      </c>
    </row>
    <row r="9" ht="34" customHeight="1">
      <c r="A9" s="7" t="n">
        <v>7</v>
      </c>
      <c r="B9" s="7" t="n">
        <v>14</v>
      </c>
      <c r="C9" s="7" t="n">
        <v>18</v>
      </c>
      <c r="D9" s="7" t="n">
        <v>75</v>
      </c>
      <c r="E9" s="7" t="n">
        <v>70</v>
      </c>
      <c r="F9" s="7" t="n">
        <v>41.39</v>
      </c>
      <c r="G9" s="7" t="n">
        <v>75.86</v>
      </c>
      <c r="H9" s="7" t="n">
        <v>69.51000000000001</v>
      </c>
      <c r="I9" s="7" t="n">
        <v>41.14</v>
      </c>
      <c r="J9" s="10" t="inlineStr">
        <is>
          <t>rosso</t>
        </is>
      </c>
      <c r="K9" s="8" t="inlineStr">
        <is>
          <t>arancione</t>
        </is>
      </c>
      <c r="L9" s="9" t="inlineStr">
        <is>
          <t>giallo</t>
        </is>
      </c>
      <c r="M9" s="7" t="n">
        <v>5</v>
      </c>
      <c r="N9" s="7" t="n">
        <v>33.61</v>
      </c>
      <c r="O9" s="7" t="n">
        <v>28.61</v>
      </c>
      <c r="P9" s="7" t="n">
        <v>6.35</v>
      </c>
      <c r="Q9" s="7" t="n">
        <v>34.72</v>
      </c>
      <c r="R9" s="7" t="n">
        <v>28.37</v>
      </c>
      <c r="S9" s="10" t="inlineStr">
        <is>
          <t>disaccordo</t>
        </is>
      </c>
      <c r="T9" s="10" t="inlineStr">
        <is>
          <t>disaccordo</t>
        </is>
      </c>
      <c r="U9" s="10" t="inlineStr">
        <is>
          <t>disaccordo</t>
        </is>
      </c>
      <c r="V9" s="10" t="inlineStr">
        <is>
          <t>disaccordo</t>
        </is>
      </c>
      <c r="W9" s="7" t="n">
        <v>62.17</v>
      </c>
    </row>
    <row r="10" ht="34" customHeight="1">
      <c r="A10" s="7" t="n">
        <v>8</v>
      </c>
      <c r="B10" s="7" t="n">
        <v>16</v>
      </c>
      <c r="C10" s="7" t="n">
        <v>20</v>
      </c>
      <c r="D10" s="7" t="n">
        <v>85</v>
      </c>
      <c r="E10" s="7" t="n">
        <v>85</v>
      </c>
      <c r="F10" s="7" t="n">
        <v>19.85</v>
      </c>
      <c r="G10" s="7" t="n">
        <v>83.84</v>
      </c>
      <c r="H10" s="7" t="n">
        <v>82.55</v>
      </c>
      <c r="I10" s="7" t="n">
        <v>28.37</v>
      </c>
      <c r="J10" s="10" t="inlineStr">
        <is>
          <t>rosso</t>
        </is>
      </c>
      <c r="K10" s="10" t="inlineStr">
        <is>
          <t>rosso</t>
        </is>
      </c>
      <c r="L10" s="9" t="inlineStr">
        <is>
          <t>giallo</t>
        </is>
      </c>
      <c r="M10" s="7" t="n">
        <v>0</v>
      </c>
      <c r="N10" s="7" t="n">
        <v>65.15000000000001</v>
      </c>
      <c r="O10" s="7" t="n">
        <v>65.15000000000001</v>
      </c>
      <c r="P10" s="7" t="n">
        <v>1.29</v>
      </c>
      <c r="Q10" s="7" t="n">
        <v>55.47</v>
      </c>
      <c r="R10" s="7" t="n">
        <v>54.18</v>
      </c>
      <c r="S10" s="11" t="inlineStr">
        <is>
          <t>accordo</t>
        </is>
      </c>
      <c r="T10" s="10" t="inlineStr">
        <is>
          <t>disaccordo</t>
        </is>
      </c>
      <c r="U10" s="10" t="inlineStr">
        <is>
          <t>disaccordo</t>
        </is>
      </c>
      <c r="V10" s="10" t="inlineStr">
        <is>
          <t>disaccordo</t>
        </is>
      </c>
      <c r="W10" s="7" t="n">
        <v>64.92</v>
      </c>
    </row>
    <row r="11" ht="34" customHeight="1">
      <c r="A11" s="7" t="n">
        <v>9</v>
      </c>
      <c r="B11" s="7" t="n">
        <v>18</v>
      </c>
      <c r="C11" s="7" t="n">
        <v>22</v>
      </c>
      <c r="D11" s="7" t="n">
        <v>90</v>
      </c>
      <c r="E11" s="7" t="n">
        <v>70</v>
      </c>
      <c r="F11" s="7" t="n">
        <v>9.359999999999999</v>
      </c>
      <c r="G11" s="7" t="n">
        <v>88.79000000000001</v>
      </c>
      <c r="H11" s="7" t="n">
        <v>75.02</v>
      </c>
      <c r="I11" s="7" t="n">
        <v>16.96</v>
      </c>
      <c r="J11" s="10" t="inlineStr">
        <is>
          <t>rosso</t>
        </is>
      </c>
      <c r="K11" s="10" t="inlineStr">
        <is>
          <t>rosso</t>
        </is>
      </c>
      <c r="L11" s="11" t="inlineStr">
        <is>
          <t>verde</t>
        </is>
      </c>
      <c r="M11" s="7" t="n">
        <v>20</v>
      </c>
      <c r="N11" s="7" t="n">
        <v>80.64</v>
      </c>
      <c r="O11" s="7" t="n">
        <v>60.64</v>
      </c>
      <c r="P11" s="7" t="n">
        <v>13.77</v>
      </c>
      <c r="Q11" s="7" t="n">
        <v>71.83</v>
      </c>
      <c r="R11" s="7" t="n">
        <v>58.06</v>
      </c>
      <c r="S11" s="11" t="inlineStr">
        <is>
          <t>accordo</t>
        </is>
      </c>
      <c r="T11" s="10" t="inlineStr">
        <is>
          <t>disaccordo</t>
        </is>
      </c>
      <c r="U11" s="10" t="inlineStr">
        <is>
          <t>disaccordo</t>
        </is>
      </c>
      <c r="V11" s="10" t="inlineStr">
        <is>
          <t>disaccordo</t>
        </is>
      </c>
      <c r="W11" s="7" t="n">
        <v>60.26</v>
      </c>
    </row>
    <row r="12" ht="34" customHeight="1">
      <c r="A12" s="7" t="n">
        <v>10</v>
      </c>
      <c r="B12" s="7" t="n">
        <v>20</v>
      </c>
      <c r="C12" s="7" t="n">
        <v>24</v>
      </c>
      <c r="D12" s="7" t="n">
        <v>80</v>
      </c>
      <c r="E12" s="7" t="n">
        <v>65</v>
      </c>
      <c r="F12" s="7" t="n">
        <v>18.88</v>
      </c>
      <c r="G12" s="7" t="n">
        <v>83.52</v>
      </c>
      <c r="H12" s="7" t="n">
        <v>69.01000000000001</v>
      </c>
      <c r="I12" s="7" t="n">
        <v>20.49</v>
      </c>
      <c r="J12" s="10" t="inlineStr">
        <is>
          <t>rosso</t>
        </is>
      </c>
      <c r="K12" s="8" t="inlineStr">
        <is>
          <t>arancione</t>
        </is>
      </c>
      <c r="L12" s="11" t="inlineStr">
        <is>
          <t>verde</t>
        </is>
      </c>
      <c r="M12" s="7" t="n">
        <v>15</v>
      </c>
      <c r="N12" s="7" t="n">
        <v>61.12</v>
      </c>
      <c r="O12" s="7" t="n">
        <v>46.12</v>
      </c>
      <c r="P12" s="7" t="n">
        <v>14.51</v>
      </c>
      <c r="Q12" s="7" t="n">
        <v>63.03</v>
      </c>
      <c r="R12" s="7" t="n">
        <v>48.52</v>
      </c>
      <c r="S12" s="10" t="inlineStr">
        <is>
          <t>disaccordo</t>
        </is>
      </c>
      <c r="T12" s="10" t="inlineStr">
        <is>
          <t>disaccordo</t>
        </is>
      </c>
      <c r="U12" s="10" t="inlineStr">
        <is>
          <t>disaccordo</t>
        </is>
      </c>
      <c r="V12" s="10" t="inlineStr">
        <is>
          <t>disaccordo</t>
        </is>
      </c>
      <c r="W12" s="7" t="n">
        <v>57.67</v>
      </c>
    </row>
    <row r="13" ht="34" customHeight="1">
      <c r="A13" s="7" t="n">
        <v>11</v>
      </c>
      <c r="B13" s="7" t="n">
        <v>22</v>
      </c>
      <c r="C13" s="7" t="n">
        <v>26</v>
      </c>
      <c r="D13" s="7" t="n">
        <v>85</v>
      </c>
      <c r="E13" s="7" t="n">
        <v>65</v>
      </c>
      <c r="F13" s="7" t="n">
        <v>19.83</v>
      </c>
      <c r="G13" s="7" t="n">
        <v>85.66</v>
      </c>
      <c r="H13" s="7" t="n">
        <v>66.59999999999999</v>
      </c>
      <c r="I13" s="7" t="n">
        <v>20.33</v>
      </c>
      <c r="J13" s="10" t="inlineStr">
        <is>
          <t>rosso</t>
        </is>
      </c>
      <c r="K13" s="8" t="inlineStr">
        <is>
          <t>arancione</t>
        </is>
      </c>
      <c r="L13" s="11" t="inlineStr">
        <is>
          <t>verde</t>
        </is>
      </c>
      <c r="M13" s="7" t="n">
        <v>20</v>
      </c>
      <c r="N13" s="7" t="n">
        <v>65.17</v>
      </c>
      <c r="O13" s="7" t="n">
        <v>45.17</v>
      </c>
      <c r="P13" s="7" t="n">
        <v>19.06</v>
      </c>
      <c r="Q13" s="7" t="n">
        <v>65.33</v>
      </c>
      <c r="R13" s="7" t="n">
        <v>46.27</v>
      </c>
      <c r="S13" s="10" t="inlineStr">
        <is>
          <t>disaccordo</t>
        </is>
      </c>
      <c r="T13" s="10" t="inlineStr">
        <is>
          <t>disaccordo</t>
        </is>
      </c>
      <c r="U13" s="10" t="inlineStr">
        <is>
          <t>disaccordo</t>
        </is>
      </c>
      <c r="V13" s="10" t="inlineStr">
        <is>
          <t>disaccordo</t>
        </is>
      </c>
      <c r="W13" s="7" t="n">
        <v>57.53</v>
      </c>
    </row>
    <row r="14" ht="34" customHeight="1">
      <c r="A14" s="7" t="n">
        <v>12</v>
      </c>
      <c r="B14" s="7" t="n">
        <v>24</v>
      </c>
      <c r="C14" s="7" t="n">
        <v>28</v>
      </c>
      <c r="D14" s="7" t="n">
        <v>70</v>
      </c>
      <c r="E14" s="7" t="n">
        <v>35</v>
      </c>
      <c r="F14" s="7" t="n">
        <v>15.87</v>
      </c>
      <c r="G14" s="7" t="n">
        <v>76.26000000000001</v>
      </c>
      <c r="H14" s="7" t="n">
        <v>47.64</v>
      </c>
      <c r="I14" s="7" t="n">
        <v>17.65</v>
      </c>
      <c r="J14" s="10" t="inlineStr">
        <is>
          <t>rosso</t>
        </is>
      </c>
      <c r="K14" s="9" t="inlineStr">
        <is>
          <t>giallo</t>
        </is>
      </c>
      <c r="L14" s="11" t="inlineStr">
        <is>
          <t>verde</t>
        </is>
      </c>
      <c r="M14" s="7" t="n">
        <v>35</v>
      </c>
      <c r="N14" s="7" t="n">
        <v>54.13</v>
      </c>
      <c r="O14" s="7" t="n">
        <v>19.13</v>
      </c>
      <c r="P14" s="7" t="n">
        <v>28.62</v>
      </c>
      <c r="Q14" s="7" t="n">
        <v>58.61</v>
      </c>
      <c r="R14" s="7" t="n">
        <v>29.99</v>
      </c>
      <c r="S14" s="10" t="inlineStr">
        <is>
          <t>disaccordo</t>
        </is>
      </c>
      <c r="T14" s="10" t="inlineStr">
        <is>
          <t>disaccordo</t>
        </is>
      </c>
      <c r="U14" s="10" t="inlineStr">
        <is>
          <t>disaccordo</t>
        </is>
      </c>
      <c r="V14" s="10" t="inlineStr">
        <is>
          <t>disaccordo</t>
        </is>
      </c>
      <c r="W14" s="7" t="n">
        <v>47.18</v>
      </c>
    </row>
    <row r="15" ht="34" customHeight="1">
      <c r="A15" s="7" t="n">
        <v>13</v>
      </c>
      <c r="B15" s="7" t="n">
        <v>26</v>
      </c>
      <c r="C15" s="7" t="n">
        <v>30</v>
      </c>
      <c r="D15" s="7" t="n">
        <v>50</v>
      </c>
      <c r="E15" s="7" t="n">
        <v>35</v>
      </c>
      <c r="F15" s="7" t="n">
        <v>8.390000000000001</v>
      </c>
      <c r="G15" s="7" t="n">
        <v>60.5</v>
      </c>
      <c r="H15" s="7" t="n">
        <v>40.06</v>
      </c>
      <c r="I15" s="7" t="n">
        <v>12.09</v>
      </c>
      <c r="J15" s="8" t="inlineStr">
        <is>
          <t>arancione</t>
        </is>
      </c>
      <c r="K15" s="9" t="inlineStr">
        <is>
          <t>giallo</t>
        </is>
      </c>
      <c r="L15" s="11" t="inlineStr">
        <is>
          <t>verde</t>
        </is>
      </c>
      <c r="M15" s="7" t="n">
        <v>15</v>
      </c>
      <c r="N15" s="7" t="n">
        <v>41.61</v>
      </c>
      <c r="O15" s="7" t="n">
        <v>26.61</v>
      </c>
      <c r="P15" s="7" t="n">
        <v>20.44</v>
      </c>
      <c r="Q15" s="7" t="n">
        <v>48.41</v>
      </c>
      <c r="R15" s="7" t="n">
        <v>27.97</v>
      </c>
      <c r="S15" s="10" t="inlineStr">
        <is>
          <t>disaccordo</t>
        </is>
      </c>
      <c r="T15" s="10" t="inlineStr">
        <is>
          <t>disaccordo</t>
        </is>
      </c>
      <c r="U15" s="10" t="inlineStr">
        <is>
          <t>disaccordo</t>
        </is>
      </c>
      <c r="V15" s="10" t="inlineStr">
        <is>
          <t>disaccordo</t>
        </is>
      </c>
      <c r="W15" s="7" t="n">
        <v>37.55</v>
      </c>
    </row>
    <row r="16" ht="34" customHeight="1">
      <c r="A16" s="7" t="n">
        <v>14</v>
      </c>
      <c r="B16" s="7" t="n">
        <v>28</v>
      </c>
      <c r="C16" s="7" t="n">
        <v>32</v>
      </c>
      <c r="D16" s="7" t="n">
        <v>40</v>
      </c>
      <c r="E16" s="7" t="n">
        <v>35</v>
      </c>
      <c r="F16" s="7" t="n">
        <v>16.67</v>
      </c>
      <c r="G16" s="7" t="n">
        <v>48.2</v>
      </c>
      <c r="H16" s="7" t="n">
        <v>37.02</v>
      </c>
      <c r="I16" s="7" t="n">
        <v>16.91</v>
      </c>
      <c r="J16" s="9" t="inlineStr">
        <is>
          <t>giallo</t>
        </is>
      </c>
      <c r="K16" s="9" t="inlineStr">
        <is>
          <t>giallo</t>
        </is>
      </c>
      <c r="L16" s="11" t="inlineStr">
        <is>
          <t>verde</t>
        </is>
      </c>
      <c r="M16" s="7" t="n">
        <v>5</v>
      </c>
      <c r="N16" s="7" t="n">
        <v>23.33</v>
      </c>
      <c r="O16" s="7" t="n">
        <v>18.33</v>
      </c>
      <c r="P16" s="7" t="n">
        <v>11.18</v>
      </c>
      <c r="Q16" s="7" t="n">
        <v>31.29</v>
      </c>
      <c r="R16" s="7" t="n">
        <v>20.11</v>
      </c>
      <c r="S16" s="11" t="inlineStr">
        <is>
          <t>accordo</t>
        </is>
      </c>
      <c r="T16" s="10" t="inlineStr">
        <is>
          <t>disaccordo</t>
        </is>
      </c>
      <c r="U16" s="10" t="inlineStr">
        <is>
          <t>disaccordo</t>
        </is>
      </c>
      <c r="V16" s="10" t="inlineStr">
        <is>
          <t>disaccordo</t>
        </is>
      </c>
      <c r="W16" s="7" t="n">
        <v>34.04</v>
      </c>
    </row>
    <row r="17" ht="34" customHeight="1">
      <c r="A17" s="7" t="n">
        <v>15</v>
      </c>
      <c r="B17" s="7" t="n">
        <v>30</v>
      </c>
      <c r="C17" s="7" t="n">
        <v>34</v>
      </c>
      <c r="D17" s="7" t="n">
        <v>55</v>
      </c>
      <c r="E17" s="7" t="n">
        <v>35</v>
      </c>
      <c r="F17" s="7" t="n">
        <v>5.37</v>
      </c>
      <c r="G17" s="7" t="n">
        <v>56.03</v>
      </c>
      <c r="H17" s="7" t="n">
        <v>35.81</v>
      </c>
      <c r="I17" s="7" t="n">
        <v>9.99</v>
      </c>
      <c r="J17" s="8" t="inlineStr">
        <is>
          <t>arancione</t>
        </is>
      </c>
      <c r="K17" s="9" t="inlineStr">
        <is>
          <t>giallo</t>
        </is>
      </c>
      <c r="L17" s="11" t="inlineStr">
        <is>
          <t>verde</t>
        </is>
      </c>
      <c r="M17" s="7" t="n">
        <v>20</v>
      </c>
      <c r="N17" s="7" t="n">
        <v>49.63</v>
      </c>
      <c r="O17" s="7" t="n">
        <v>29.63</v>
      </c>
      <c r="P17" s="7" t="n">
        <v>20.22</v>
      </c>
      <c r="Q17" s="7" t="n">
        <v>46.04</v>
      </c>
      <c r="R17" s="7" t="n">
        <v>25.82</v>
      </c>
      <c r="S17" s="10" t="inlineStr">
        <is>
          <t>disaccordo</t>
        </is>
      </c>
      <c r="T17" s="10" t="inlineStr">
        <is>
          <t>disaccordo</t>
        </is>
      </c>
      <c r="U17" s="10" t="inlineStr">
        <is>
          <t>disaccordo</t>
        </is>
      </c>
      <c r="V17" s="10" t="inlineStr">
        <is>
          <t>disaccordo</t>
        </is>
      </c>
      <c r="W17" s="7" t="n">
        <v>33.94</v>
      </c>
    </row>
    <row r="18" ht="34" customHeight="1">
      <c r="A18" s="7" t="n">
        <v>16</v>
      </c>
      <c r="B18" s="7" t="n">
        <v>32</v>
      </c>
      <c r="C18" s="7" t="n">
        <v>36</v>
      </c>
      <c r="D18" s="7" t="n">
        <v>40</v>
      </c>
      <c r="E18" s="7" t="n">
        <v>38</v>
      </c>
      <c r="F18" s="7" t="n">
        <v>12.59</v>
      </c>
      <c r="G18" s="7" t="n">
        <v>46.41</v>
      </c>
      <c r="H18" s="7" t="n">
        <v>37.87</v>
      </c>
      <c r="I18" s="7" t="n">
        <v>13.36</v>
      </c>
      <c r="J18" s="9" t="inlineStr">
        <is>
          <t>giallo</t>
        </is>
      </c>
      <c r="K18" s="9" t="inlineStr">
        <is>
          <t>giallo</t>
        </is>
      </c>
      <c r="L18" s="11" t="inlineStr">
        <is>
          <t>verde</t>
        </is>
      </c>
      <c r="M18" s="7" t="n">
        <v>2</v>
      </c>
      <c r="N18" s="7" t="n">
        <v>27.41</v>
      </c>
      <c r="O18" s="7" t="n">
        <v>25.41</v>
      </c>
      <c r="P18" s="7" t="n">
        <v>8.539999999999999</v>
      </c>
      <c r="Q18" s="7" t="n">
        <v>33.05</v>
      </c>
      <c r="R18" s="7" t="n">
        <v>24.51</v>
      </c>
      <c r="S18" s="11" t="inlineStr">
        <is>
          <t>accordo</t>
        </is>
      </c>
      <c r="T18" s="10" t="inlineStr">
        <is>
          <t>disaccordo</t>
        </is>
      </c>
      <c r="U18" s="10" t="inlineStr">
        <is>
          <t>disaccordo</t>
        </is>
      </c>
      <c r="V18" s="10" t="inlineStr">
        <is>
          <t>disaccordo</t>
        </is>
      </c>
      <c r="W18" s="7" t="n">
        <v>32.55</v>
      </c>
    </row>
    <row r="19" ht="34" customHeight="1">
      <c r="A19" s="7" t="n">
        <v>17</v>
      </c>
      <c r="B19" s="7" t="n">
        <v>34</v>
      </c>
      <c r="C19" s="7" t="n">
        <v>36.689</v>
      </c>
      <c r="D19" s="7" t="n">
        <v>30</v>
      </c>
      <c r="E19" s="7" t="n">
        <v>30</v>
      </c>
      <c r="F19" s="7" t="n">
        <v>4.57</v>
      </c>
      <c r="G19" s="7" t="n">
        <v>36.56</v>
      </c>
      <c r="H19" s="7" t="n">
        <v>33.15</v>
      </c>
      <c r="I19" s="7" t="n">
        <v>8.09</v>
      </c>
      <c r="J19" s="9" t="inlineStr">
        <is>
          <t>giallo</t>
        </is>
      </c>
      <c r="K19" s="9" t="inlineStr">
        <is>
          <t>giallo</t>
        </is>
      </c>
      <c r="L19" s="11" t="inlineStr">
        <is>
          <t>verde</t>
        </is>
      </c>
      <c r="M19" s="7" t="n">
        <v>0</v>
      </c>
      <c r="N19" s="7" t="n">
        <v>25.43</v>
      </c>
      <c r="O19" s="7" t="n">
        <v>25.43</v>
      </c>
      <c r="P19" s="7" t="n">
        <v>3.41</v>
      </c>
      <c r="Q19" s="7" t="n">
        <v>28.47</v>
      </c>
      <c r="R19" s="7" t="n">
        <v>25.06</v>
      </c>
      <c r="S19" s="11" t="inlineStr">
        <is>
          <t>accordo</t>
        </is>
      </c>
      <c r="T19" s="10" t="inlineStr">
        <is>
          <t>disaccordo</t>
        </is>
      </c>
      <c r="U19" s="10" t="inlineStr">
        <is>
          <t>disaccordo</t>
        </is>
      </c>
      <c r="V19" s="10" t="inlineStr">
        <is>
          <t>disaccordo</t>
        </is>
      </c>
      <c r="W19" s="7" t="n">
        <v>25.93</v>
      </c>
    </row>
    <row r="20" ht="34" customHeight="1">
      <c r="A20" s="7" t="n">
        <v>18</v>
      </c>
      <c r="B20" s="7" t="n">
        <v>36</v>
      </c>
      <c r="C20" s="7" t="n">
        <v>36.689</v>
      </c>
      <c r="D20" s="7" t="n">
        <v>45</v>
      </c>
      <c r="E20" s="7" t="n">
        <v>5</v>
      </c>
      <c r="F20" s="7" t="n">
        <v>1.2</v>
      </c>
      <c r="G20" s="7" t="n">
        <v>45.37</v>
      </c>
      <c r="H20" s="7" t="n">
        <v>16.26</v>
      </c>
      <c r="I20" s="7" t="n">
        <v>3.96</v>
      </c>
      <c r="J20" s="9" t="inlineStr">
        <is>
          <t>giallo</t>
        </is>
      </c>
      <c r="K20" s="11" t="inlineStr">
        <is>
          <t>verde</t>
        </is>
      </c>
      <c r="L20" s="11" t="inlineStr">
        <is>
          <t>verde</t>
        </is>
      </c>
      <c r="M20" s="7" t="n">
        <v>40</v>
      </c>
      <c r="N20" s="7" t="n">
        <v>43.8</v>
      </c>
      <c r="O20" s="7" t="n">
        <v>3.8</v>
      </c>
      <c r="P20" s="7" t="n">
        <v>29.11</v>
      </c>
      <c r="Q20" s="7" t="n">
        <v>41.41</v>
      </c>
      <c r="R20" s="7" t="n">
        <v>12.3</v>
      </c>
      <c r="S20" s="10" t="inlineStr">
        <is>
          <t>disaccordo</t>
        </is>
      </c>
      <c r="T20" s="10" t="inlineStr">
        <is>
          <t>disaccordo</t>
        </is>
      </c>
      <c r="U20" s="11" t="inlineStr">
        <is>
          <t>accordo</t>
        </is>
      </c>
      <c r="V20" s="10" t="inlineStr">
        <is>
          <t>disaccordo</t>
        </is>
      </c>
      <c r="W20" s="7" t="n">
        <v>21.86</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20"/>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8" customWidth="1" min="5" max="5"/>
    <col width="16" customWidth="1" min="6" max="6"/>
    <col width="8" customWidth="1" min="7" max="7"/>
    <col width="7" customWidth="1" min="8" max="8"/>
  </cols>
  <sheetData>
    <row r="1" ht="16" customHeight="1">
      <c r="A1" s="2" t="inlineStr">
        <is>
          <t>window_id</t>
        </is>
      </c>
      <c r="B1" s="2" t="inlineStr">
        <is>
          <t>start_time_s</t>
        </is>
      </c>
      <c r="C1" s="2" t="inlineStr">
        <is>
          <t>end_time_s</t>
        </is>
      </c>
      <c r="D1" s="3" t="inlineStr">
        <is>
          <t>free_scene_json</t>
        </is>
      </c>
      <c r="E1" s="3" t="inlineStr">
        <is>
          <t>instantaneous_risk_score_vlm_free</t>
        </is>
      </c>
      <c r="F1" s="3" t="inlineStr">
        <is>
          <t>score_rationale_vlm_free</t>
        </is>
      </c>
      <c r="G1" s="3" t="inlineStr">
        <is>
          <t>dynamic_risk_score_vlm_free</t>
        </is>
      </c>
      <c r="H1" s="3" t="inlineStr">
        <is>
          <t>traffic_light_color_vlm_free</t>
        </is>
      </c>
    </row>
    <row r="2" ht="34" customHeight="1">
      <c r="A2" s="7" t="n">
        <v>0</v>
      </c>
      <c r="B2" s="7" t="n">
        <v>0</v>
      </c>
      <c r="C2" s="7" t="n">
        <v>4</v>
      </c>
      <c r="D2" s="7" t="inlineStr">
        <is>
          <t>{"descrizione_scena": "Area di produzione industriale con presenza di macchinari pesanti, cassoni metallici e transito di personale.", "contesto": "Reparto di stampaggio o lavorazione metalli con layout compatto e spazi di manovra ridotti.", "personale": {"conteggio_approssimativo": 6, "dettagli": "Operatori dislocati in varie postazioni. Un lavoratore in maglia rossa cammina verso il fondo, un altro con elmetto giallo si sposta in primo piano."}, "macchinari_oggetti": {"principali": "Grande pressa industriale verde sulla sinistra, cassoni metallici per sfridi o componenti, carrelli e attrezzature di supporto."}, "condizioni_ambientali": {"illuminazione": "Artificiale tipica da capannone, con ombre marcate.", "limiti_visibilita": "Risoluzione CCTV medio-bassa che limita il dettaglio visivo sui DPI minori."}, "dpi_osservati": {"elmetti": "Visibili su alcuni operatori (giallo e bianco).", "potenziali_criticita": "L'operatore in maglia rossa non sembra indossare l'elmetto protettivo."}, "analisi_rischi": {"dinamiche_in_corso": "Coesistenza di attività di movimentazione manuale e transito pedonale in prossimità di macchine operative.", "fattori_contribuenti": "Layout congestionato e apparente assenza di vie pedonali delimitate.", "sviluppi_rischiosi": "Rischio moderato di urto o inciampo dovuto alla vicinanza tra pedoni e carrelli/materiali.", "livello_rischio_stimato": 3}}</t>
        </is>
      </c>
      <c r="E2" s="7" t="n">
        <v>60</v>
      </c>
      <c r="F2" s="7" t="inlineStr">
        <is>
          <t>Il punteggio di 60 riflette un rischio moderato-alto dovuto alla compresenza di un layout congestionato con spazi di manovra ridotti e alla mancanza di vie pedonali delimitate. La criticità principale è rappresentata dal mancato uso dell'elmetto protettivo da parte dell'operatore in maglia rossa in un'area con macchinari pesanti e movimentazione carichi.</t>
        </is>
      </c>
      <c r="G2" s="7" t="n">
        <v>60</v>
      </c>
      <c r="H2" s="8" t="inlineStr">
        <is>
          <t>arancione</t>
        </is>
      </c>
    </row>
    <row r="3" ht="34" customHeight="1">
      <c r="A3" s="7" t="n">
        <v>1</v>
      </c>
      <c r="B3" s="7" t="n">
        <v>2</v>
      </c>
      <c r="C3" s="7" t="n">
        <v>6</v>
      </c>
      <c r="D3" s="7" t="inlineStr">
        <is>
          <t>{"scena_generale": {"contesto": "Officina industriale o impianto di produzione metalmeccanica con presenza di macchinari pesanti e aree di stoccaggio.", "finestra_temporale": "2.0 - 6.0 secondi"}, "elementi_rilevati": {"persone": [{"ruolo": "Operatore accovacciato", "posizione": "Base della pressa verde", "attivita": "Manutenzione o regolazione della macchina"}, {"ruolo": "Operatore in piedi", "posizione": "Accanto alla pressa verde", "attivita": "Monitoraggio o assistenza"}, {"ruolo": "Operatore in primo piano", "posizione": "Spalle alla telecamera, vicino al tavolo", "attivita": "In piedi, statico"}, {"ruolo": "Operatore in rosso", "posizione": "Sfondo, cammina verso l'alto", "attivita": "Spostamento"}, {"ruolo": "Operatore a destra", "posizione": "Vicino alla postazione di lavoro destra", "attivita": "Statico/operativo"}, {"ruolo": "Nuovo operatore", "posizione": "In basso a sinistra, entra nell'inquadratura", "attivita": "In movimento, indossa casco giallo"}], "macchinari": "Grande pressa industriale di colore verde sul lato sinistro.", "oggetti": "Contenitori metallici di stoccaggio, pallet di legno e metallo, tavoli da lavoro, secchi e materiali sparsi sul pavimento."}, "condizioni_ambientali_e_visibilita": {"illuminazione": "Artificiale, tipica da interno industriale.", "visibilita": "Inquadratura dall'alto (CCTV). Alcune aree sono parzialmente occluse dai macchinari e dalle strutture dei container.", "ordine_pulizia": "Presenza di ostacoli e materiali a terra che riducono lo spazio di manovra sicuro."}, "analisi_sicurezza": {"dpi_osservati": "Caschi protettivi (bianchi e uno giallo visibile in basso a sinistra). Non è possibile verificare con certezza calzature di sicurezza o protezioni acustiche.", "ragionamento_prudenziale": "Un operatore lavora accovacciato direttamente sotto/accanto alla zona di azione della pressa verde. Un secondo operatore supervisiona a breve distanza.", "sviluppi_rischiosi_plausibili": ["Rischio di schiacciamento o cesoiamento se la pressa viene attivata accidentalmente mentre l'operatore è accovacciato alla base.", "Rischio di inciampo e caduta dovuto alla presenza di cavi, secchi e materiali non stoccati ordinatamente attorno alla zona di lavoro della pressa."], "fattori_contribuenti": "Prossimità fisica immediata alle parti mobili del macchinario e layout dell'area di lavoro parzialmente congestionato."}}</t>
        </is>
      </c>
      <c r="E3" s="7" t="n">
        <v>70</v>
      </c>
      <c r="F3" s="7" t="inlineStr">
        <is>
          <t>Il punteggio di 70 riflette un rischio elevato dovuto alla presenza di un operatore accovacciato direttamente alla base di una pressa industriale pesante per attività di manutenzione. Sebbene sia presente un supervisore e vengano indossati i caschi, la prossimità immediata alle parti mobili della macchina, unita al disordine dell'area di lavoro (ostacoli e materiali a terra che aumentano il rischio di inciampo), configura una situazione di potenziale pericolo grave (schiacciamento o cesoiamento) in caso di attivazione accidentale o movimenti falsati.</t>
        </is>
      </c>
      <c r="G3" s="7" t="n">
        <v>68.5</v>
      </c>
      <c r="H3" s="8" t="inlineStr">
        <is>
          <t>arancione</t>
        </is>
      </c>
    </row>
    <row r="4" ht="34" customHeight="1">
      <c r="A4" s="7" t="n">
        <v>2</v>
      </c>
      <c r="B4" s="7" t="n">
        <v>4</v>
      </c>
      <c r="C4" s="7" t="n">
        <v>8</v>
      </c>
      <c r="D4" s="7" t="inlineStr">
        <is>
          <t>{"analisi_scena": {"contesto": "Officina metalmeccanica con macchinari pesanti e aree di stoccaggio materiali.", "finestra_temporale": "4.0 - 8.0 secondi", "elementi_visibili": {"persone": "Almeno cinque operatori presenti nell'area di lavoro, impegnati in diverse mansioni.", "macchinari": "Grande pressa industriale verde sul lato sinistro.", "oggetti": "Tavoli da lavoro in metallo, contenitori industriali, casse in legno, pallet con materiali."}, "azioni_e_dinamiche": {"attivita": "Un operatore è chinato vicino alla pressa, altri sono in piedi o in movimento nell'area circostante.", "condizioni_ambientali": "Illuminazione interna sufficiente, pavimentazione industriale con presenza di ostacoli e attrezzature."}, "sicurezza_e_dpi": {"dpi_osservati": "Caschi protettivi (gialli e bianchi) visibili su alcuni operatori.", "limiti_visibilita": "Risoluzione video media e angolazione dall'alto che limitano la verifica di altri DPI (es. scarpe antinfortunistiche, guanti)."}, "analisi_rischio": {"fattori_contribuenti": "Presenza di molteplici oggetti e attrezzature a terra che riducono lo spazio di manovra.", "sviluppi_rischiosi": "Rischio di inciampo o scivolamento dovuto al disordine; potenziale contatto accidentale con parti in movimento della pressa se non adeguatamente protetta."}}}</t>
        </is>
      </c>
      <c r="E4" s="7" t="n">
        <v>50</v>
      </c>
      <c r="F4" s="7" t="inlineStr">
        <is>
          <t>Il punteggio di 50 indica un rischio moderato. La presenza di molteplici ostacoli e attrezzature sulla pavimentazione aumenta il rischio di scivolamento o inciampo per i cinque operatori nell'area. Inoltre, la vicinanza di un lavoratore alla pressa industriale, combinata con l'impossibilità di verificare la presenza di barriere di sicurezza e la totalità dei DPI (come scarpe antinfortunistiche e guanti), rappresenta un potenziale fattore di pericolo che richiede attenzione.</t>
        </is>
      </c>
      <c r="G4" s="7" t="n">
        <v>57.4</v>
      </c>
      <c r="H4" s="8" t="inlineStr">
        <is>
          <t>arancione</t>
        </is>
      </c>
    </row>
    <row r="5" ht="34" customHeight="1">
      <c r="A5" s="7" t="n">
        <v>3</v>
      </c>
      <c r="B5" s="7" t="n">
        <v>6</v>
      </c>
      <c r="C5" s="7" t="n">
        <v>10</v>
      </c>
      <c r="D5" s="7" t="inlineStr">
        <is>
          <t>{"contesto_generale": {"ambiente": "Officina meccanica industriale con macchinari pesanti e aree di stoccaggio materiali.", "illuminazione": "Luce artificiale interna, visibilità generale discreta.", "ordine_pulizia": "Presenza di attrezzature, pallet e contenitori metallici che limitano parzialmente le vie di transito."}, "personale_e_dpi": {"operatori_rilevati": 4, "dettaglio_operatori": [{"id": 1, "posizione": "In piedi accanto alla pressa verde", "dpi_visibili": ["Casco protettivo bianco"], "abbigliamento": "Camicia azzurra, pantaloni scuri"}, {"id": 2, "posizione": "Accovacciato alla base della pressa", "dpi_visibili": ["Casco protettivo bianco"], "abbigliamento": "Camicia chiara"}, {"id": 3, "posizione": "In transito nell'area in basso a sinistra", "dpi_visibili": ["Non chiaramente identificabili"], "abbigliamento": "Camicia chiara, pantaloni scuri"}, {"id": 4, "posizione": "Stazionario sul lato destro della scena", "dpi_visibili": ["Non identificabili"]}], "note_dpi": "Non si rileva l'uso di gilet ad alta visibilità."}, "macchinari_e_oggetti": {"macchinari_principali": ["Grande pressa verticale industriale di colore verde"], "oggetti_rilevanti": ["Contenitori metallici per pezzi lavorati", "Pallet in legno", "Tavolo di supporto in metallo", "Secchio nei pressi della pressa"]}, "analisi_rischi": {"dinamica_osservata": "Un operatore esegue attività manuali accovacciato vicino alla zona di operazione della pressa, mentre un secondo operatore presidia l'area adiacente.", "fattori_contribuenti": "Interazione ravvicinata con macchinario pesante potenzialmente attivo; assenza di barriere di segregazione visibili attorno alla zona di intervento.", "sviluppi_rischiosi_plausibili": "Rischio di schiacciamento degli arti per l'operatore accovacciato in caso di avviamento intempestivo del macchinario o mancata coordinazione tra i lavoratori.", "limiti_osservativi": "La prospettiva della telecamera non consente di verificare l'effettivo isolamento energetico (LOTO) della pressa o l'uso di calzature antinfortunistiche."}}</t>
        </is>
      </c>
      <c r="E5" s="7" t="n">
        <v>80</v>
      </c>
      <c r="F5" s="7" t="inlineStr">
        <is>
          <t>Il punteggio di 80 riflette un rischio elevato dovuto alla presenza di un operatore accovacciato direttamente alla base di una pressa verticale pesante senza barriere di segregazione visibili. Sebbene gli operatori principali indossino il casco, l'interazione ravvicinata con la zona di pericolo del macchinario, l'assenza di gilet ad alta visibilità in un'area di transito e l'impossibilità di verificare l'applicazione delle procedure di isolamento energetico (LOTO) espongono il lavoratore a un grave rischio di schiacciamento in caso di attivazione accidentale o mancata coordinazione.</t>
        </is>
      </c>
      <c r="G5" s="7" t="n">
        <v>78.45999999999999</v>
      </c>
      <c r="H5" s="10" t="inlineStr">
        <is>
          <t>rosso</t>
        </is>
      </c>
    </row>
    <row r="6" ht="34" customHeight="1">
      <c r="A6" s="7" t="n">
        <v>4</v>
      </c>
      <c r="B6" s="7" t="n">
        <v>8</v>
      </c>
      <c r="C6" s="7" t="n">
        <v>12</v>
      </c>
      <c r="D6" s="7" t="inlineStr">
        <is>
          <t>{"scena_e_contesto": {"descrizione_generale": "Area di lavoro industriale con macchinari pesanti e movimentazione materiali.", "contesto": "Stabilimento di produzione o stampaggio metalli."}, "soggetti_e_dpi": {"persone_presenti": "Almeno quattro operatori identificabili nell'area di lavoro.", "dpi_osservati": "Caschi protettivi (colore bianco e giallo) indossati da alcuni operatori."}, "elementi_fisici": {"macchinari": "Grande pressa industriale di colore verde posizionata sul lato sinistro.", "oggetti_e_attrezzature": "Contenitori metallici per scarti, pallet con semilavorati, carrelli e un tavolo metallico."}, "attivita_e_condizioni": {"azioni_osservabili": "Un operatore è accovacciato vicino alla base della pressa; un secondo operatore è in piedi vicino alla zona di carico; un terzo soggetto transita rapidamente in basso a sinistra.", "condizioni_ambientali": "Illuminazione interna sufficiente, pavimentazione apparentemente asciutta ma occupata da attrezzature."}, "analisi_visiva_e_rischi": {"limiti_visibilita": "Inquadratura dall'alto con risoluzione moderata; presenza di sfocatura da movimento per i soggetti in transito.", "ragionamento_causale_e_rischi": "La posizione accovacciata dell'operatore alla base della pressa espone il lavoratore a rischi di schiacciamento o intrappolamento in caso di attivazione accidentale del macchinario.", "fattori_contribuenti": "Interazione ravvicinata e contemporanea di più operatori attorno alla stessa macchina senza barriere di segregazione visibili."}}</t>
        </is>
      </c>
      <c r="E6" s="7" t="n">
        <v>80</v>
      </c>
      <c r="F6" s="7" t="inlineStr">
        <is>
          <t>Il punteggio di 80 è giustificato dall'elevato rischio di schiacciamento e intrappolamento per l'operatore accovacciato alla base della pressa industriale. L'assenza di barriere di segregazione visibili e la presenza contemporanea di più soggetti nell'area aumentano significativamente la probabilità di un'attivazione accidentale o di un errore umano, configurando una situazione di pericolo grave nonostante l'uso di alcuni DPI di base come i caschi.</t>
        </is>
      </c>
      <c r="G6" s="7" t="n">
        <v>79.38</v>
      </c>
      <c r="H6" s="10" t="inlineStr">
        <is>
          <t>rosso</t>
        </is>
      </c>
    </row>
    <row r="7" ht="34" customHeight="1">
      <c r="A7" s="7" t="n">
        <v>5</v>
      </c>
      <c r="B7" s="7" t="n">
        <v>10</v>
      </c>
      <c r="C7" s="7" t="n">
        <v>14</v>
      </c>
      <c r="D7" s="7" t="inlineStr">
        <is>
          <t>{"analisi_scena": {"contesto": "Officina metalmeccanica con una grande pressa industriale verde sul lato sinistro, cassoni metallici e materiali di produzione disposti nell'area di lavoro.", "persone_presenti": [{"id": 1, "ruolo_apparente": "Operatore in piedi", "dpi_visibili": ["Casco bianco", "Camicia azzurra"]}, {"id": 2, "ruolo_apparente": "Operatore accovacciato vicino alla base della pressa", "dpi_visibili": ["Casco giallo"]}, {"id": 3, "ruolo_apparente": "Operatore che si alza e si flette verso la zona di lavoro della pressa", "dpi_visibili": ["Casco bianco", "Camicia azzurra"]}], "macchinari_oggetti": ["Grande pressa industriale verde", "Contenitori metallici di stoccaggio", "Carrello metallico mobile", "Pallet con componenti"], "azioni_osservabili": "L'operatore 3 passa da una posizione accovacciata a una posizione eretta, piegandosi successivamente verso l'area operativa della pressa.", "condizioni_ambientali": "Illuminazione interna sufficiente; spazi di transito parzialmente occupati da attrezzature.", "limiti_osservativi": "La risoluzione non permette di verificare con certezza l'uso di scarpe antinfortunistiche, guanti o l'effettivo stato di attivazione dei sistemi di sicurezza della pressa."}, "valutazione_sicurezza": {"dinamiche_rischiose": "L'operatore si flette molto vicino alla zona di stampaggio della pressa, esponendosi a un potenziale rischio di schiacciamento o intrappolamento in caso di attivazione accidentale.", "fattori_contribuenti": "Prossimità fisica immediata alla zona di pericolo del macchinario senza barriere protettive visibili interposte.", "sviluppi_plausibili": "Contatto accidentale con parti in movimento della pressa o scivolamento dovuto alla postura instabile vicino al macchinario."}}</t>
        </is>
      </c>
      <c r="E7" s="7" t="n">
        <v>80</v>
      </c>
      <c r="F7" s="7" t="inlineStr">
        <is>
          <t>Il punteggio di 80 riflette un rischio elevato dovuto alla presenza dell'operatore che si flette direttamente verso l'area di stampaggio della pressa industriale. La prossimità fisica immediata alla zona di pericolo, l'assenza di barriere protettive visibili e la postura instabile espongono il lavoratore a un grave rischio di schiacciamento o intrappolamento in caso di attivazione accidentale del macchinario.</t>
        </is>
      </c>
      <c r="G7" s="7" t="n">
        <v>79.75</v>
      </c>
      <c r="H7" s="10" t="inlineStr">
        <is>
          <t>rosso</t>
        </is>
      </c>
    </row>
    <row r="8" ht="34" customHeight="1">
      <c r="A8" s="7" t="n">
        <v>6</v>
      </c>
      <c r="B8" s="7" t="n">
        <v>12</v>
      </c>
      <c r="C8" s="7" t="n">
        <v>16</v>
      </c>
      <c r="D8" s="7" t="inlineStr">
        <is>
          <t>{"contesto_e_scena": {"descrizione_generale": "Area di produzione industriale con macchinari pesanti, container di materiale e operatori al lavoro.", "contesto": "Fabbrica metalmeccanica o stampaggio lamiere."}, "soggetti_e_dpi": {"operatori_presenti": 3, "dettagli_operatori": [{"id": "operatore_pressa", "azione": "Chinato vicino alla pressa per movimentare un pezzo metallico.", "dpi_osservabili": ["elmetto protettivo bianco", "calzature da lavoro"]}, {"id": "operatore_supervisore", "azione": "In piedi in posizione di osservazione vicino alla pressa.", "dpi_osservabili": ["elmetto protettivo bianco"]}, {"id": "operatore_destra", "azione": "Parzialmente visibile presso una postazione di lavoro secondaria.", "dpi_osservabili": ["elmetto protettivo"]}]}, "macchinari_e_oggetti": {"principali": ["Grande pressa industriale verde (lato sinistro)", "Contenitori metallici e cassoni per pezzi di scarto o semilavorati", "Tavolo di supporto metallico", "Lamiere e componenti metallici a terra"]}, "analisi_sicurezza": {"condizioni_ambientali": "Illuminazione artificiale sufficiente, spazi di transito parzialmente ingombrati da materiali.", "limiti_visibilita": "Inquadratura dall'alto che limita la visibilità dettagliata delle mani degli operatori e dei comandi macchina.", "dinamiche_rischiose_potenziali": "L'operatore vicino alla pressa lavora in posizione flessa, esponendosi a rischi ergonomici e potenziale schiacciamento degli arti superiori in caso di attivazione accidentale del macchinario.", "fattori_contribuenti": "Presenza di materiali a terra vicino alla zona di lavoro che potrebbero causare inciampi."}}</t>
        </is>
      </c>
      <c r="E8" s="7" t="n">
        <v>65</v>
      </c>
      <c r="F8" s="7" t="inlineStr">
        <is>
          <t>Il punteggio di 65 indica un rischio medio-alto. Sebbene gli operatori indossino i DPI base (elmetto) e vi sia un supervisore, si osservano dinamiche pericolose: l'operatore lavora chinato vicino alla pressa con rischio di schiacciamento degli arti e problemi ergonomici. Inoltre, la presenza di materiali e lamiere a terra nell'area di lavoro aumenta il rischio di inciampo.</t>
        </is>
      </c>
      <c r="G8" s="7" t="n">
        <v>70.90000000000001</v>
      </c>
      <c r="H8" s="8" t="inlineStr">
        <is>
          <t>arancione</t>
        </is>
      </c>
    </row>
    <row r="9" ht="34" customHeight="1">
      <c r="A9" s="7" t="n">
        <v>7</v>
      </c>
      <c r="B9" s="7" t="n">
        <v>14</v>
      </c>
      <c r="C9" s="7" t="n">
        <v>18</v>
      </c>
      <c r="D9" s="7" t="inlineStr">
        <is>
          <t>{"scena_e_contesto": {"descrizione": "Area di produzione industriale con macchinari pesanti, container metallici e postazioni di lavoro.", "contesto": "Fabbrica di lavorazione metalli o stampaggio."}, "personale_e_dpi": {"operatori_rilevati": 3, "dettagli_operatori": [{"id": "Operatore 1", "posizione": "Presso la pressa verde a sinistra", "azione": "Chinato in avanti per movimentare o posizionare un pezzo metallico", "dpi_visibili": "Elmetto protettivo (parzialmente visibile causa postura)"}, {"id": "Operatore 2", "posizione": "Centro-sinistra, in piedi", "azione": "Osservazione e supervisione", "dpi_visibili": "Elmetto protettivo bianco, abbigliamento da lavoro"}, {"id": "Operatore 3", "posizione": "Destra, parzialmente visibile", "azione": "Attività statica presso un banco di lavoro", "dpi_visibili": "Non chiaramente identificabili"}]}, "macchinari_e_oggetti": {"principali": ["Grande pressa industriale verde (lato sinistro)", "Contenitori metallici per pezzi di scarto o semilavorati", "Tavolo di supporto metallico", "Pallet e attrezzature di stoccaggio"]}, "analisi_sicurezza": {"condizioni_ambientali": "Illuminazione artificiale interna, pavimentazione piana con presenza di ostacoli e attrezzature nelle vicinanze delle aree di transito.", "limiti_visibilita": "Inquadratura dall'alto che limita la verifica di dettagli minori come calzature di sicurezza, occhiali protettivi o l'esatta postura dell'operatore alla pressa.", "rischi_potenziali": "Rischio ergonomico per la postura incongrua dell'operatore 1; rischio di schiacciamento o cesoiamento in caso di attivazione accidentale della pressa durante la manipolazione manuale.", "fattori_contribuenti": "Prossimità fisica dell'operatore alle parti in movimento del macchinario senza barriere fisiche visibili in funzione in quel preciso istante."}}</t>
        </is>
      </c>
      <c r="E9" s="7" t="n">
        <v>75</v>
      </c>
      <c r="F9" s="7" t="inlineStr">
        <is>
          <t>Il punteggio di 75 riflette un rischio elevato dovuto all'Operatore 1 chinato per manipolare manualmente un pezzo all'interno di una grande pressa industriale, in prossimità di parti in movimento e senza barriere fisiche di sicurezza visibilmente attive. Questo comporta un rischio significativo di schiacciamento, cesoiamento ed ergonomico, parzialmente mitigato dalla presenza di un supervisore (Operatore 2) e dall'uso di elmetti.</t>
        </is>
      </c>
      <c r="G9" s="7" t="n">
        <v>75.86</v>
      </c>
      <c r="H9" s="10" t="inlineStr">
        <is>
          <t>rosso</t>
        </is>
      </c>
    </row>
    <row r="10" ht="34" customHeight="1">
      <c r="A10" s="7" t="n">
        <v>8</v>
      </c>
      <c r="B10" s="7" t="n">
        <v>16</v>
      </c>
      <c r="C10" s="7" t="n">
        <v>20</v>
      </c>
      <c r="D10" s="7" t="inlineStr">
        <is>
          <t>{"scena_generale": {"contesto": "Officina metalmeccanica o impianto di stampaggio industriale.", "condizioni_ambientali": "Illuminazione artificiale interna, pavimentazione piana ma potenzialmente scivolosa."}, "elementi_rilevati": {"persone": "Almeno quattro operatori presenti nell'area di lavoro.", "macchinari": "Grande pressa industriale verde sul lato sinistro.", "oggetti": "Contenitori metallici, cassoni di stoccaggio, carrelli e attrezzature da lavoro.", "dpi": "Caschi di protezione (bianco e giallo) visibili su alcuni operatori."}, "dinamica_evento": {"descrizione_azione": "Un operatore chinato vicino alla pressa perde l'equilibrio e cade improvvisamente a terra. Gli altri operatori si avvicinano per prestare soccorso.", "limiti_visivi": "Inquadratura dall'alto che limita la visibilità dei dettagli sul pavimento e delle cause esatte della caduta."}, "valutazione_sicurezza": {"ragionamento_causale": "La caduta potrebbe essere stata causata da un inciampo su attrezzature a terra o da uno scivolamento su sostanze liquide non visibili.", "fattori_contribuenti": "Presenza di ostacoli a terra e postura incongrua dell'operatore durante le attività vicino al macchinario.", "sviluppi_rischiosi": "Rischio di lesioni da impatto con il suolo o con le parti metalliche della pressa circostante."}}</t>
        </is>
      </c>
      <c r="E10" s="7" t="n">
        <v>85</v>
      </c>
      <c r="F10" s="7" t="inlineStr">
        <is>
          <t>Il punteggio di 85 è giustificato dall'avvenuta caduta di un operatore in un'area industriale critica, vicino a una pressa metallica. L'impatto al suolo e la prossimità a macchinari pesanti comportano un rischio immediato di lesioni fisiche. La necessità di soccorso immediato da parte dei colleghi evidenzia la gravità dell'evento.</t>
        </is>
      </c>
      <c r="G10" s="7" t="n">
        <v>83.84</v>
      </c>
      <c r="H10" s="10" t="inlineStr">
        <is>
          <t>rosso</t>
        </is>
      </c>
    </row>
    <row r="11" ht="34" customHeight="1">
      <c r="A11" s="7" t="n">
        <v>9</v>
      </c>
      <c r="B11" s="7" t="n">
        <v>18</v>
      </c>
      <c r="C11" s="7" t="n">
        <v>22</v>
      </c>
      <c r="D11" s="7" t="inlineStr">
        <is>
          <t>{"scena_generale": {"contesto": "Area di lavoro interna di uno stabilimento industriale o officina meccanica.", "condizioni_ambientali": "Illuminazione artificiale interna, pavimentazione industriale con presenza di attrezzature, cavi/tubi a terra e ostacoli sparsi."}, "soggetti_coinvolti": [{"id": "Operatore 1", "posizione": "In piedi vicino alla macchina verde sullo sfondo.", "dpi_rilevati": "Casco protettivo giallo, abbigliamento da lavoro scuro."}, {"id": "Operatore 2", "posizione": "In piedi al centro della scena, poi si muove per prestare soccorso.", "dpi_rilevati": "Casco protettivo bianco, camicia chiara, pantaloni scuri."}, {"id": "Operatore 3 (Infortunato)", "posizione": "Inizialmente accovacciato a terra, successivamente cade supino sul pavimento.", "dpi_rilevati": "Abbigliamento scuro, presenza di casco non chiaramente visibile o perso durante la caduta."}], "elementi_materiali": {"macchinari": "Grande pressa industriale di colore verde sul lato sinistro.", "attrezzature_oggetti": "Tavoli da lavoro metallici, contenitori metallici industriali per lo stoccaggio, bancali, un secchio e tubi/cavi flessibili adagiati sul pavimento nell'area di transito."}, "dinamica_osservata": {"descrizione_evento": "L'Operatore 3, inizialmente accovacciato vicino alla base della pressa, perde l'equilibrio e cade improvvisamente all'indietro sul pavimento. L'Operatore 2, situato nelle immediate vicinanze, assiste alla caduta, si sposta rapidamente verso di lui e si china per verificare le sue condizioni e prestare assistenza. L'Operatore 1 osserva la scena dalla sua posizione.", "limiti_osservativi": "La causa esatta della caduta (scivolamento, inciampo sui cavi a terra o malore improvviso) non è determinabile con assoluta certezza a causa della risoluzione e dell'angolazione della telecamera."}, "analisi_sicurezza": {"fattori_di_rischio_osservati": ["Presenza di cavi e tubi flessibili disordinati sul pavimento nelle immediate vicinanze degli operatori, configurando un potenziale rischio di inciampo.", "Spazio di manovra ristretto intorno alla macchina operatrice dovuto alla presenza di attrezzature e materiali depositati."], "conseguenze_reali_o_potenziali": "Infortunio da caduta a livello con impatto sul pavimento industriale rigido; potenziale trauma cranico o muscolo-scheletrico.", "misure_correttive_suggerite": ["Implementare una gestione sistematica dei cavi (cable management) per mantenere libere le aree di passaggio.", "Garantire l'uso costante e corretto dei DPI (casco protettivo) per tutti gli operatori nell'area di produzione."]}}</t>
        </is>
      </c>
      <c r="E11" s="7" t="n">
        <v>90</v>
      </c>
      <c r="F11" s="7" t="inlineStr">
        <is>
          <t>Il punteggio riflette un livello di rischio critico dovuto al verificarsi di un infortunio reale: l'Operatore 3 è caduto all'indietro sul pavimento industriale rigido, con potenziale rischio di trauma cranico o muscolo-scheletrico (il casco non è chiaramente visibile o è stato perso). La presenza di cavi e tubi a terra rappresenta un grave fattore di rischio di inciampo non gestito, e la necessità di soccorso immediato da parte dell'Operatore 2 conferma la gravità dell'evento in corso.</t>
        </is>
      </c>
      <c r="G11" s="7" t="n">
        <v>88.79000000000001</v>
      </c>
      <c r="H11" s="10" t="inlineStr">
        <is>
          <t>rosso</t>
        </is>
      </c>
    </row>
    <row r="12" ht="34" customHeight="1">
      <c r="A12" s="7" t="n">
        <v>10</v>
      </c>
      <c r="B12" s="7" t="n">
        <v>20</v>
      </c>
      <c r="C12" s="7" t="n">
        <v>24</v>
      </c>
      <c r="D12" s="7" t="inlineStr">
        <is>
          <t>{"metadati": {"intervallo_temporale": "20.0s - 24.0s", "durata": "4.0s"}, "descrizione_scena": {"contesto": "Officina metalmeccanica o impianto industriale con macchinari pesanti, cassoni metallici e attrezzature sparse.", "condizioni_ambientali": "Illuminazione artificiale interna sufficiente, ma presenza di ingombri a terra che riducono lo spazio di manovra."}, "elementi_rilevati": {"persone": "Almeno cinque operatori visibili. Un operatore a terra viene soccorso da un collega con casco bianco e camicia azzurra. Altri lavoratori osservano o si muovono nell'area.", "macchinari_e_oggetti": "Grande pressa industriale verde a sinistra, cassoni metallici di stoccaggio, transpallet, tubi e cavi flessibili sul pavimento.", "dpi": "Caschi di protezione visibili su alcuni operatori (giallo e bianco). Abbigliamento da lavoro standard. Uso di calzature di sicurezza non chiaramente verificabile."}, "dinamica_osservata": {"azioni": "Un lavoratore è a terra e viene aiutato a rialzarsi da un collega. Successivamente, entrambi si allontanano dall'area della pressa mentre altri lavoratori convergono o transitano nella zona.", "limiti_visibilita": "Inquadratura dall'alto e risoluzione media limitano la visibilità dei dettagli del pavimento e della causa esatta della caduta."}, "analisi_rischi_sicurezza": {"ragionamento_causale": "La presenza di cavi e attrezzature disordinate sul pavimento vicino alla pressa rappresenta un grave rischio di inciampo, probabile causa della caduta dell'operatore.", "sviluppi_rischiosi_plausibili": "Rischio di lesioni da caduta o impatto contro le strutture metalliche circostanti. Possibile intralcio alle vie di fuga in caso di emergenza dovuto al disordine.", "fattori_contribuenti": "Scarsa pulizia e ordine dell'area di lavoro (housekeeping inadeguato), con cavi e tubi flessibili non canalizzati sul piano di calpestio."}}</t>
        </is>
      </c>
      <c r="E12" s="7" t="n">
        <v>80</v>
      </c>
      <c r="F12" s="7" t="inlineStr">
        <is>
          <t>Il punteggio di 80 è giustificato dall'avvenuto infortunio (operatore a terra soccorso da un collega) causato plausibilmente da un inciampo. La presenza di cavi e tubi flessibili non canalizzati sul pavimento in prossimità di macchinari pesanti evidenzia un grave deficit di housekeeping, mantenendo alto il rischio di ulteriori cadute o impatti contro le strutture metalliche circostanti.</t>
        </is>
      </c>
      <c r="G12" s="7" t="n">
        <v>83.52</v>
      </c>
      <c r="H12" s="10" t="inlineStr">
        <is>
          <t>rosso</t>
        </is>
      </c>
    </row>
    <row r="13" ht="34" customHeight="1">
      <c r="A13" s="7" t="n">
        <v>11</v>
      </c>
      <c r="B13" s="7" t="n">
        <v>22</v>
      </c>
      <c r="C13" s="7" t="n">
        <v>26</v>
      </c>
      <c r="D13" s="7" t="inlineStr">
        <is>
          <t>{"descrizione_scena": {"contesto": "Area interna di uno stabilimento industriale o metalmeccanico con macchinari pesanti e cassoni.", "macchinari_oggetti": "Grande pressa industriale verde a sinistra, cassoni metallici, pallet, tavoli da lavoro e uno scooter.", "condizioni_ambientali": "Illuminazione artificiale interna, pavimentazione industriale piana."}, "dinamica_osservata": {"persone_coinvolte": "Almeno 6-7 operatori presenti nell'area.", "azioni": "Un operatore a bordo di uno scooter cade o si ferma bruscamente. Altri lavoratori accorrono rapidamente creando un assembramento caotico con possibili spintoni o alterchi fisici.", "dpi": "Alcuni operatori indossano elmetti protettivi (bianchi e gialli), ma l'uso dei DPI non appare uniforme o completo per tutti i presenti."}, "analisi_sicurezza": {"limiti_visivi": "Inquadratura dall'alto e risoluzione medio-bassa che rendono parzialmente ambigua la natura esatta dell'interazione (incidente stradale interno vs alterco fisico).", "fattori_contribuenti": "Presenza di un veicolo a motore (scooter) in un'area di produzione stretta e affollata, reazione caotica del personale.", "rischi_plausibili": "Collisioni secondarie con macchinari pesanti in funzione, lesioni da caduta o aggressione fisica, intralcio alle vie di fuga in caso di emergenza."}}</t>
        </is>
      </c>
      <c r="E13" s="7" t="n">
        <v>85</v>
      </c>
      <c r="F13" s="7" t="inlineStr">
        <is>
          <t>Il punteggio di 85 riflette un livello di rischio molto elevato. La caduta o l'arresto brusco di un veicolo a motore (scooter) all'interno di un'area di produzione stretta e con macchinari pesanti rappresenta un grave pericolo. L'assembramento caotico di 6-7 operatori, con possibili alterchi fisici e un uso non uniforme dei DPI, aumenta esponenzialmente il rischio di lesioni personali, collisioni secondarie e intralcio alle vie di fuga in caso di emergenza.</t>
        </is>
      </c>
      <c r="G13" s="7" t="n">
        <v>85.66</v>
      </c>
      <c r="H13" s="10" t="inlineStr">
        <is>
          <t>rosso</t>
        </is>
      </c>
    </row>
    <row r="14" ht="34" customHeight="1">
      <c r="A14" s="7" t="n">
        <v>12</v>
      </c>
      <c r="B14" s="7" t="n">
        <v>24</v>
      </c>
      <c r="C14" s="7" t="n">
        <v>28</v>
      </c>
      <c r="D14" s="7" t="inlineStr">
        <is>
          <t>{"scena_e_contesto": {"descrizione_generale": "Area di lavoro interna di uno stabilimento industriale o logistico con pavimentazione in cemento e presenza di macchinari e attrezzature.", "contesto": "Produzione manifatturiera o lavorazione metalli, caratterizzata da macchinari pesanti e stoccaggio di materiali.", "condizioni_ambientali": "Illuminazione artificiale interna sufficiente; piano di calpestio potenzialmente ingombrato da attrezzature e materiali."}, "soggetti_e_oggetti": {"persone_presenti": "Almeno 6-7 operatori concentrati in un'area ristretta al centro della scena.", "macchinari": "Grande pressa industriale verde sul lato sinistro, parzialmente visibile.", "oggetti": "Contenitori metallici, pallet, carrelli per movimentazione merci e componenti semilavorati.", "dpi_rilevati": "Presenza parziale di elmetti protettivi (uno giallo, uno chiaro); altri operatori non sembrano indossare copricapi protettivi. Abbigliamento da lavoro standard."}, "dinamica_e_azioni": {"azioni_osservabili": "Un gruppo di lavoratori in camicia azzurra è riunito in modo ravvicinato. Si nota un'interazione fisica concitata o un possibile confronto/discussione tra alcuni di loro, con gesti e movimenti di trattenimento.", "limiti_visibilita": "Inquadratura dall'alto e distanza della telecamera limitano la comprensione dei dettagli dei volti e della natura esatta dell'interazione (se di soccorso, alterco o coordinamento)."}, "analisi_rischi": {"ragionamento_causale": "La concentrazione di persone in atteggiamento concitato vicino a macchinari operativi e aree di stoccaggio riduce la consapevolezza situazionale dei singoli.", "sviluppi_rischiosi": "Rischio moderato di cadute accidentali, urti contro le strutture metalliche circostanti o distrazione rispetto al funzionamento dei macchinari attivi.", "fattori_contribuenti": "Spazio di manovra ridotto a causa della presenza di ostacoli a terra e vicinanza a zone di pericolo non delimitate."}}</t>
        </is>
      </c>
      <c r="E14" s="7" t="n">
        <v>70</v>
      </c>
      <c r="F14" s="7" t="inlineStr">
        <is>
          <t>Il punteggio di 70 è giustificato dall'interazione fisica concitata o alterco tra numerosi operatori in un'area ristretta, caratterizzata dalla presenza di macchinari pesanti (pressa industriale) e ostacoli a terra. La ridotta consapevolezza situazionale, unita al mancato utilizzo generalizzato dei DPI (elmetti), eleva significativamente il rischio di cadute accidentali, urti contro strutture metalliche e distrazione rispetto alle fonti di pericolo attive.</t>
        </is>
      </c>
      <c r="G14" s="7" t="n">
        <v>76.26000000000001</v>
      </c>
      <c r="H14" s="10" t="inlineStr">
        <is>
          <t>rosso</t>
        </is>
      </c>
    </row>
    <row r="15" ht="34" customHeight="1">
      <c r="A15" s="7" t="n">
        <v>13</v>
      </c>
      <c r="B15" s="7" t="n">
        <v>26</v>
      </c>
      <c r="C15" s="7" t="n">
        <v>30</v>
      </c>
      <c r="D15" s="7" t="inlineStr">
        <is>
          <t>{"analisi_scena": {"contesto": "Stabilimento industriale con macchinari pesanti e aree di stoccaggio.", "descrizione_generale": "Un gruppo di operatori è riunito al centro dell'area di lavoro, vicino a una pressa industriale e a carrelli di materiale."}, "soggetti_e_oggetti": {"persone": "Almeno sei operatori visibili. Un gruppo centrale di cinque persone in camicia azzurra e pantaloni scuri, un operatore con casco giallo vicino alla pressa, e un altro sulla destra.", "macchinari_e_attrezzature": "Grande pressa industriale verde (sinistra), carrelli metallici, pallet con componenti, tavoli da lavoro."}, "dinamiche_e_azioni": {"attivita_rilevate": "Il gruppo centrale è fermo in cerchio, apparentemente impegnato in una discussione o coordinamento ravvicinato. L'operatore vicino alla pressa osserva o attende."}, "condizioni_ambientali_e_visibilita": {"illuminazione": "Artificiale, tipica da capannone industriale.", "limiti_visivi": "Inquadratura dall'alto che limita la visibilità dei dettagli dei volti e delle mani dei soggetti nel gruppo centrale causa reciproco occultamento."}, "analisi_sicurezza": {"dpi_rilevati": "Casco di protezione giallo visibile su un operatore. Altri membri del gruppo centrale sembrano non indossare il casco protettivo.", "fattori_di_rischio": "Presenza di un gruppo di persone ferme in una zona di transito e operativa vicino a macchinari pesanti. Possibile distrazione rispetto alle attività circostanti.", "sviluppi_rischiosi_plausibili": "Rischio di urto accidentale con carrelli in movimento o materiali movimentati a causa della sosta in area operativa senza adeguata distanza di sicurezza."}}</t>
        </is>
      </c>
      <c r="E15" s="7" t="n">
        <v>50</v>
      </c>
      <c r="F15" s="7" t="inlineStr">
        <is>
          <t>Il punteggio di 50 indica un rischio moderato. Si rileva un gruppo di operatori fermo in un'area operativa e di transito vicino a macchinari pesanti, configurando una potenziale situazione di intralcio e distrazione. Inoltre, la maggior parte dei soggetti nel gruppo centrale sembra priva di casco protettivo, aumentando la vulnerabilità a urti accidentali o caduta di materiali in un contesto industriale.</t>
        </is>
      </c>
      <c r="G15" s="7" t="n">
        <v>60.5</v>
      </c>
      <c r="H15" s="8" t="inlineStr">
        <is>
          <t>arancione</t>
        </is>
      </c>
    </row>
    <row r="16" ht="34" customHeight="1">
      <c r="A16" s="7" t="n">
        <v>14</v>
      </c>
      <c r="B16" s="7" t="n">
        <v>28</v>
      </c>
      <c r="C16" s="7" t="n">
        <v>32</v>
      </c>
      <c r="D16" s="7" t="inlineStr">
        <is>
          <t>{"analisi_scena": {"descrizione_generale": "Area di lavoro interna di uno stabilimento industriale con un gruppo di operatori radunati al centro e macchinari circostanti.", "contesto": "Produzione manifatturiera o lavorazione metalli, caratterizzato da macchinari pesanti e stoccaggio materiali."}, "soggetti_e_oggetti": {"persone_presenti": "Circa 7-8 operatori. Un gruppo è fermo a discutere al centro; un operatore si muove vicino alla pressa a sinistra; un altro si avvicina al gruppo dal basso a fine clip.", "macchinari": "Grande pressa industriale verde sul lato sinistro, parzialmente visibile.", "oggetti_attrezzature": "Pallet metallici, contenitori industriali, tavoli da lavoro, lamiere e materiali di scarto a terra."}, "dinamiche_e_azioni": {"azioni_osservabili": "Gli operatori al centro discutono e gesticolano. Un lavoratore cammina verso di loro. Non si osservano macchinari in movimento attivo in questa specifica area durante la clip."}, "condizioni_ambientali_e_visibilita": {"condizioni_ambientali": "Illuminazione interna artificiale, pavimentazione industriale con segni di usura e presenza di ostacoli a terra.", "limiti_visibilita": "Inquadratura dall'alto che limita la percezione dei dettagli dei volti e dei movimenti precisi delle mani. Alcuni operatori si coprono a vicenda."}, "analisi_sicurezza": {"dpi_rilevati": "Alcuni operatori indossano elmetti protettivi (gialli e bianchi) e calzature di sicurezza. Altri membri del gruppo sembrano privi di elmetto protettivo.", "fattori_contribuenti": "Presenza di materiali e attrezzature sparsi sul pavimento che riducono lo spazio di manovra sicuro. Concentrazione di persone in una zona di transito/lavoro.", "sviluppi_rischiosi_plausibili": "Rischio di inciampo o scivolamento dovuto ai materiali a terra. Possibile distrazione dei lavoratori rispetto all'ambiente circostante durante la discussione di gruppo. Mancato uso uniforme dei DPI (elmetti) espone alcuni soggetti a rischi di impatto dall'alto o urti."}}</t>
        </is>
      </c>
      <c r="E16" s="7" t="n">
        <v>40</v>
      </c>
      <c r="F16" s="7" t="inlineStr">
        <is>
          <t>Il punteggio di 40 indica un rischio moderato. Pur in assenza di macchinari in movimento attivo, si rilevano fattori di rischio significativi: il mancato uso uniforme dei DPI (elmetti) da parte di alcuni lavoratori, la presenza di ostacoli e materiali di scarto a terra che favoriscono il rischio di inciampo, e la concentrazione di un gruppo di persone in una zona di transito/lavoro che può generare distrazione.</t>
        </is>
      </c>
      <c r="G16" s="7" t="n">
        <v>48.2</v>
      </c>
      <c r="H16" s="9" t="inlineStr">
        <is>
          <t>giallo</t>
        </is>
      </c>
    </row>
    <row r="17" ht="34" customHeight="1">
      <c r="A17" s="7" t="n">
        <v>15</v>
      </c>
      <c r="B17" s="7" t="n">
        <v>30</v>
      </c>
      <c r="C17" s="7" t="n">
        <v>34</v>
      </c>
      <c r="D17" s="7" t="inlineStr">
        <is>
          <t>{"metadati": {"intervallo_temporale": "30.0 - 34.0 secondi", "durata": "4.0 secondi"}, "descrizione_scena": {"contesto": "Area di produzione o assemblaggio industriale con presenza di macchinari pesanti, postazioni di lavoro e materiali stoccati a terra.", "macchinari_e_attrezzature": [{"tipo": "Pressa industriale o macchinario di stampaggio", "colore": "Verde", "posizione": "Lato sinistro dell'inquadratura"}, {"tipo": "Contenitori metallici e pallet", "dettagli": "Ceste metalliche per lo stoccaggio di componenti e pallet in legno/metallo distribuiti nell'area di transito."}], "condizioni_ambientali": {"illuminazione": "Artificiale, tipica da capannone industriale, sufficiente ma con ombre marcate.", "pulizia_e_ordine": "Presenza di materiale sparso sul pavimento (fogli, piccoli detriti) vicino alla base del macchinario verde, che costituisce potenziale intralcio."}}, "analisi_personale": {"persone_rilevate": 8, "attivita": "Un gruppo di circa 7 operatori è radunato al centro dell'area di transito, apparentemente impegnato in una discussione o coordinamento. Un ulteriore operatore si muove dal primo piano verso il gruppo.", "dispositivi_protezione_individuale": {"elmetti": "Alcuni operatori indossano elmetti protettivi (gialli e bianchi), mentre per altri la presenza dell'elmetto non è chiaramente distinguibile a causa della risoluzione e dell'angolazione.", "abbigliamento": "Divise da lavoro (camicie/maglie azzurre e pantaloni scuri, un operatore in rosso).", "calzature_e_altri_dpi": "Non chiaramente verificabili dalla distanza della telecamera."}}, "limiti_osservativi": {"occlusioni_e_ambiguita": "La telecamera è posizionata in alto (vista zenitale angolata). Questo limita la visibilità dei dettagli del viso, dei cartelli di segnaletica orizzontale (se presenti) e della tipologia esatta di calzature di sicurezza utilizzate."}, "valutazione_rischi_safety": {"fattori_di_rischio_osservati": [{"categoria": "Layout e Viabilità", "descrizione": "Mancanza di linee di demarcazione chiare per i percorsi pedonali sicuri. Gli operatori sostano e transitano direttamente nell'area operativa e di movimentazione carichi."}, {"categoria": "Inciampo e Caduta", "descrizione": "Presenza di oggetti e fogli sul pavimento nelle immediate vicinanze delle zone di passaggio."}], "sviluppi_rischiosi_plausibili": [{"scenario": "Inciampo o scivolamento", "causa": "Presenza di detriti/fogli non rimossi sul pavimento durante il transito dei lavoratori."}, {"scenario": "Interferenza uomo-macchina / uomo-carico", "causa": "La sosta prolungata del gruppo di lavoratori al centro della via di transito espone gli stessi a rischi di investimento qualora sopraggiungessero mezzi di movimentazione interna (es. carrelli elevatori)."}]}}</t>
        </is>
      </c>
      <c r="E17" s="7" t="n">
        <v>55</v>
      </c>
      <c r="F17" s="7" t="inlineStr">
        <is>
          <t>Il punteggio di 55 è giustificato dalla sosta di un gruppo numeroso di operatori (8 persone) direttamente al centro di un'area di transito operativo priva di segnaletica orizzontale di sicurezza. Questa situazione, unita alla presenza di detriti e fogli sul pavimento (rischio inciampo) e alla non verificabilità dei DPI per tutti i soggetti, configura una situazione di rischio moderato-alto per la sicurezza dei lavoratori.</t>
        </is>
      </c>
      <c r="G17" s="7" t="n">
        <v>56.03</v>
      </c>
      <c r="H17" s="8" t="inlineStr">
        <is>
          <t>arancione</t>
        </is>
      </c>
    </row>
    <row r="18" ht="34" customHeight="1">
      <c r="A18" s="7" t="n">
        <v>16</v>
      </c>
      <c r="B18" s="7" t="n">
        <v>32</v>
      </c>
      <c r="C18" s="7" t="n">
        <v>36</v>
      </c>
      <c r="D18" s="7" t="inlineStr">
        <is>
          <t>{"scena_e_contesto": {"descrizione_generale": "Area interna di uno stabilimento industriale con presenza di macchinari pesanti e un gruppo di lavoratori concentrati al centro.", "contesto": "Produzione manifatturiera o lavorazione metalli."}, "elementi_rilevati": {"persone": "Gruppo di circa 8-9 lavoratori che interagiscono tra loro in piedi.", "macchinari": "Grande pressa industriale verde sul lato sinistro, carrelli di trasporto e piattaforme metalliche.", "oggetti": "Pallet, contenitori metallici, detriti e materiali sparsi sul pavimento.", "dpi": "Alcuni lavoratori indossano elmetti (giallo e bianco). Altri DPI non sono chiaramente identificabili a causa della distanza."}, "dinamiche_e_condizioni": {"azioni": "I lavoratori sono fermi in gruppo, discutono e si muovono leggermente nello spazio centrale.", "condizioni_ambientali": "Illuminazione interna artificiale, pavimentazione con segni di usura e ingombri.", "limiti_visibilita": "Inquadratura dall'alto che limita la visibilità dei dettagli del volto e dei DPI specifici. Parziale sovrapposizione tra le persone."}, "analisi_sicurezza": {"ragionamento_causale": "La concentrazione di personale in una zona di passaggio e vicino a macchinari operativi riduce lo spazio di manovra sicuro.", "fattori_contribuenti": "Presenza di oggetti e scarti a terra vicino all'area di stazionamento dei lavoratori.", "sviluppi_rischiosi": "Rischio moderato di inciampo sui materiali a terra o di contatto accidentale con strutture circostanti in caso di movimenti repentini."}}</t>
        </is>
      </c>
      <c r="E18" s="7" t="n">
        <v>40</v>
      </c>
      <c r="F18" s="7" t="inlineStr">
        <is>
          <t>Il punteggio di 40 indica un rischio moderato. La concentrazione di un gruppo numeroso di lavoratori in una zona di transito e in prossimità di macchinari pesanti (pressa industriale) riduce lo spazio di manovra sicuro. La presenza di detriti, pallet e materiali sparsi sul pavimento genera un rischio concreto di inciampo e caduta. Inoltre, l'impossibilità di verificare l'uso corretto e completo dei DPI per tutti i presenti rappresenta un ulteriore fattore di vulnerabilità.</t>
        </is>
      </c>
      <c r="G18" s="7" t="n">
        <v>46.41</v>
      </c>
      <c r="H18" s="9" t="inlineStr">
        <is>
          <t>giallo</t>
        </is>
      </c>
    </row>
    <row r="19" ht="34" customHeight="1">
      <c r="A19" s="7" t="n">
        <v>17</v>
      </c>
      <c r="B19" s="7" t="n">
        <v>34</v>
      </c>
      <c r="C19" s="7" t="n">
        <v>36.689</v>
      </c>
      <c r="D19" s="7" t="inlineStr">
        <is>
          <t>{"descrizione_generale": "Un gruppo di lavoratori è radunato al centro di un'officina industriale, vicino a macchinari pesanti.", "contesto_industriale": "Area di produzione o assemblaggio con presenza di presse industriali e postazioni di lavoro.", "persone_presenti": "Circa 8-10 operatori, inclusi supervisori e operatori di linea, alcuni in movimento.", "macchinari_e_oggetti": "Grande pressa industriale verde a sinistra, banchi da lavoro in metallo, carrelli e materiali stoccati.", "azioni_osservabili": "I lavoratori discutono in gruppo; alcuni iniziano a muoversi verso diverse aree dell'officina.", "condizioni_ambientali": "Ambiente interno, illuminazione artificiale standard, pavimentazione industriale con segnaletica parziale.", "limiti_visibilita": "Inquadratura dall'alto che limita la visibilità dei dettagli dei volti e dei piccoli DPI. Parziale sovrapposizione dei corpi.", "analisi_sicurezza": {"dpi_rilevati": "Caschi protettivi (gialli e bianchi), gilet ad alta visibilità e uniformi da lavoro standard.", "ragionamento_causale": "La concentrazione di personale in un'area di transito vicino a macchinari può ostacolare il passaggio sicuro.", "rischi_potenziali": "Rischio moderato di inciampo su materiali a terra o collisione involontaria durante la dispersione del gruppo.", "fattori_contribuenti": "Presenza di attrezzature e materiali disposti vicino alle aree di passaggio dei lavoratori."}}</t>
        </is>
      </c>
      <c r="E19" s="7" t="n">
        <v>30</v>
      </c>
      <c r="F19" s="7" t="inlineStr">
        <is>
          <t>Il punteggio di 30 indica un rischio moderato. Sebbene gli operatori indossino i DPI adeguati (caschi e gilet ad alta visibilità), l'assembramento in una zona di transito vicino a macchinari pesanti e la presenza di attrezzature nelle aree di passaggio aumentano il rischio di inciampi o collisioni accidentali durante la dispersione del gruppo.</t>
        </is>
      </c>
      <c r="G19" s="7" t="n">
        <v>36.56</v>
      </c>
      <c r="H19" s="9" t="inlineStr">
        <is>
          <t>giallo</t>
        </is>
      </c>
    </row>
    <row r="20" ht="34" customHeight="1">
      <c r="A20" s="7" t="n">
        <v>18</v>
      </c>
      <c r="B20" s="7" t="n">
        <v>36</v>
      </c>
      <c r="C20" s="7" t="n">
        <v>36.689</v>
      </c>
      <c r="D20" s="7" t="inlineStr">
        <is>
          <t>{"finestra_temporale": {"inizio_s": 36.0, "fine_s": 36.689, "durata_s": 0.689}, "descrizione_scena": {"contesto": "Reparto produttivo industriale con macchinari pesanti e attrezzature di movimentazione.", "panoramica": "Un gruppo di circa 8-10 operatori è radunato al centro del passaggio, vicino a una pressa industriale."}, "elementi_rilevati": {"persone": "Operatori in abiti da lavoro (blu/scuri), alcuni con caschi protettivi.", "macchinari": "Grande pressa verticale sul lato sinistro, banchi di lavoro e strutture metalliche a destra.", "oggetti": "Pallet, contenitori industriali, materiali di produzione sparsi."}, "dinamiche_e_azioni": {"attivita": "Interazione di gruppo e discussione. Un operatore si sposta verso la parte destra dell'inquadratura.", "condizioni_ambientali": "Illuminazione artificiale discreta, pavimentazione libera al centro ma ingombra ai margini."}, "analisi_sicurezza": {"dpi_osservati": "Caschi di sicurezza (gialli e bianchi) indossati solo da alcuni operatori. Calzature di sicurezza non chiaramente distinguibili.", "limiti_visibilita": "Inquadratura zenitale grandangolare che riduce il dettaglio sui singoli DPI e sulle espressioni.", "fattori_rischio_potenziali": "Assembramento di personale in zona di transito e in prossimità di macchine operative. Presenza di operatori apparentemente privi di casco protettivo in area di potenziale caduta oggetti.", "sviluppi_rischiosi": "Rischio di urto o intralcio in caso di avvio improvviso dei macchinari o movimentazione carichi nelle vicinanze."}}</t>
        </is>
      </c>
      <c r="E20" s="7" t="n">
        <v>45</v>
      </c>
      <c r="F20" s="7" t="inlineStr">
        <is>
          <t>Il punteggio di 45 indica un rischio moderato. Si osserva un assembramento di 8-10 operatori in una zona di transito e in prossimità di una pressa industriale. La presenza di lavoratori privi di casco protettivo in un'area con potenziale rischio di caduta oggetti e la possibilità di intralcio in caso di movimentazione carichi o avvio macchinari costituiscono non-conformità rilevanti per la sicurezza.</t>
        </is>
      </c>
      <c r="G20" s="7" t="n">
        <v>45.37</v>
      </c>
      <c r="H20" s="9" t="inlineStr">
        <is>
          <t>giallo</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20"/>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16" customWidth="1" min="8" max="8"/>
    <col width="8" customWidth="1" min="9" max="9"/>
    <col width="7" customWidth="1" min="10" max="10"/>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4" t="inlineStr">
        <is>
          <t>instantaneous_risk_score_vlm</t>
        </is>
      </c>
      <c r="H1" s="4" t="inlineStr">
        <is>
          <t>score_rationale_vlm</t>
        </is>
      </c>
      <c r="I1" s="4" t="inlineStr">
        <is>
          <t>dynamic_risk_score_vlm</t>
        </is>
      </c>
      <c r="J1" s="4" t="inlineStr">
        <is>
          <t>traffic_light_color_vlm</t>
        </is>
      </c>
    </row>
    <row r="2" ht="34" customHeight="1">
      <c r="A2" s="7" t="n">
        <v>0</v>
      </c>
      <c r="B2" s="7" t="n">
        <v>0</v>
      </c>
      <c r="C2" s="7" t="n">
        <v>4</v>
      </c>
      <c r="D2" s="7" t="inlineStr">
        <is>
          <t>{"scene_state": "Area di lavoro industriale attiva con diversi operatori in movimento.", "environmental_conditions": ["Illuminazione interna", "Pavimentazione industriale"], "people": ["Operatore in rosso che cammina verso il fondo", "Operatore con casco giallo in movimento", "Operatore in azzurro che cammina in basso", "Operatori vicino alla pressa verde", "Operatore sulla destra"], "objects": ["Contenitori metallici", "Pallet", "Tavoli da lavoro"], "machines": ["Grande pressa industriale verde"], "observable_actions": ["Transito di pedoni nell'area di lavoro", "Spostamento di operatori verso diverse postazioni"], "visible_ppe": ["Casco di sicurezza giallo", "Casco di sicurezza bianco"], "notes_visibility_limitations": "Inquadratura CCTV dall'alto, risoluzione che limita la visibilità dei dettagli dei DPI."}</t>
        </is>
      </c>
      <c r="E2" s="7" t="inlineStr">
        <is>
          <t>{"unsafe_behaviors": ["Transito ravvicinato ad aree operative delle macchine senza barriere fisiche evidenti"], "vulnerable_elements": ["Operatori a piedi in transito nell'area di lavoro", "Operatori in prossimità della pressa industriale verde"], "risk_cues": {"S1_people_vehicle_interference": 0.0, "S2_visibility_attention_reduction": 0.25, "S3_non_compliant_behavior": 0.25, "S4_vehicle_infrastructure_interference": 0.0, "S5_storage_structural_instability": 0.25, "S6_access_to_moving_mechanical_parts": 0.5, "S7_manual_handling_heavy_unstable_loads": 0.0}, "cue_confidence": 0.75, "diagnostic_notes": "L'area presenta diversi pedoni in transito vicino a una grande pressa industriale verde. Non si osserva la presenza di mezzi di movimentazione interna (S1, S4) né di movimentazione manuale di carichi (S7). La vicinanza degli operatori alla pressa richiede attenzione per il rischio di contatto con organi in movimento (S6), sebbene non si notino interventi diretti o anomalie evidenti. La risoluzione della telecamera limita la verifica completa dei DPI di tutti i soggetti."}</t>
        </is>
      </c>
      <c r="F2" s="7" t="inlineStr">
        <is>
          <t>{"causal_chain_plausible": true, "causal_chain_text": "La mancanza di barriere fisiche attorno alla pressa verde, unita al transito ravvicinato di pedoni, può causare un contatto accidentale con parti meccaniche in movimento.", "near_miss_or_incident_scenario": "Un operatore in transito si avvicina troppo alla pressa verde attiva, subendo un contatto o intrappolamento con gli organi in movimento.", "contributing_factors": ["Assenza di barriere fisiche o segregazione visibile attorno alla pressa.", "Transito di pedoni in prossimità dell'area operativa della macchina.", "Difficoltà nel verificare il corretto utilizzo di tutti i DPI a causa della risoluzione CCTV."]}</t>
        </is>
      </c>
      <c r="G2" s="7" t="n">
        <v>45</v>
      </c>
      <c r="H2" s="7" t="inlineStr">
        <is>
          <t>Il punteggio riflette un rischio moderato dovuto al transito di pedoni in prossimità della pressa industriale verde senza barriere di segregazione evidenti. Sebbene non si registrino comportamenti scorretti immediati, la vicinanza alle parti meccaniche in movimento richiede vigilanza.</t>
        </is>
      </c>
      <c r="I2" s="7" t="n">
        <v>45</v>
      </c>
      <c r="J2" s="9" t="inlineStr">
        <is>
          <t>giallo</t>
        </is>
      </c>
    </row>
    <row r="3" ht="34" customHeight="1">
      <c r="A3" s="7" t="n">
        <v>1</v>
      </c>
      <c r="B3" s="7" t="n">
        <v>2</v>
      </c>
      <c r="C3" s="7" t="n">
        <v>6</v>
      </c>
      <c r="D3" s="7" t="inlineStr">
        <is>
          <t>{"scene_state": "Interno di un'officina industriale attiva con diversi operatori e attrezzature.", "environmental_conditions": ["Illuminazione artificiale interna", "Pavimentazione industriale in cemento"], "people": ["Operatore con camicia azzurra e casco bianco vicino alla pressa", "Operatore accovacciato alla base della pressa", "Operatore con camicia azzurra di spalle in basso al centro", "Operatore con maglia rossa che cammina verso lo sfondo", "Operatore parzialmente visibile in basso a sinistra con casco giallo", "Operatore sul lato destro vicino a un tavolo da lavoro"], "objects": ["Contenitori metallici industriali", "Pallet e pedane in legno/metallo", "Secchio scuro vicino alla pressa", "Materiali imballati in sacchi"], "machines": ["Grande pressa industriale di colore verde sul lato sinistro"], "observable_actions": ["L'operatore in rosso cammina allontanandosi", "L'operatore accovacciato lavora vicino alla base della pressa", "Gli altri operatori sono in piedi o in transito nell'area di lavoro"], "visible_ppe": ["Casco di protezione bianco", "Casco di protezione giallo", "Calzature da lavoro"], "notes_visibility_limitations": "Inquadratura dall'alto con risoluzione medio-bassa; alcuni dettagli dei DPI e dei volti non sono chiaramente definibili."}</t>
        </is>
      </c>
      <c r="E3" s="7" t="inlineStr">
        <is>
          <t>{"unsafe_behaviors": ["Operatore accovacciato alla base della pressa senza barriere di segregazione visibili"], "vulnerable_elements": ["Operatore accovacciato alla base della pressa", "Operatore con camicia azzurra vicino alla pressa"], "risk_cues": {"S1_people_vehicle_interference": 0.0, "S2_visibility_attention_reduction": 0.5, "S3_non_compliant_behavior": 0.25, "S4_vehicle_infrastructure_interference": 0.0, "S5_storage_structural_instability": 0.0, "S6_access_to_moving_mechanical_parts": 0.5, "S7_manual_handling_heavy_unstable_loads": 0.0}, "cue_confidence": 0.7, "diagnostic_notes": "L'analisi evidenzia un rischio moderato legato all'operatore accovacciato alla base della pressa industriale (S6), che potrebbe essere esposto a organi meccanici o a una riduzione della visibilità/attenzione spaziale a causa della postura (S2). Non si rileva la presenza di mezzi di movimentazione (S1, S4) né di movimentazione manuale di carichi pesanti (S7) nella finestra temporale indicata."}</t>
        </is>
      </c>
      <c r="F3" s="7" t="inlineStr">
        <is>
          <t>{"causal_chain_plausible": true, "causal_chain_text": "L'operatore lavora accovacciato alla base della pressa senza barriere di segregazione. La postura riduce la sua visibilità e l'attenzione spaziale, mentre la vicinanza alla macchina espone a contatti accidentali con organi in movimento o avviamenti inattesi.", "near_miss_or_incident_scenario": "Contatto accidentale o schiacciamento degli arti dell'operatore accovacciato a causa dell'attivazione involontaria della pressa o del movimento di parti meccaniche non protette.", "contributing_factors": ["Assenza di barriere fisiche o segregazione visibile attorno alla pressa durante l'intervento.", "Postura accovacciata dell'operatore che ne limita la visibilità e la reattività.", "Presenza di altri operatori nelle vicinanze che potrebbero attivare accidentalmente i comandi della macchina."]}</t>
        </is>
      </c>
      <c r="G3" s="7" t="n">
        <v>55</v>
      </c>
      <c r="H3" s="7" t="inlineStr">
        <is>
          <t>Il punteggio riflette un rischio significativo dovuto all'operatore accovacciato alla base della pressa senza barriere di segregazione visibili, esponendolo a potenziali avviamenti accidentali o contatti con parti in movimento. La postura ridotta limita inoltre la sua visibilità e reattività in caso di emergenza.</t>
        </is>
      </c>
      <c r="I3" s="7" t="n">
        <v>53.5</v>
      </c>
      <c r="J3" s="8" t="inlineStr">
        <is>
          <t>arancione</t>
        </is>
      </c>
    </row>
    <row r="4" ht="34" customHeight="1">
      <c r="A4" s="7" t="n">
        <v>2</v>
      </c>
      <c r="B4" s="7" t="n">
        <v>4</v>
      </c>
      <c r="C4" s="7" t="n">
        <v>8</v>
      </c>
      <c r="D4" s="7" t="inlineStr">
        <is>
          <t>{"scene_state": "Area di lavoro industriale attiva con diversi operatori e attrezzature disposte sul pavimento.", "environmental_conditions": ["Illuminazione interna artificiale", "Pavimentazione industriale in cemento"], "people": ["Operatore con camicia azzurra e pantaloni scuri che si muove vicino a un tavolo metallico", "Operatore accovacciato vicino alla base del macchinario verde", "Operatore in piedi con casco bianco e camicia azzurra vicino al macchinario verde", "Operatore parzialmente visibile in basso a sinistra con casco giallo", "Persona sullo sfondo in alto a destra con maglia rossa"], "objects": ["Contenitori metallici e casse in legno", "Pallet con materiale metallico", "Secchio scuro vicino alla macchina", "Tavolo da lavoro in metallo"], "machines": ["Grande pressa industriale di colore verde sul lato sinistro"], "observable_actions": ["Un operatore si allontana dal tavolo metallico camminando verso il basso", "Un operatore lavora accovacciato vicino alla pressa", "Altri operatori supervisionano o stazionano nell'area"], "visible_ppe": ["Caschi di protezione (bianco, giallo)", "Calzature da lavoro"], "notes_visibility_limitations": "Inquadratura dall'alto con angolazione fissa; alcune aree sono parzialmente sfocate o parzialmente fuori campo."}</t>
        </is>
      </c>
      <c r="E4" s="7" t="inlineStr">
        <is>
          <t>{"unsafe_behaviors": ["Operatore accovacciato alla base della pressa industriale senza barriere di segregazione visibili", "Presenza di personale nell'area operativa senza chiara evidenza di tutti i DPI protettivi necessari (es. guanti o protezione facciale per l'operatore vicino alla pressa)"], "vulnerable_elements": ["Operatore accovacciato vicino alla base della pressa verde", "Operatore in piedi vicino al macchinario verde"], "risk_cues": {"S1_people_vehicle_interference": 0.0, "S2_visibility_attention_reduction": 0.5, "S3_non_compliant_behavior": 0.25, "S4_vehicle_infrastructure_interference": 0.0, "S5_storage_structural_instability": 0.25, "S6_access_to_moving_mechanical_parts": 0.5, "S7_manual_handling_heavy_unstable_loads": 0.0}, "cue_confidence": 0.8, "diagnostic_notes": "L'analisi evidenzia un rischio moderato (0.5) per S6 e S2 dovuto all'operatore accovacciato alla base della pressa industriale verde; la postura riduce il suo campo visivo e lo espone a potenziali organi in movimento della macchina. Non si rileva la presenza di mezzi di movimentazione (S1, S4) o di attività di movimentazione manuale di carichi pesanti (S7). I materiali stoccati (pallet e casse) sono presenti ma non mostrano segni evidenti di instabilità (S5)."}</t>
        </is>
      </c>
      <c r="F4" s="7" t="inlineStr">
        <is>
          <t>{"causal_chain_plausible": true, "causal_chain_text": "L'operatore lavora accovacciato alla base della pressa senza barriere di segregazione. La postura riduce la sua visibilità e reattività. Un movimento imprevisto della macchina o un errore di coordinazione con l'operatore in piedi può causare un contatto con organi in movimento.", "near_miss_or_incident_scenario": "Schiacciamento o impatto degli arti dell'operatore accovacciato con le parti meccaniche della pressa a causa di un avvio accidentale o movimento incontrollato.", "contributing_factors": ["Assenza di barriere di segregazione visibili attorno alla pressa", "Postura accovacciata che limita campo visivo e movimenti", "Mancanza di evidenza di DPI specifici per le mani o il viso", "Prossimità ravvicinata a una macchina industriale attiva"]}</t>
        </is>
      </c>
      <c r="G4" s="7" t="n">
        <v>55</v>
      </c>
      <c r="H4" s="7" t="inlineStr">
        <is>
          <t>Il punteggio riflette un rischio significativo dovuto alla presenza di un operatore accovacciato direttamente alla base della pressa industriale senza barriere di segregazione visibili. Questa postura riduce la visibilità e i tempi di reazione, esponendo l'operatore a gravi pericoli di schiacciamento in caso di attivazione accidentale del macchinario.</t>
        </is>
      </c>
      <c r="I4" s="7" t="n">
        <v>54.4</v>
      </c>
      <c r="J4" s="8" t="inlineStr">
        <is>
          <t>arancione</t>
        </is>
      </c>
    </row>
    <row r="5" ht="34" customHeight="1">
      <c r="A5" s="7" t="n">
        <v>3</v>
      </c>
      <c r="B5" s="7" t="n">
        <v>6</v>
      </c>
      <c r="C5" s="7" t="n">
        <v>10</v>
      </c>
      <c r="D5" s="7" t="inlineStr">
        <is>
          <t>{"scene_state": "Area di lavoro industriale attiva con diversi operatori in movimento.", "environmental_conditions": ["Illuminazione interna artificiale", "Pavimentazione industriale in cemento"], "people": ["Operatore in piedi vicino alla macchina verde con camicia azzurra e pantaloni scuri", "Operatore accovacciato alla base della macchina verde", "Operatore in movimento in basso a sinistra con camicia azzurra", "Operatore parzialmente visibile sul lato destro"], "objects": ["Contenitori metallici e casse in legno", "Pallet con materiali", "Tavolo metallico di servizio", "Secchio scuro vicino alla pressa"], "machines": ["Grande pressa industriale di colore verde sul lato sinistro"], "observable_actions": ["Un operatore cammina verso l'angolo in basso a sinistra", "Un operatore lavora in piedi vicino alla pressa", "Un operatore è accovacciato vicino alla base della pressa"], "visible_ppe": ["Elmetti di protezione bianchi visibili su alcuni operatori"], "notes_visibility_limitations": "Inquadratura dall'alto con risoluzione da telecamera di sicurezza; alcune aree sono parzialmente occluse dai macchinari."}</t>
        </is>
      </c>
      <c r="E5" s="7" t="inlineStr">
        <is>
          <t>{"unsafe_behaviors": ["Lavoro a distanza ravvicinata alla base della pressa senza evidenti barriere fisiche di segregazione", "Postura accovacciata in prossimità di organi meccanici potenzialmente attivi"], "vulnerable_elements": ["Operatore accovacciato alla base della pressa verde", "Operatore in piedi vicino alla pressa"], "risk_cues": {"S1_people_vehicle_interference": 0.0, "S2_visibility_attention_reduction": 0.5, "S3_non_compliant_behavior": 0.25, "S4_vehicle_infrastructure_interference": 0.0, "S5_storage_structural_instability": 0.25, "S6_access_to_moving_mechanical_parts": 0.75, "S7_manual_handling_heavy_unstable_loads": 0.0}, "cue_confidence": 0.8, "diagnostic_notes": "Forte attenzione su S6 per la presenza di operatori a stretto contatto con la pressa verde, uno dei quali accovacciato alla base. La postura di quest'ultimo riduce l'attenzione e la visibilità circostante (S2). Non si rilevano mezzi di movimentazione (S1, S4) o movimentazione manuale di carichi (S7) in questa finestra temporale."}</t>
        </is>
      </c>
      <c r="F5" s="7" t="inlineStr">
        <is>
          <t>{"causal_chain_plausible": true, "causal_chain_text": "L'operatore accovacciato lavora alla base della pressa senza barriere di segregazione. L'attivazione accidentale della macchina o un movimento errato può causare il contatto diretto con gli organi meccanici in movimento.", "near_miss_or_incident_scenario": "Schiacciamento o intrappolamento degli arti dell'operatore accovacciato a causa del movimento della pressa verde durante le attività di manutenzione o servizio non protette.", "contributing_factors": ["Assenza di barriere fisiche o sistemi di segregazione attorno alla pressa", "Postura accovacciata che limita la visibilità e la reattività dell'operatore", "Lavoro a distanza ravvicinata da organi meccanici potenzialmente attivi"]}</t>
        </is>
      </c>
      <c r="G5" s="7" t="n">
        <v>68</v>
      </c>
      <c r="H5" s="7" t="inlineStr">
        <is>
          <t>Il punteggio riflette un rischio significativo dovuto alla presenza di un operatore accovacciato direttamente alla base della pressa industriale senza barriere protettive. Questa condizione espone il lavoratore a un grave pericolo di schiacciamento o intrappolamento in caso di attivazione accidentale dei componenti meccanici.</t>
        </is>
      </c>
      <c r="I5" s="7" t="n">
        <v>65.81</v>
      </c>
      <c r="J5" s="8" t="inlineStr">
        <is>
          <t>arancione</t>
        </is>
      </c>
    </row>
    <row r="6" ht="34" customHeight="1">
      <c r="A6" s="7" t="n">
        <v>4</v>
      </c>
      <c r="B6" s="7" t="n">
        <v>8</v>
      </c>
      <c r="C6" s="7" t="n">
        <v>12</v>
      </c>
      <c r="D6" s="7" t="inlineStr">
        <is>
          <t>{"scene_state": "Area di lavoro industriale attiva con macchinari e materiali disposti sul pavimento.", "environmental_conditions": ["Illuminazione interna artificiale", "Pavimentazione industriale in cemento"], "people": ["Un operatore in piedi vicino alla pressa verde", "Un operatore accovacciato alla base della pressa", "Un operatore parzialmente visibile dietro la pressa", "Un operatore parzialmente visibile sul lato destro"], "objects": ["Tavolo metallico di servizio", "Contenitori metallici per pezzi industriali", "Pallet con materiali", "Secchio di plastica vicino alla pressa"], "machines": ["Grande pressa industriale di colore verde posizionata sul lato sinistro"], "observable_actions": ["L'operatore accovacciato lavora vicino alla base della pressa", "L'operatore in piedi monitora o interagisce con l'area di lavoro della pressa"], "visible_ppe": ["Caschi di protezione (colore bianco e giallo)", "Abbigliamento da lavoro"], "notes_visibility_limitations": "La visuale dall'alto e la distanza limitano la nitidezza dei dettagli sui volti e sui dispositivi di protezione minori."}</t>
        </is>
      </c>
      <c r="E6" s="7" t="inlineStr">
        <is>
          <t>{"unsafe_behaviors": ["Operatore accovacciato alla base della pressa in una zona potenzialmente soggetta a movimenti meccanici senza visibile isolamento delle fonti di energia"], "vulnerable_elements": ["Operatore accovacciato alla base della pressa", "Operatore in piedi vicino all'area di lavoro della pressa"], "risk_cues": {"S1_people_vehicle_interference": 0.0, "S2_visibility_attention_reduction": 0.5, "S4_vehicle_infrastructure_interference": 0.0, "S3_non_compliant_behavior": 0.25, "S5_storage_structural_instability": 0.0, "S6_access_to_moving_mechanical_parts": 0.5, "S7_manual_handling_heavy_unstable_loads": 0.0}, "cue_confidence": 0.7, "diagnostic_notes": "La vicinanza degli operatori alla pressa industriale, in particolare l'operatore accovacciato alla base, evidenzia un potenziale rischio di accesso a organi meccanici (S6) e una riduzione della visibilità/attenzione dovuta alla postura di lavoro (S2). La distanza e l'inquadratura limitano la verifica di DPI specifici (es. guanti, occhiali) e delle procedure di Lockout/Tagout."}</t>
        </is>
      </c>
      <c r="F6" s="7" t="inlineStr">
        <is>
          <t>{"causal_chain_plausible": true, "causal_chain_text": "L'operatore accovacciato lavora alla base della pressa senza isolamento energetico visibile. L'operatore in piedi, interagendo con l'area di lavoro, potrebbe attivare accidentalmente la macchina o non notare il collega, causando un contatto con parti in movimento.", "near_miss_or_incident_scenario": "Schiacciamento o intrappolamento degli arti dell'operatore a terra a causa dell'avvio accidentale o del movimento imprevisto della pressa durante l'intervento.", "contributing_factors": ["Mancanza di evidenza di procedure di Lockout/Tagout (LOTO) per l'isolamento energetico.", "Postura accovacciata dell'operatore che riduce la sua visibilità e reattività.", "Vicinanza di un secondo operatore ai comandi o all'area di lavoro della pressa.", "Limitazioni strutturali della macchina che ostacolano la visibilità reciproca."]}</t>
        </is>
      </c>
      <c r="G6" s="7" t="n">
        <v>68</v>
      </c>
      <c r="H6" s="7" t="inlineStr">
        <is>
          <t>Il punteggio riflette un rischio significativo dovuto alla presenza di un operatore accovacciato alla base della pressa senza evidenza di procedure di isolamento energetico (LOTO). La vicinanza di un secondo operatore ai comandi aumenta il pericolo di un avvio accidentale con conseguenze potenzialmente gravi per l'incolumità del collega.</t>
        </is>
      </c>
      <c r="I6" s="7" t="n">
        <v>67.12</v>
      </c>
      <c r="J6" s="8" t="inlineStr">
        <is>
          <t>arancione</t>
        </is>
      </c>
    </row>
    <row r="7" ht="34" customHeight="1">
      <c r="A7" s="7" t="n">
        <v>5</v>
      </c>
      <c r="B7" s="7" t="n">
        <v>10</v>
      </c>
      <c r="C7" s="7" t="n">
        <v>14</v>
      </c>
      <c r="D7" s="7" t="inlineStr">
        <is>
          <t>{"scene_state": "Ambiente industriale interno, reparto stampaggio o officina meccanica, con macchinari pesanti, attrezzature e personale in attività.", "environmental_conditions": ["Illuminazione artificiale interna", "Pavimentazione industriale"], "people": ["Un operatore in basso a sinistra che si china vicino alla pressa e poi si rialza", "Un operatore in piedi al centro-sinistra con camicia azzurra", "Un operatore parzialmente visibile dietro quest'ultimo", "Un operatore sul lato destro vicino a un tavolo"], "objects": ["Contenitori metallici", "Pallet e pedane", "Carrello metallico di servizio", "Secchio blu"], "machines": ["Grande pressa industriale di colore verde posizionata sulla sinistra"], "observable_actions": ["L'operatore in basso a sinistra si abbassa per raccogliere o posizionare un elemento vicino alla pressa, per poi rialzarsi.", "Gli altri operatori mantengono le loro posizioni di controllo o lavoro."], "visible_ppe": ["Caschi di protezione (bianco e giallo)", "Calzature di sicurezza"], "notes_visibility_limitations": "Inquadratura dall'alto tipica di una telecamera di sicurezza, con alcune zone d'ombra e dettagli del volto non definibili."}</t>
        </is>
      </c>
      <c r="E7" s="7" t="inlineStr">
        <is>
          <t>{"unsafe_behaviors": ["Operatore si china in prossimità della pressa industriale, esponendosi potenzialmente a zone d'ombra visive e a vicinanza con l'area di lavoro della macchina."], "vulnerable_elements": ["Operatore in basso a sinistra vicino alla pressa"], "risk_cues": {"S1_people_vehicle_interference": 0.0, "S2_visibility_attention_reduction": 0.5, "S3_non_compliant_behavior": 0.25, "S4_vehicle_infrastructure_interference": 0.0, "S5_storage_structural_instability": 0.0, "S6_access_to_moving_mechanical_parts": 0.5, "S7_manual_handling_heavy_unstable_loads": 0.25}, "cue_confidence": 0.75, "diagnostic_notes": "L'analisi evidenzia un potenziale rischio moderato (S2, S6) legato all'operatore che si china vicino alla pressa industriale verde per raccogliere o posizionare un oggetto. Questa postura riduce il campo visivo e aumenta la prossimità a parti potenzialmente pericolose della macchina. Non si rileva la presenza di mezzi di movimentazione (S1, S4) o instabilità di carichi (S5). La movimentazione manuale (S7) è presente ma non è possibile determinarne la gravità o il peso del carico."}</t>
        </is>
      </c>
      <c r="F7" s="7" t="inlineStr">
        <is>
          <t>{"causal_chain_plausible": true, "causal_chain_text": "L'operatore si china in prossimità della pressa verde riducendo la propria visibilità e attenzione spaziale. Un movimento imprevisto della macchina o una perdita di equilibrio dell'operatore possono portare al contatto fisico con parti pericolose.", "near_miss_or_incident_scenario": "Impatto o schiacciamento di parti del corpo dell'operatore contro la struttura o gli organi in movimento della pressa a causa della postura incongrua e della ridotta percezione del rischio.", "contributing_factors": ["Postura chinata che limita il campo visivo e la reattività", "Lavoro in estrema prossimità di una pressa industriale pesante", "Potenziale esposizione a zone d'ombra visive per gli altri operatori"]}</t>
        </is>
      </c>
      <c r="G7" s="7" t="n">
        <v>35</v>
      </c>
      <c r="H7" s="7" t="inlineStr">
        <is>
          <t>Il punteggio riflette un rischio moderato dovuto alla postura chinata dell'operatore in prossimità della pressa industriale, che riduce la visibilità e aumenta il rischio di contatto accidentale. La presenza di DPI di base mitiga parzialmente la gravità di un potenziale incidente.</t>
        </is>
      </c>
      <c r="I7" s="7" t="n">
        <v>47.85</v>
      </c>
      <c r="J7" s="9" t="inlineStr">
        <is>
          <t>giallo</t>
        </is>
      </c>
    </row>
    <row r="8" ht="34" customHeight="1">
      <c r="A8" s="7" t="n">
        <v>6</v>
      </c>
      <c r="B8" s="7" t="n">
        <v>12</v>
      </c>
      <c r="C8" s="7" t="n">
        <v>16</v>
      </c>
      <c r="D8" s="7" t="inlineStr">
        <is>
          <t>{"scene_state": "Ambiente industriale interno, un'officina o fabbrica con macchinari e materiali metallici.", "environmental_conditions": ["Illuminazione artificiale interna", "Pavimentazione industriale in cemento"], "people": ["Un operatore chinato vicino alla pressa verde", "Un operatore in piedi al centro", "Un operatore parzialmente visibile sulla destra"], "objects": ["Lastre di metallo", "Contenitori metallici", "Pallet in legno", "Tavolo metallico", "Secchio"], "machines": ["Grande pressa idraulica industriale di colore verde"], "observable_actions": ["L'operatore a sinistra si china per movimentare una lastra metallica vicino alla pressa", "L'operatore al centro rimane in piedi e osserva"], "visible_ppe": ["Caschi protettivi bianchi"], "notes_visibility_limitations": "Inquadratura dall'alto; l'operatore a destra è parzialmente fuori campo."}</t>
        </is>
      </c>
      <c r="E8" s="7" t="inlineStr">
        <is>
          <t>{"unsafe_behaviors": ["Movimentazione manuale di lastre metalliche potenzialmente pesanti senza ausili meccanici", "Operatività in postura incongrua (chinato) in prossimità di una pressa idraulica"], "vulnerable_elements": ["Operatore chinato a sinistra vicino alla pressa"], "risk_cues": {"S1_people_vehicle_interference": 0.0, "S2_visibility_attention_reduction": 0.5, "S3_non_compliant_behavior": 0.25, "S4_vehicle_infrastructure_interference": 0.0, "S5_storage_structural_instability": 0.25, "S6_access_to_moving_mechanical_parts": 0.5, "S7_manual_handling_heavy_unstable_loads": 0.75}, "cue_confidence": 0.8, "diagnostic_notes": "L'analisi evidenzia un rischio rilevante legato alla movimentazione manuale di carichi (S7), in quanto l'operatore si china per movimentare una lastra metallica senza ausili visibili. Questa postura riduce l'attenzione e il campo visivo del soggetto (S2). La vicinanza alla pressa idraulica introduce un rischio moderato di interazione con organi meccanici (S6). Non si rileva la presenza di mezzi di movimentazione nell'area (S1, S4)."}</t>
        </is>
      </c>
      <c r="F8" s="7" t="inlineStr">
        <is>
          <t>{"causal_chain_plausible": true, "causal_chain_text": "L'operatore si china per movimentare manualmente una lastra metallica pesante vicino alla pressa. La postura incongrua riduce stabilità e visibilità. La perdita di presa del carico o un movimento errato può causare lo schiacciamento degli arti o lesioni da sforzo.", "near_miss_or_incident_scenario": "Schiacciamento degli arti superiori o trauma muscolo-scheletrico acuto dell'operatore a causa della perdita di controllo della lastra metallica durante il sollevamento manuale in postura chinata.", "contributing_factors": ["Movimentazione manuale di carichi pesanti senza ausili meccanici", "Postura di lavoro incongrua e non ergonomica", "Operatività in stretta prossimità di una pressa idraulica", "Riduzione del campo visivo e dell'attenzione dell'operatore chinato"]}</t>
        </is>
      </c>
      <c r="G8" s="7" t="n">
        <v>65</v>
      </c>
      <c r="H8" s="7" t="inlineStr">
        <is>
          <t>Il punteggio riflette un rischio significativo dovuto alla movimentazione manuale di lastre metalliche pesanti in una postura incongrua e chinata. La vicinanza alla pressa idraulica e la ridotta visibilità dell'operatore aumentano la probabilità di infortuni muscolo-scheletrici o schiacciamenti.</t>
        </is>
      </c>
      <c r="I8" s="7" t="n">
        <v>65.64</v>
      </c>
      <c r="J8" s="8" t="inlineStr">
        <is>
          <t>arancione</t>
        </is>
      </c>
    </row>
    <row r="9" ht="34" customHeight="1">
      <c r="A9" s="7" t="n">
        <v>7</v>
      </c>
      <c r="B9" s="7" t="n">
        <v>14</v>
      </c>
      <c r="C9" s="7" t="n">
        <v>18</v>
      </c>
      <c r="D9" s="7" t="inlineStr">
        <is>
          <t>{"scene_state": "Area di lavoro industriale con macchinari pesanti, cassoni di stoccaggio e personale operativo.", "environmental_conditions": ["Illuminazione interna artificiale", "Pavimentazione industriale in cemento"], "people": ["Operatore chinato vicino alla pressa verde", "Operatore in piedi con casco bianco al centro", "Operatore parzialmente visibile sulla destra", "Operatore con casco giallo che appare brevemente dietro la pressa"], "objects": ["Lastre metalliche", "Cassoni di stoccaggio in legno e metallo", "Tavolo metallico in primo piano", "Secchio bianco", "Pallet"], "machines": ["Grande pressa industriale di colore verde sulla sinistra"], "observable_actions": ["L'operatore a sinistra è chinato e manipola una lastra metallica vicino alla pressa", "L'operatore al centro osserva la scena in piedi", "L'operatore a destra lavora vicino a un tavolo"], "visible_ppe": ["Casco protettivo bianco", "Casco protettivo giallo", "Indumenti da lavoro"], "notes_visibility_limitations": "Inquadratura dall'alto con risoluzione da telecamera di sicurezza; alcune aree sono parzialmente occluse dai macchinari."}</t>
        </is>
      </c>
      <c r="E9" s="7" t="inlineStr">
        <is>
          <t>{"unsafe_behaviors": ["Manipolazione manuale di lastre metalliche in prossimità della pressa senza ausili meccanici visibili", "Operatore chinato in postura incongrua vicino a organi meccanici potenzialmente attivi"], "vulnerable_elements": ["Operatore chinato a sinistra vicino alla pressa", "Operatore al centro esposto a potenziali schegge o movimenti della macchina"], "risk_cues": {"S1_people_vehicle_interference": 0.0, "S2_visibility_attention_reduction": 0.5, "S3_non_compliant_behavior": 0.25, "S4_vehicle_infrastructure_interference": 0.0, "S5_storage_structural_instability": 0.25, "S6_access_to_moving_mechanical_parts": 0.75, "S7_manual_handling_heavy_unstable_loads": 0.5}, "cue_confidence": 0.8, "diagnostic_notes": "L'analisi evidenzia un rischio elevato di accesso a organi meccanici (S6) dovuto all'operatore chinato che manipola lastre metalliche vicino alla pressa verde. Questa postura riduce la visibilità e l'attenzione (S2). La movimentazione manuale di lastre metalliche (S7) comporta rischi di taglio o schiacciamento. Non si registrano interferenze con veicoli (S1, S4)."}</t>
        </is>
      </c>
      <c r="F9" s="7" t="inlineStr">
        <is>
          <t>{"causal_chain_plausible": true, "causal_chain_text": "L'operatore lavora chinato manipolando manualmente lastre metalliche vicino alla pressa. La postura incongrua riduce la sua attenzione e visibilità. Un movimento imprevisto della macchina o della lastra può causare un contatto pericoloso.", "near_miss_or_incident_scenario": "Schiacciamento o taglio degli arti superiori dell'operatore durante la manipolazione della lastra metallica vicino alla pressa in funzione.", "contributing_factors": ["Manipolazione manuale di lastre metalliche senza ausili meccanici", "Postura incongrua e chinata vicino a organi meccanici in movimento", "Prossimità immediata alla pressa verde senza barriere protettive visibili", "Ridotta visibilità e attenzione dovute alla posizione di lavoro"]}</t>
        </is>
      </c>
      <c r="G9" s="7" t="n">
        <v>70</v>
      </c>
      <c r="H9" s="7" t="inlineStr">
        <is>
          <t>Il punteggio riflette un rischio significativo dovuto alla manipolazione manuale di lastre metalliche in postura incongrua e in estrema prossimità della pressa industriale. La mancanza di barriere protettive visibili aumenta notevolmente la probabilità di gravi infortuni da schiacciamento o taglio.</t>
        </is>
      </c>
      <c r="I9" s="7" t="n">
        <v>69.51000000000001</v>
      </c>
      <c r="J9" s="8" t="inlineStr">
        <is>
          <t>arancione</t>
        </is>
      </c>
    </row>
    <row r="10" ht="34" customHeight="1">
      <c r="A10" s="7" t="n">
        <v>8</v>
      </c>
      <c r="B10" s="7" t="n">
        <v>16</v>
      </c>
      <c r="C10" s="7" t="n">
        <v>20</v>
      </c>
      <c r="D10" s="7" t="inlineStr">
        <is>
          <t>{"scene_state": "Interno di un'officina industriale con macchinari e attrezzature, dove si verifica la caduta di un operatore.", "environmental_conditions": ["Illuminazione artificiale interna", "Pavimentazione industriale"], "people": ["Operatore con camicia blu e pantaloni scuri (che cade a terra)", "Operatore con camicia azzurra e casco bianco", "Operatore con casco giallo"], "objects": ["Contenitori metallici e casse in legno", "Tavolo da lavoro metallico", "Secchio", "Pallet"], "machines": ["Grande pressa industriale di colore verde sulla sinistra"], "observable_actions": ["Un operatore si china vicino alla pressa verde, perde l'equilibrio e cade all'indietro sul pavimento.", "Gli altri operatori si muovono verso il collega caduto."], "visible_ppe": ["Caschi di protezione (bianco e giallo)", "Calzature da lavoro"], "notes_visibility_limitations": "Inquadratura dall'alto e fissa; alcune parti dell'area sono parzialmente oscurate dai macchinari."}</t>
        </is>
      </c>
      <c r="E10" s="7" t="inlineStr">
        <is>
          <t>{"unsafe_behaviors": ["Perdita di equilibrio durante operazione vicino alla pressa", "Mancato uso visibile del casco protettivo per l'operatore caduto"], "vulnerable_elements": ["Operatore a terra", "Operatori accorsi in aiuto"], "risk_cues": {"S1_people_vehicle_interference": 0.0, "S2_visibility_attention_reduction": 0.5, "S3_non_compliant_behavior": 0.5, "S4_vehicle_infrastructure_interference": 0.0, "S5_storage_structural_instability": 0.0, "S6_access_to_moving_mechanical_parts": 0.25, "S7_manual_handling_heavy_unstable_loads": 0.0}, "cue_confidence": 0.8, "diagnostic_notes": "Un operatore perde l'equilibrio e cade all'indietro vicino a una pressa industriale. Non è esplicitamente indicato l'uso del casco per l'operatore caduto, a differenza dei colleghi. Possibile riduzione dell'attenzione o postura instabile durante l'attività."}</t>
        </is>
      </c>
      <c r="F10" s="7" t="inlineStr">
        <is>
          <t>{"causal_chain_plausible": true, "causal_chain_text": "L'operatore si china vicino alla pressa senza casco protettivo, perde l'equilibrio e cade all'indietro sul pavimento industriale, rischiando un trauma cranico o lesioni da impatto.", "near_miss_or_incident_scenario": "Infortunio da caduta a livello con potenziale trauma cranico o muscolo-scheletrico dovuto all'impatto al suolo in assenza di DPI (casco).", "contributing_factors": ["Mancato uso del casco protettivo da parte dell'operatore caduto", "Postura instabile o perdita di equilibrio durante l'attività vicino alla pressa", "Presenza di macchinari industriali (pressa) nelle immediate vicinanze"]}</t>
        </is>
      </c>
      <c r="G10" s="7" t="n">
        <v>85</v>
      </c>
      <c r="H10" s="7" t="inlineStr">
        <is>
          <t>Il punteggio elevato è giustificato dall'avvenuta caduta a terra dell'operatore che, privo di casco protettivo, rischia gravi lesioni o un trauma cranico da impatto. La prossimità a una pressa industriale aumenta la criticità dell'evento, richiedendo un intervento immediato di soccorso.</t>
        </is>
      </c>
      <c r="I10" s="7" t="n">
        <v>82.55</v>
      </c>
      <c r="J10" s="10" t="inlineStr">
        <is>
          <t>rosso</t>
        </is>
      </c>
    </row>
    <row r="11" ht="34" customHeight="1">
      <c r="A11" s="7" t="n">
        <v>9</v>
      </c>
      <c r="B11" s="7" t="n">
        <v>18</v>
      </c>
      <c r="C11" s="7" t="n">
        <v>22</v>
      </c>
      <c r="D11" s="7" t="inlineStr">
        <is>
          <t>{"scene_state": "Interno di un'officina meccanica o fabbrica con presenza di macchinari e materiali disposti disordinatamente.", "environmental_conditions": ["Illuminazione interna", "Pavimentazione industriale"], "people": ["Un lavoratore a terra", "Un lavoratore in camicia azzurra che lo soccorre", "Un lavoratore con casco giallo vicino alla pressa", "Altre persone visibili sullo sfondo"], "objects": ["Cassoni metallici", "Pallet in legno e metallo", "Tavolo da lavoro in metallo", "Secchi e contenitori minori"], "machines": ["Grande pressa industriale di colore verde sulla sinistra"], "observable_actions": ["Un lavoratore cade a terra", "Un collega interviene prontamente per aiutarlo a rialzarsi", "Gli altri presenti osservano la scena"], "visible_ppe": ["Casco di sicurezza giallo indossato da uno dei lavoratori"], "notes_visibility_limitations": "Risoluzione della telecamera di sicurezza limitata, ripresa dall'alto che parzialmente occulta i dettagli dei volti."}</t>
        </is>
      </c>
      <c r="E11" s="7" t="inlineStr">
        <is>
          <t>{"unsafe_behaviors": ["Transito in aree ingombre di materiali", "Mancato mantenimento dell'ordine e pulizia delle vie di transito (housekeeping inadeguato)"], "vulnerable_elements": ["Lavoratore caduto a terra", "Lavoratore soccorritore esposto a potenziali ostacoli al suolo"], "risk_cues": {"S1_people_vehicle_interference": 0.0, "S2_visibility_attention_reduction": 0.5, "S3_non_compliant_behavior": 0.5, "S4_vehicle_infrastructure_interference": 0.0, "S5_storage_structural_instability": 0.25, "S6_access_to_moving_mechanical_parts": 0.0, "S7_manual_handling_heavy_unstable_loads": 0.0}, "cue_confidence": 0.8, "diagnostic_notes": "La caduta del lavoratore suggerisce la presenza di un potenziale pericolo di inciampo dovuto al disordine dell'officina (pallet, cassoni e materiali sparsi). Non si evidenzia la presenza di mezzi di movimentazione o di carichi sospesi nella finestra temporale analizzata."}</t>
        </is>
      </c>
      <c r="F11" s="7" t="inlineStr">
        <is>
          <t>{"causal_chain_plausible": true, "causal_chain_text": "La presenza di vie di transito ostruite da pallet e cassoni metallici riduce lo spazio di manovra sicuro. Il lavoratore, transitando in quest'area ingombra, inciampa su un ostacolo non rimosso, perdendo l'equilibrio e cadendo a terra.", "near_miss_or_incident_scenario": "Infortunio da caduta a livello dovuto a inciampo su materiali disordinati lungo le vie di transito, con conseguente rischio di lesioni o traumi per il lavoratore e per il soccorritore.", "contributing_factors": ["Housekeeping inadeguato con accumulo di materiali al suolo", "Presenza di ostacoli fisici (pallet e cassoni) nelle aree di passaggio", "Mancata delimitazione e pulizia delle vie di transito pedonale"]}</t>
        </is>
      </c>
      <c r="G11" s="7" t="n">
        <v>70</v>
      </c>
      <c r="H11" s="7" t="inlineStr">
        <is>
          <t>Il punteggio riflette un incidente già avvenuto (caduta a livello di un lavoratore) causato da un inadeguato mantenimento dell'ordine nelle vie di transito. La presenza di ostacoli e macchinari pesanti nelle vicinanze aumenta il rischio di lesioni significative sia per l'infortunato che per i soccorritori.</t>
        </is>
      </c>
      <c r="I11" s="7" t="n">
        <v>75.02</v>
      </c>
      <c r="J11" s="10" t="inlineStr">
        <is>
          <t>rosso</t>
        </is>
      </c>
    </row>
    <row r="12" ht="34" customHeight="1">
      <c r="A12" s="7" t="n">
        <v>10</v>
      </c>
      <c r="B12" s="7" t="n">
        <v>20</v>
      </c>
      <c r="C12" s="7" t="n">
        <v>24</v>
      </c>
      <c r="D12" s="7" t="inlineStr">
        <is>
          <t>{"scene_state": "Interno di un'officina meccanica o fabbrica con presenza di macchinari, cassoni e personale.", "environmental_conditions": ["Illuminazione interna artificiale", "Pavimentazione industriale"], "people": ["Un operatore a terra", "Un operatore con camicia azzurra e casco bianco che assiste il collega a terra", "Un operatore con casco giallo vicino alla pressa verde", "Altri lavoratori in movimento nell'area"], "objects": ["Cassoni metallici contenenti pezzi", "Pallet e pedane", "Tavoli di supporto"], "machines": ["Grande pressa industriale verde posizionata sulla sinistra"], "observable_actions": ["Un lavoratore aiuta un collega a rialzarsi da terra", "Altri lavoratori camminano e transitano nell'area di lavoro"], "visible_ppe": ["Caschi di protezione (bianco e giallo)", "Calzature da lavoro"], "notes_visibility_limitations": "Inquadratura di sicurezza dall'alto con risoluzione medio-bassa e parziale sfocatura dei volti."}</t>
        </is>
      </c>
      <c r="E12" s="7" t="inlineStr">
        <is>
          <t>{"unsafe_behaviors": ["Possibile scivolamento o caduta a terra di un operatore", "Transito ravvicinato a zone di lavoro senza apparente delimitazione"], "vulnerable_elements": ["Operatore a terra", "Operatore che assiste il collega a terra"], "risk_cues": {"S1_people_vehicle_interference": 0.0, "S2_visibility_attention_reduction": 0.25, "S3_non_compliant_behavior": 0.5, "S4_vehicle_infrastructure_interference": 0.0, "S5_storage_structural_instability": 0.0, "S6_access_to_moving_mechanical_parts": 0.25, "S7_manual_handling_heavy_unstable_loads": 0.0}, "cue_confidence": 0.8, "diagnostic_notes": "L'evento principale riguarda un operatore a terra aiutato a rialzarsi da un collega, suggerendo una precedente caduta o inciampo (S3). Non si notano mezzi in movimento (S1, S4) o movimentazione di carichi pesanti (S7). Un operatore è vicino alla pressa (S6), ma senza evidenze di imminente pericolo."}</t>
        </is>
      </c>
      <c r="F12" s="7" t="inlineStr">
        <is>
          <t>{"causal_chain_plausible": true, "causal_chain_text": "La presenza di un operatore a terra suggerisce una caduta già avvenuta. In un'area di lavoro con macchinari e ostacoli fisici, un inciampo o scivolamento può causare impatti secondari gravi contro strutture metalliche o organi in movimento.", "near_miss_or_incident_scenario": "Infortunio per caduta a livello dovuto a inciampo su attrezzature/pallet o scivolamento sulla pavimentazione, con rischio di impatto contro i cassoni metallici o la pressa verde.", "contributing_factors": ["Presenza di ostacoli e materiali (pallet, cassoni) nelle zone di transito", "Mancanza di percorsi pedonali chiaramente delimitati e separati dalle aree di lavoro", "Potenziale scivolosità della pavimentazione industriale dell'officina"]}</t>
        </is>
      </c>
      <c r="G12" s="7" t="n">
        <v>65</v>
      </c>
      <c r="H12" s="7" t="inlineStr">
        <is>
          <t>Il punteggio riflette un rischio significativo dovuto alla presenza di un operatore già a terra, segno di una caduta o inciampo avvenuto in prossimità di macchinari e ostacoli metallici. Sebbene il collega stia prestando assistenza, l'evento evidenzia potenziali carenze nella sicurezza dei percorsi di transito.</t>
        </is>
      </c>
      <c r="I12" s="7" t="n">
        <v>69.01000000000001</v>
      </c>
      <c r="J12" s="8" t="inlineStr">
        <is>
          <t>arancione</t>
        </is>
      </c>
    </row>
    <row r="13" ht="34" customHeight="1">
      <c r="A13" s="7" t="n">
        <v>11</v>
      </c>
      <c r="B13" s="7" t="n">
        <v>22</v>
      </c>
      <c r="C13" s="7" t="n">
        <v>26</v>
      </c>
      <c r="D13" s="7" t="inlineStr">
        <is>
          <t>{"scene_state": "Area di lavoro industriale attiva con transito di personale e mezzi.", "environmental_conditions": ["Illuminazione interna sufficiente", "Ambiente di lavoro coperto con pavimentazione industriale"], "people": ["Almeno 7 operatori presenti nell'area di lavoro"], "objects": ["Scooter", "Contenitori metallici di grandi dimensioni", "Pallet e carrelli", "Tavoli da lavoro"], "machines": ["Grande pressa industriale di colore verde sul lato sinistro"], "observable_actions": ["Un operatore a bordo di uno scooter si ferma al centro dell'area", "Diversi lavoratori a piedi si avvicinano e si radunano attorno allo scooter", "Un operatore cammina nella parte inferiore sinistra dello schermo"], "visible_ppe": ["Caschi di protezione (gialli e bianchi)", "Uniformi da lavoro (camicie azzurre e pantaloni scuri)"], "notes_visibility_limitations": "Inquadratura dall'alto con risoluzione di sicurezza; alcuni dettagli minori o specifici DPI potrebbero non essere chiaramente visibili."}</t>
        </is>
      </c>
      <c r="E13" s="7" t="inlineStr">
        <is>
          <t>{"unsafe_behaviors": ["Utilizzo di un mezzo di trasporto non industriale (scooter) all'interno di un'area di produzione attiva", "Assembramento di pedoni attorno a un veicolo a motore in transito o fermo in zona operativa"], "vulnerable_elements": ["Operatori a piedi presenti nell'area di transito e manovra dello scooter"], "risk_cues": {"S1_people_vehicle_interference": 0.75, "S2_visibility_attention_reduction": 0.5, "S3_non_compliant_behavior": 0.75, "S4_vehicle_infrastructure_interference": 0.25, "S5_storage_structural_instability": 0.0, "S6_access_to_moving_mechanical_parts": 0.0, "S7_manual_handling_heavy_unstable_loads": 0.0}, "cue_confidence": 0.85, "diagnostic_notes": "La criticità principale è legata alla presenza dello scooter all'interno del reparto produttivo (S1, S3). L'assembramento di diversi operatori attorno al mezzo crea una situazione di potenziale distrazione e ridotta attenzione verso l'ambiente circostante (S2), inclusa la vicina pressa industriale. Non si rilevano rischi immediati di instabilità di carichi o movimentazione manuale pericolosa."}</t>
        </is>
      </c>
      <c r="F13" s="7" t="inlineStr">
        <is>
          <t>{"causal_chain_plausible": true, "causal_chain_text": "L'ingresso di un mezzo non industriale (scooter) in un'area di produzione attiva crea un'interferenza veicolo-pedone. La sosta del mezzo e il conseguente assembramento di lavoratori attorno ad esso riducono l'attenzione visiva e spaziale dei presenti. Una ripartenza improvvisa dello scooter o un movimento distratto di un operatore può causare un impatto diretto o una caduta.", "near_miss_or_incident_scenario": "Collisione a bassa velocità tra lo scooter in fase di manovra/ripartenza e uno dei lavoratori a piedi radunati nelle sue immediate vicinanze, con conseguente rischio di lesioni agli arti inferiori.", "contributing_factors": ["Utilizzo di un mezzo di trasporto non autorizzato/non industriale all'interno del reparto", "Assembramento di personale a piedi attorno a un veicolo fermo in zona operativa", "Riduzione della consapevolezza situazionale e distrazione dei lavoratori vicino a macchinari attivi", "Assenza di barriere o percorsi pedonali protetti e segregati"]}</t>
        </is>
      </c>
      <c r="G13" s="7" t="n">
        <v>65</v>
      </c>
      <c r="H13" s="7" t="inlineStr">
        <is>
          <t>La presenza non autorizzata di uno scooter all'interno del reparto produttivo e l'assembramento di pedoni attorno ad esso generano un rischio significativo di collisione e distrazione in prossimità di macchinari attivi. Questa violazione delle norme di sicurezza riduce la consapevolezza situazionale degli operatori, aumentando la probabilità di infortuni.</t>
        </is>
      </c>
      <c r="I13" s="7" t="n">
        <v>66.59999999999999</v>
      </c>
      <c r="J13" s="8" t="inlineStr">
        <is>
          <t>arancione</t>
        </is>
      </c>
    </row>
    <row r="14" ht="34" customHeight="1">
      <c r="A14" s="7" t="n">
        <v>12</v>
      </c>
      <c r="B14" s="7" t="n">
        <v>24</v>
      </c>
      <c r="C14" s="7" t="n">
        <v>28</v>
      </c>
      <c r="D14" s="7" t="inlineStr">
        <is>
          <t>{"scene_state": "Area di lavoro industriale interna con diversi operatori raggruppati al centro.", "environmental_conditions": ["Illuminazione artificiale interna", "Pavimentazione industriale"], "people": ["Un gruppo di circa 6-7 lavoratori riuniti al centro", "Un operatore che si muove verso il gruppo", "Un operatore fermo vicino al macchinario di sinistra"], "objects": ["Contenitori metallici", "Pallet e casse", "Carrelli", "Documenti o materiali a terra"], "machines": ["Grande pressa industriale di colore verde posizionata a sinistra"], "observable_actions": ["Gli operatori sono raggruppati e discutono o interagiscono tra loro", "Un operatore in camicia azzurra cammina verso il gruppo principale"], "visible_ppe": ["Caschi di protezione (giallo e bianchi)", "Uniformi da lavoro (camicie azzurre)"], "notes_visibility_limitations": "La visuale dall'alto e la risoluzione della telecamera di sicurezza limitano la nitidezza dei dettagli."}</t>
        </is>
      </c>
      <c r="E14" s="7" t="inlineStr">
        <is>
          <t>{"unsafe_behaviors": ["Presenza di materiali o documenti a terra che possono costituire un rischio di inciampo", "Raggruppamento di lavoratori in un'area operativa centrale senza apparente delimitazione di sicurezza"], "vulnerable_elements": ["Operatori raggruppati al centro dell'area di lavoro", "Operatore fermo vicino alla pressa industriale"], "risk_cues": {"S1_people_vehicle_interference": 0.0, "S2_visibility_attention_reduction": 0.25, "S3_non_compliant_behavior": 0.25, "S4_vehicle_infrastructure_interference": 0.0, "S5_storage_structural_instability": 0.0, "S6_access_to_moving_mechanical_parts": 0.25, "S7_manual_handling_heavy_unstable_loads": 0.0}, "cue_confidence": 0.7, "diagnostic_notes": "La scena evidenzia un gruppo di operatori concentrati in una discussione al centro dell'officina, il che potrebbe ridurre la loro attenzione verso l'ambiente circostante (S2). La presenza di materiali a terra configura un potenziale rischio di inciampo (S3). Un operatore si trova vicino alla pressa industriale, ma non vi sono evidenze di interazione diretta con organi in movimento (S6). Non si rilevano mezzi in transito o movimentazione di carichi pesanti."}</t>
        </is>
      </c>
      <c r="F14" s="7" t="inlineStr">
        <is>
          <t>{"causal_chain_plausible": true, "causal_chain_text": "La presenza di materiali e documenti a terra crea un pericolo di inciampo in una zona di passaggio. La concentrazione di lavoratori in gruppo riduce la loro attenzione verso l'ambiente circostante. Un operatore che si muove verso o all'interno del gruppo può non avvedere l'ostacolo al suolo, inciampando.", "near_miss_or_incident_scenario": "Un lavoratore del gruppo o l'operatore in movimento non nota i documenti/materiali sul pavimento a causa della distrazione e inciampa, rischiando una caduta al suolo o contro i carrelli e i contenitori metallici vicini.", "contributing_factors": ["Presenza di materiali e documenti disordinati sul pavimento", "Ridotta attenzione dei lavoratori dovuta alla discussione di gruppo", "Mancanza di delimitazione di sicurezza per le aree di riunione rispetto a quelle operative"]}</t>
        </is>
      </c>
      <c r="G14" s="7" t="n">
        <v>35</v>
      </c>
      <c r="H14" s="7" t="inlineStr">
        <is>
          <t>Il rischio è moderato a causa della presenza di materiali a terra che creano un potenziale pericolo di inciampo e della distrazione del gruppo di lavoratori riuniti nell'area operativa. Non si rilevano pericoli imminenti legati a macchinari in movimento o transito di mezzi.</t>
        </is>
      </c>
      <c r="I14" s="7" t="n">
        <v>47.64</v>
      </c>
      <c r="J14" s="9" t="inlineStr">
        <is>
          <t>giallo</t>
        </is>
      </c>
    </row>
    <row r="15" ht="34" customHeight="1">
      <c r="A15" s="7" t="n">
        <v>13</v>
      </c>
      <c r="B15" s="7" t="n">
        <v>26</v>
      </c>
      <c r="C15" s="7" t="n">
        <v>30</v>
      </c>
      <c r="D15" s="7" t="inlineStr">
        <is>
          <t>{"scene_state": "Area di lavoro industriale con presenza di personale e macchinari.", "environmental_conditions": ["Illuminazione artificiale", "Pavimentazione in cemento"], "people": ["Un gruppo di circa 5-6 lavoratori in camicia azzurra e pantaloni scuri", "Un lavoratore con casco giallo vicino alla pressa verde", "Una persona parzialmente visibile sullo sfondo"], "objects": ["Pallet metallici", "Contenitori e casse", "Tavoli da lavoro", "Materiali sparsi sul pavimento"], "machines": ["Grande pressa industriale verde sulla sinistra", "Strutture di carrelli o macchinari sul lato destro"], "observable_actions": ["I lavoratori in azzurro sono fermi in gruppo e interagiscono tra loro", "Il lavoratore vicino alla pressa è in piedi in posizione statica"], "visible_ppe": ["Elmetto protettivo giallo", "Elmetti protettivi bianchi", "Divise da lavoro"], "notes_visibility_limitations": "Inquadratura dall'alto con risoluzione medio-bassa che limita la visibilità dei dettagli minuti."}</t>
        </is>
      </c>
      <c r="E15" s="7" t="inlineStr">
        <is>
          <t>{"unsafe_behaviors": ["Presenza di materiali sparsi sul pavimento che ostruiscono i passaggi", "Stazionamento di un gruppo di lavoratori in un'area potenzialmente operativa senza apparente attività produttiva in corso"], "vulnerable_elements": ["Gruppo di lavoratori in camicia azzurra", "Lavoratore vicino alla pressa industriale"], "risk_cues": {"S1_people_vehicle_interference": 0.0, "S2_visibility_attention_reduction": 0.25, "S3_non_compliant_behavior": 0.5, "S4_vehicle_infrastructure_interference": 0.0, "S5_storage_structural_instability": 0.25, "S6_access_to_moving_mechanical_parts": 0.0, "S7_manual_handling_heavy_unstable_loads": 0.0}, "cue_confidence": 0.7, "diagnostic_notes": "La presenza di materiali sparsi sul pavimento rappresenta un rischio di inciampo e indica una non conformità nella gestione dell'ordine e della pulizia (S3). Il gruppo di lavoratori fermo a discutere potrebbe presentare una parziale riduzione dell'attenzione rispetto ai rischi dell'ambiente industriale circostante (S2). Non si osservano mezzi in movimento o interazioni dirette con organi meccanici o carichi pesanti in questa finestra temporale."}</t>
        </is>
      </c>
      <c r="F15" s="7" t="inlineStr">
        <is>
          <t>{"causal_chain_plausible": true, "causal_chain_text": "La presenza di materiali sparsi sul pavimento crea un immediato pericolo d'inciampo. I lavoratori, concentrati nell'interazione di gruppo e parzialmente distratti, potrebbero muoversi senza prestare attenzione al piano di calpestio, urtando gli ostacoli e perdendo l'equilibrio.", "near_miss_or_incident_scenario": "Un lavoratore del gruppo decide di spostarsi, non nota un oggetto sul cemento a causa della distrazione, inciampa e cade rovinosamente a terra o contro un macchinario.", "contributing_factors": ["Presenza di ostacoli e materiali non stoccati correttamente sul pavimento", "Distrazione dei lavoratori impegnati in attività non produttive in area operativa", "Carenza di housekeeping e gestione dell'ordine nei passaggi"]}</t>
        </is>
      </c>
      <c r="G15" s="7" t="n">
        <v>35</v>
      </c>
      <c r="H15" s="7" t="inlineStr">
        <is>
          <t>Il rischio è moderato a causa della presenza di materiali sparsi sul pavimento che creano un potenziale pericolo di inciampo per i lavoratori parzialmente distratti. L'assenza di mezzi in movimento o di lavorazioni ad alto rischio attive riduce la probabilità di incidenti gravi in questa finestra temporale.</t>
        </is>
      </c>
      <c r="I15" s="7" t="n">
        <v>40.06</v>
      </c>
      <c r="J15" s="9" t="inlineStr">
        <is>
          <t>giallo</t>
        </is>
      </c>
    </row>
    <row r="16" ht="34" customHeight="1">
      <c r="A16" s="7" t="n">
        <v>14</v>
      </c>
      <c r="B16" s="7" t="n">
        <v>28</v>
      </c>
      <c r="C16" s="7" t="n">
        <v>32</v>
      </c>
      <c r="D16" s="7" t="inlineStr">
        <is>
          <t>{"scene_state": "Area di lavoro industriale interna con diversi operatori riuniti al centro.", "environmental_conditions": ["Illuminazione artificiale interna", "Pavimentazione in cemento con attrezzature e materiali disposti nell'area"], "people": ["Un gruppo di circa 5-6 persone riunite in cerchio al centro", "Un operatore vicino alla macchina verde a sinistra", "Un operatore che cammina dal basso verso il centro della scena", "Un operatore nella parte superiore vicino a un carrello"], "objects": ["Pallet in legno e metallo", "Tavoli da lavoro", "Contenitori metallici", "Materiali a terra"], "machines": ["Grande pressa industriale di colore verde sulla sinistra", "Carrelli industriali su ruote"], "observable_actions": ["Un gruppo di lavoratori discute in cerchio", "Un uomo si unisce al gruppo camminando dal basso", "Un operatore rimane fermo vicino alla pressa"], "visible_ppe": ["Caschi protettivi (gialli e bianchi) visibili su alcuni operatori", "Divise da lavoro (camicie azzurre e pantaloni scuri)"], "notes_visibility_limitations": "Inquadratura dall'alto che limita la visibilità dei dettagli dei volti e di alcuni DPI specifici."}</t>
        </is>
      </c>
      <c r="E16" s="7" t="inlineStr">
        <is>
          <t>{"unsafe_behaviors": ["Sosta prolungata di un gruppo di operatori al centro dell'area di transito/lavoro", "Potenziale distrazione dei lavoratori riuniti in cerchio rispetto all'ambiente circostante"], "vulnerable_elements": ["Gruppo di 5-6 operatori riuniti al centro", "Operatore che cammina nell'area di transito"], "risk_cues": {"S1_people_vehicle_interference": 0.0, "S2_visibility_attention_reduction": 0.25, "S3_non_compliant_behavior": 0.25, "S4_vehicle_infrastructure_interference": 0.0, "S5_storage_structural_instability": 0.25, "S6_access_to_moving_mechanical_parts": 0.25, "S7_manual_handling_heavy_unstable_loads": 0.0}, "cue_confidence": 0.8, "diagnostic_notes": "La scena evidenzia un gruppo di operatori riuniti al centro dell'area di lavoro per una discussione. Questo comportamento, sebbene non immediatamente pericoloso in assenza di mezzi in movimento attivi, riduce la soglia di attenzione spaziale (S2) e avviene in una zona di transito non specificamente protetta (S3). Si nota la presenza di materiali e attrezzature a terra che potrebbero costituire un rischio d'inciampo (S5). Un operatore staziona vicino alla pressa ma senza interagire direttamente con parti in movimento (S6)."}</t>
        </is>
      </c>
      <c r="F16" s="7" t="inlineStr">
        <is>
          <t>{"causal_chain_plausible": true, "causal_chain_text": "La sosta prolungata del gruppo al centro dell'area di transito riduce la consapevolezza situazionale dei lavoratori. Un operatore in movimento, distratto dalla discussione o con la visuale parzialmente ostruita, può non avvedersi dei materiali e delle attrezzature presenti a terra, provocando un inciampo o una collisione.", "near_miss_or_incident_scenario": "Inciampo e caduta a terra di un operatore a causa di ostacoli non segnalati sul pavimento, favorito dalla distrazione dovuta alla riunione in corso nell'area di transito.", "contributing_factors": ["Presenza di materiali e attrezzature disposti disordinatamente a terra", "Sosta e discussione di gruppo in una zona di transito non protetta", "Riduzione dell'attenzione spaziale dei lavoratori coinvolti nella discussione", "Mancanza di una delimitazione chiara delle aree di passaggio rispetto a quelle di lavoro"]}</t>
        </is>
      </c>
      <c r="G16" s="7" t="n">
        <v>35</v>
      </c>
      <c r="H16" s="7" t="inlineStr">
        <is>
          <t>Il punteggio riflette un rischio moderato dovuto alla sosta di un gruppo di lavoratori in un'area di transito con materiali a terra, che aumenta il rischio di inciampo e riduce la soglia di attenzione. Non si rilevano tuttavia pericoli immediati legati a mezzi in movimento o lavorazioni ad alto rischio in corso.</t>
        </is>
      </c>
      <c r="I16" s="7" t="n">
        <v>37.02</v>
      </c>
      <c r="J16" s="9" t="inlineStr">
        <is>
          <t>giallo</t>
        </is>
      </c>
    </row>
    <row r="17" ht="34" customHeight="1">
      <c r="A17" s="7" t="n">
        <v>15</v>
      </c>
      <c r="B17" s="7" t="n">
        <v>30</v>
      </c>
      <c r="C17" s="7" t="n">
        <v>34</v>
      </c>
      <c r="D17" s="7" t="inlineStr">
        <is>
          <t>{"scene_state": "Area interna di uno stabilimento industriale con operai raggruppati al centro.", "environmental_conditions": ["Illuminazione artificiale interna", "Pavimentazione industriale con detriti"], "people": ["Gruppo di circa 7-8 lavoratori", "Un lavoratore in primo piano che cammina verso il gruppo"], "objects": ["Pallet", "Contenitori metallici", "Sacchi e materiali di scarto"], "machines": ["Grande macchinario industriale verde sulla sinistra"], "observable_actions": ["I lavoratori interagiscono in gruppo", "Un uomo cammina di spalle verso il centro della scena"], "visible_ppe": ["Caschi di protezione (gialli e bianchi)", "Abbigliamento da lavoro"], "notes_visibility_limitations": "Inquadratura dall'alto e risoluzione limitano la nitidezza dei dettagli."}</t>
        </is>
      </c>
      <c r="E17" s="7" t="inlineStr">
        <is>
          <t>{"unsafe_behaviors": ["Stazionamento e transito in un'area operativa con presenza di detriti e materiali di scarto al suolo"], "vulnerable_elements": ["Lavoratori presenti nell'area centrale", "Lavoratore in primo piano che cammina verso il gruppo"], "risk_cues": {"S1_people_vehicle_interference": 0.0, "S2_visibility_attention_reduction": 0.25, "S3_non_compliant_behavior": 0.25, "S4_vehicle_infrastructure_interference": 0.0, "S5_storage_structural_instability": 0.25, "S6_access_to_moving_mechanical_parts": 0.0, "S7_manual_handling_heavy_unstable_loads": 0.0}, "cue_confidence": 0.7, "diagnostic_notes": "La scena evidenzia un potenziale rischio di inciampo dovuto alla presenza di detriti, sacchi e materiali di scarto sulla pavimentazione industriale (S2, S3, S5). I lavoratori indossano i caschi di protezione. Non si osservano mezzi di movimentazione in transito (S1, S4), interventi su organi meccanici in movimento (S6) o attività di movimentazione manuale dei carichi (S7). La risoluzione e l'inquadratura dall'alto limitano la visibilità fine dei dettagli."}</t>
        </is>
      </c>
      <c r="F17" s="7" t="inlineStr">
        <is>
          <t>{"causal_chain_plausible": true, "causal_chain_text": "La presenza di detriti, sacchi e materiali di scarto sulla pavimentazione, combinata con il transito dei lavoratori e la loro interazione di gruppo, crea un rischio d'inciampo. Un lavoratore in movimento, distratto dall'interazione, potrebbe non notare un ostacolo al suolo, perdere l'equilibrio e cadere.", "near_miss_or_incident_scenario": "Un lavoratore inciampa su un detrito o materiale di scarto mentre cammina verso il gruppo, rischiando una caduta al livello del suolo con potenziali lesioni o contusioni.", "contributing_factors": ["Presenza di detriti, sacchi e materiali di scarto sulla pavimentazione industriale", "Transito e stazionamento di lavoratori in un'area operativa non sgombra da ostacoli", "Possibile riduzione dell'attenzione visiva al suolo dovuta all'interazione sociale tra i lavoratori"]}</t>
        </is>
      </c>
      <c r="G17" s="7" t="n">
        <v>35</v>
      </c>
      <c r="H17" s="7" t="inlineStr">
        <is>
          <t>Il rischio è moderato a causa della presenza di detriti e materiali di scarto sulla pavimentazione che aumentano il pericolo di inciampo per i lavoratori nell'area. L'uso dei caschi protettivi e l'assenza di mezzi in movimento o carichi sospesi riducono la potenziale gravità di un incidente.</t>
        </is>
      </c>
      <c r="I17" s="7" t="n">
        <v>35.81</v>
      </c>
      <c r="J17" s="9" t="inlineStr">
        <is>
          <t>giallo</t>
        </is>
      </c>
    </row>
    <row r="18" ht="34" customHeight="1">
      <c r="A18" s="7" t="n">
        <v>16</v>
      </c>
      <c r="B18" s="7" t="n">
        <v>32</v>
      </c>
      <c r="C18" s="7" t="n">
        <v>36</v>
      </c>
      <c r="D18" s="7" t="inlineStr">
        <is>
          <t>{"scene_state": "Area di lavoro industriale con un gruppo di operatori riuniti al centro del passaggio.", "environmental_conditions": ["Illuminazione interna artificiale", "Pavimentazione industriale in cemento"], "people": ["Circa 8-10 lavoratori presenti, alcuni in piedi in cerchio, altri in movimento."], "objects": ["Pallet in legno", "Contenitori metallici", "Carrelli per il trasporto materiali", "Fogli o detriti a terra"], "machines": ["Grande pressa industriale di colore verde sulla sinistra", "Macchinari di lavorazione sullo sfondo"], "observable_actions": ["Gli operatori discutono tra loro in gruppo", "Un lavoratore cammina di spalle verso il centro del gruppo"], "visible_ppe": ["Caschi protettivi (gialli e bianchi)", "Indumenti da lavoro (camicie blu e bianche)"], "notes_visibility_limitations": "Inquadratura dall'alto e risoluzione che limita la visibilità dei dettagli minuti come scarpe antinfortunistiche o occhiali protettivi."}</t>
        </is>
      </c>
      <c r="E18" s="7" t="inlineStr">
        <is>
          <t>{"unsafe_behaviors": ["Operatore che cammina all'indietro (di spalle) verso il centro del gruppo", "Sosta di un gruppo numeroso di lavoratori al centro di un'area di passaggio", "Presenza di fogli o detriti a terra che possono causare scivolamenti o inciampi"], "vulnerable_elements": ["Lavoratori radunati nel corridoio di transito", "Lavoratore in movimento con visibilità ridotta (cammina di spalle)"], "risk_cues": {"S1_people_vehicle_interference": 0.25, "S2_visibility_attention_reduction": 0.75, "S3_non_compliant_behavior": 0.5, "S4_vehicle_infrastructure_interference": 0.0, "S5_storage_structural_instability": 0.25, "S6_access_to_moving_mechanical_parts": 0.0, "S7_manual_handling_heavy_unstable_loads": 0.0}, "cue_confidence": 0.8, "diagnostic_notes": "L'elemento di rischio principale è rappresentato dall'operatore che cammina all'indietro (S2), riducendo la propria visibilità e attenzione spaziale. Il gruppo è radunato in un'area di passaggio (S3), ostacolando potenzialmente il transito. La presenza di detriti a terra costituisce un rischio di inciampo. Non si osservano mezzi in movimento o movimentazione manuale di carichi in questa specifica."}</t>
        </is>
      </c>
      <c r="F18" s="7" t="inlineStr">
        <is>
          <t>{"causal_chain_plausible": true, "causal_chain_text": "L'operatore cammina all'indietro riducendo la propria visibilità. Muovendosi verso il gruppo nel corridoio, rischia di non vedere i detriti a terra o i colleghi fermi, causando un inciampo o una collisione.", "near_miss_or_incident_scenario": "Inciampo dell'operatore sui detriti a terra o collisione con i colleghi fermi nel passaggio, con conseguente caduta a livello.", "contributing_factors": ["Movimento all'indietro con visibilità e attenzione ridotte", "Presenza di fogli o detriti sulla pavimentazione industriale", "Sosta di un gruppo numeroso di lavoratori in una zona di transito"]}</t>
        </is>
      </c>
      <c r="G18" s="7" t="n">
        <v>38</v>
      </c>
      <c r="H18" s="7" t="inlineStr">
        <is>
          <t>Il rischio è moderato a causa dell'operatore che cammina all'indietro con visibilità ridotta in presenza di detriti al suolo e di colleghi fermi in un'area di transito. Questa situazione aumenta la probabilità di inciampi o collisioni, sebbene non vi siano veicoli o carichi sospesi in movimento immediato.</t>
        </is>
      </c>
      <c r="I18" s="7" t="n">
        <v>37.87</v>
      </c>
      <c r="J18" s="9" t="inlineStr">
        <is>
          <t>giallo</t>
        </is>
      </c>
    </row>
    <row r="19" ht="34" customHeight="1">
      <c r="A19" s="7" t="n">
        <v>17</v>
      </c>
      <c r="B19" s="7" t="n">
        <v>34</v>
      </c>
      <c r="C19" s="7" t="n">
        <v>36.689</v>
      </c>
      <c r="D19" s="7" t="inlineStr">
        <is>
          <t>{"scene_state": "Un gruppo di lavoratori è riunito al centro di un'officina industriale.", "environmental_conditions": ["Illuminazione artificiale interna", "Visibilità sufficiente"], "people": ["Un gruppo di circa 8-10 lavoratori con diverse divise"], "objects": ["Banchi da lavoro", "Pallet metallici", "Carrelli", "Materiali a terra"], "machines": ["Grande pressa industriale verde sulla sinistra"], "observable_actions": ["I lavoratori discutono in gruppo", "Alcuni si muovono leggermente"], "visible_ppe": ["Elmetti protettivi (gialli e bianchi)", "Abiti da lavoro"], "notes_visibility_limitations": "Inquadratura CCTV dall'alto con risoluzione limitata."}</t>
        </is>
      </c>
      <c r="E19" s="7" t="inlineStr">
        <is>
          <t>{"unsafe_behaviors": ["Sosta e discussione di gruppo in un'area operativa centrale potenzialmente destinata al transito o alle lavorazioni"], "vulnerable_elements": ["Gruppo di circa 8-10 lavoratori riuniti al centro dell'officina"], "risk_cues": {"S1_people_vehicle_interference": 0.0, "S2_visibility_attention_reduction": 0.25, "S3_non_compliant_behavior": 0.25, "S4_vehicle_infrastructure_interference": 0.0, "S5_storage_structural_instability": 0.0, "S6_access_to_moving_mechanical_parts": 0.0, "S7_manual_handling_heavy_unstable_loads": 0.0}, "cue_confidence": 0.8, "diagnostic_notes": "I lavoratori sono riuniti in gruppo per discutere. Sebbene indossino i DPI base (elmetti), la sosta prolungata al centro dell'officina, vicino a banchi, carrelli e a una pressa industriale, può ridurre la consapevolezza situazionale rispetto a eventuali pericoli circostanti. Non si rilevano mezzi in movimento o movimentazione carichi in questa specifica finestra temporale."}</t>
        </is>
      </c>
      <c r="F19" s="7" t="inlineStr">
        <is>
          <t>{"causal_chain_plausible": true, "causal_chain_text": "La sosta di un gruppo numeroso in un'area operativa centrale riduce la consapevolezza situazionale dei singoli. La distrazione causata dalla discussione, combinata con la presenza di ostacoli fisici come materiali a terra, carrelli e banchi da lavoro nelle immediate vicinanze, può indurre movimenti involontari senza adeguato controllo visivo dello spazio circostante.", "near_miss_or_incident_scenario": "Un lavoratore del gruppo compie un passo indietro o un movimento laterale improvviso durante la discussione, inciampando nei materiali a terra o urtando un carrello metallico, con conseguente rischio di caduta o lesione.", "contributing_factors": ["Sosta e discussione di gruppo in zona di transito/lavoro", "Presenza di ostacoli fisici e materiali depositati a terra", "Ridotta attenzione situazionale dei lavoratori focalizzati sulla discussione"]}</t>
        </is>
      </c>
      <c r="G19" s="7" t="n">
        <v>30</v>
      </c>
      <c r="H19" s="7" t="inlineStr">
        <is>
          <t>Il rischio è moderato poiché la sosta di gruppo in un'area operativa riduce l'attenzione situazionale, aumentando la probabilità di inciampi sui materiali a terra. Tuttavia, l'assenza di carrelli in movimento o lavorazioni ad alto rischio attive in questo momento limita la gravità immediata.</t>
        </is>
      </c>
      <c r="I19" s="7" t="n">
        <v>33.15</v>
      </c>
      <c r="J19" s="9" t="inlineStr">
        <is>
          <t>giallo</t>
        </is>
      </c>
    </row>
    <row r="20" ht="34" customHeight="1">
      <c r="A20" s="7" t="n">
        <v>18</v>
      </c>
      <c r="B20" s="7" t="n">
        <v>36</v>
      </c>
      <c r="C20" s="7" t="n">
        <v>36.689</v>
      </c>
      <c r="D20" s="7" t="inlineStr">
        <is>
          <t>{"scene_state": "Area di lavoro industriale interna con un gruppo di operatori riuniti al centro.", "environmental_conditions": ["Illuminazione artificiale interna", "Pavimentazione industriale grigia"], "people": ["Un gruppo di circa 8 persone (operatori e supervisori) ferme in cerchio che interagiscono."], "objects": ["Pallet in legno", "Piastre metalliche", "Scatole e sacchi di materiale", "Carrello di trasporto"], "machines": ["Grande pressa industriale sul lato sinistro", "Macchinari e attrezzature sullo sfondo"], "observable_actions": ["Gli operatori sono in piedi, discutono e si confrontano in gruppo."], "visible_ppe": ["Caschi protettivi (gialli e bianchi)", "Gilet ad alta visibilità", "Calzature di sicurezza"], "notes_visibility_limitations": "Inquadratura dall'alto e distanza limitano la nitidezza dei dettagli del viso e dei DPI specifici."}</t>
        </is>
      </c>
      <c r="E20" s="7" t="inlineStr">
        <is>
          <t>{"unsafe_behaviors": [], "vulnerable_elements": ["Operatori presenti nell'area di lavoro"],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"Gli operatori sono riuniti in cerchio per un briefing o confronto. Indossano i DPI base visibili (caschi, gilet ad alta visibilità, calzature di sicurezza). Non si registrano attività di movimentazione carichi, transito di mezzi o interazioni con parti meccaniche in movimento in questa finestra temporale, mantenendo il livello di rischio a zero."}</t>
        </is>
      </c>
      <c r="F20" s="7" t="inlineStr">
        <is>
          <t>{"causal_chain_plausible": false, "causal_chain_text": "Nessuna catena causale di rischio rilevata. Gli operatori si trovano in un'area sicura per un briefing di lavoro, indossano i DPI idonei e non vi sono macchinari in movimento o carichi sospesi nelle immediate vicinanze.", "near_miss_or_incident_scenario": "Nessun scenario di incidente o near miss plausibile in base agli elementi osservati.", "contributing_factors": []}</t>
        </is>
      </c>
      <c r="G20" s="7" t="n">
        <v>5</v>
      </c>
      <c r="H20" s="7" t="inlineStr">
        <is>
          <t>Gli operatori sono riuniti in sicurezza per un briefing e indossano correttamente i DPI previsti. Non si rilevano attività operative a rischio, macchinari in movimento o interferenze con mezzi nell'area.</t>
        </is>
      </c>
      <c r="I20" s="7" t="n">
        <v>16.26</v>
      </c>
      <c r="J20" s="11" t="inlineStr">
        <is>
          <t>verde</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20"/>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8" customWidth="1" min="8" max="8"/>
    <col width="7" customWidth="1" min="9" max="9"/>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5" t="inlineStr">
        <is>
          <t>instantaneous_risk_score_ahp</t>
        </is>
      </c>
      <c r="H1" s="5" t="inlineStr">
        <is>
          <t>dynamic_risk_score_ahp</t>
        </is>
      </c>
      <c r="I1" s="5" t="inlineStr">
        <is>
          <t>traffic_light_color_ahp</t>
        </is>
      </c>
    </row>
    <row r="2" ht="34" customHeight="1">
      <c r="A2" s="7" t="n">
        <v>0</v>
      </c>
      <c r="B2" s="7" t="n">
        <v>0</v>
      </c>
      <c r="C2" s="7" t="n">
        <v>4</v>
      </c>
      <c r="D2" s="7" t="inlineStr">
        <is>
          <t>{"scene_state": "Area di lavoro industriale attiva con diversi operatori in movimento.", "environmental_conditions": ["Illuminazione interna", "Pavimentazione industriale"], "people": ["Operatore in rosso che cammina verso il fondo", "Operatore con casco giallo in movimento", "Operatore in azzurro che cammina in basso", "Operatori vicino alla pressa verde", "Operatore sulla destra"], "objects": ["Contenitori metallici", "Pallet", "Tavoli da lavoro"], "machines": ["Grande pressa industriale verde"], "observable_actions": ["Transito di pedoni nell'area di lavoro", "Spostamento di operatori verso diverse postazioni"], "visible_ppe": ["Casco di sicurezza giallo", "Casco di sicurezza bianco"], "notes_visibility_limitations": "Inquadratura CCTV dall'alto, risoluzione che limita la visibilità dei dettagli dei DPI."}</t>
        </is>
      </c>
      <c r="E2" s="7" t="inlineStr">
        <is>
          <t>{"unsafe_behaviors": ["Transito ravvicinato ad aree operative delle macchine senza barriere fisiche evidenti"], "vulnerable_elements": ["Operatori a piedi in transito nell'area di lavoro", "Operatori in prossimità della pressa industriale verde"], "risk_cues": {"S1_people_vehicle_interference": 0.0, "S2_visibility_attention_reduction": 0.25, "S3_non_compliant_behavior": 0.25, "S4_vehicle_infrastructure_interference": 0.0, "S5_storage_structural_instability": 0.25, "S6_access_to_moving_mechanical_parts": 0.5, "S7_manual_handling_heavy_unstable_loads": 0.0}, "cue_confidence": 0.75, "diagnostic_notes": "L'area presenta diversi pedoni in transito vicino a una grande pressa industriale verde. Non si osserva la presenza di mezzi di movimentazione interna (S1, S4) né di movimentazione manuale di carichi (S7). La vicinanza degli operatori alla pressa richiede attenzione per il rischio di contatto con organi in movimento (S6), sebbene non si notino interventi diretti o anomalie evidenti. La risoluzione della telecamera limita la verifica completa dei DPI di tutti i soggetti."}</t>
        </is>
      </c>
      <c r="F2" s="7" t="inlineStr">
        <is>
          <t>{"causal_chain_plausible": true, "causal_chain_text": "La mancanza di barriere fisiche attorno alla pressa verde, unita al transito ravvicinato di pedoni, può causare un contatto accidentale con parti meccaniche in movimento.", "near_miss_or_incident_scenario": "Un operatore in transito si avvicina troppo alla pressa verde attiva, subendo un contatto o intrappolamento con gli organi in movimento.", "contributing_factors": ["Assenza di barriere fisiche o segregazione visibile attorno alla pressa.", "Transito di pedoni in prossimità dell'area operativa della macchina.", "Difficoltà nel verificare il corretto utilizzo di tutti i DPI a causa della risoluzione CCTV."]}</t>
        </is>
      </c>
      <c r="G2" s="7" t="n">
        <v>36.06</v>
      </c>
      <c r="H2" s="7" t="n">
        <v>36.06</v>
      </c>
      <c r="I2" s="9" t="inlineStr">
        <is>
          <t>giallo</t>
        </is>
      </c>
    </row>
    <row r="3" ht="34" customHeight="1">
      <c r="A3" s="7" t="n">
        <v>1</v>
      </c>
      <c r="B3" s="7" t="n">
        <v>2</v>
      </c>
      <c r="C3" s="7" t="n">
        <v>6</v>
      </c>
      <c r="D3" s="7" t="inlineStr">
        <is>
          <t>{"scene_state": "Interno di un'officina industriale attiva con diversi operatori e attrezzature.", "environmental_conditions": ["Illuminazione artificiale interna", "Pavimentazione industriale in cemento"], "people": ["Operatore con camicia azzurra e casco bianco vicino alla pressa", "Operatore accovacciato alla base della pressa", "Operatore con camicia azzurra di spalle in basso al centro", "Operatore con maglia rossa che cammina verso lo sfondo", "Operatore parzialmente visibile in basso a sinistra con casco giallo", "Operatore sul lato destro vicino a un tavolo da lavoro"], "objects": ["Contenitori metallici industriali", "Pallet e pedane in legno/metallo", "Secchio scuro vicino alla pressa", "Materiali imballati in sacchi"], "machines": ["Grande pressa industriale di colore verde sul lato sinistro"], "observable_actions": ["L'operatore in rosso cammina allontanandosi", "L'operatore accovacciato lavora vicino alla base della pressa", "Gli altri operatori sono in piedi o in transito nell'area di lavoro"], "visible_ppe": ["Casco di protezione bianco", "Casco di protezione giallo", "Calzature da lavoro"], "notes_visibility_limitations": "Inquadratura dall'alto con risoluzione medio-bassa; alcuni dettagli dei DPI e dei volti non sono chiaramente definibili."}</t>
        </is>
      </c>
      <c r="E3" s="7" t="inlineStr">
        <is>
          <t>{"unsafe_behaviors": ["Operatore accovacciato alla base della pressa senza barriere di segregazione visibili"], "vulnerable_elements": ["Operatore accovacciato alla base della pressa", "Operatore con camicia azzurra vicino alla pressa"], "risk_cues": {"S1_people_vehicle_interference": 0.0, "S2_visibility_attention_reduction": 0.5, "S3_non_compliant_behavior": 0.25, "S4_vehicle_infrastructure_interference": 0.0, "S5_storage_structural_instability": 0.0, "S6_access_to_moving_mechanical_parts": 0.5, "S7_manual_handling_heavy_unstable_loads": 0.0}, "cue_confidence": 0.7, "diagnostic_notes": "L'analisi evidenzia un rischio moderato legato all'operatore accovacciato alla base della pressa industriale (S6), che potrebbe essere esposto a organi meccanici o a una riduzione della visibilità/attenzione spaziale a causa della postura (S2). Non si rileva la presenza di mezzi di movimentazione (S1, S4) né di movimentazione manuale di carichi pesanti (S7) nella finestra temporale indicata."}</t>
        </is>
      </c>
      <c r="F3" s="7" t="inlineStr">
        <is>
          <t>{"causal_chain_plausible": true, "causal_chain_text": "L'operatore lavora accovacciato alla base della pressa senza barriere di segregazione. La postura riduce la sua visibilità e l'attenzione spaziale, mentre la vicinanza alla macchina espone a contatti accidentali con organi in movimento o avviamenti inattesi.", "near_miss_or_incident_scenario": "Contatto accidentale o schiacciamento degli arti dell'operatore accovacciato a causa dell'attivazione involontaria della pressa o del movimento di parti meccaniche non protette.", "contributing_factors": ["Assenza di barriere fisiche o segregazione visibile attorno alla pressa durante l'intervento.", "Postura accovacciata dell'operatore che ne limita la visibilità e la reattività.", "Presenza di altri operatori nelle vicinanze che potrebbero attivare accidentalmente i comandi della macchina."]}</t>
        </is>
      </c>
      <c r="G3" s="7" t="n">
        <v>36.23</v>
      </c>
      <c r="H3" s="7" t="n">
        <v>36.2</v>
      </c>
      <c r="I3" s="9" t="inlineStr">
        <is>
          <t>giallo</t>
        </is>
      </c>
    </row>
    <row r="4" ht="34" customHeight="1">
      <c r="A4" s="7" t="n">
        <v>2</v>
      </c>
      <c r="B4" s="7" t="n">
        <v>4</v>
      </c>
      <c r="C4" s="7" t="n">
        <v>8</v>
      </c>
      <c r="D4" s="7" t="inlineStr">
        <is>
          <t>{"scene_state": "Area di lavoro industriale attiva con diversi operatori e attrezzature disposte sul pavimento.", "environmental_conditions": ["Illuminazione interna artificiale", "Pavimentazione industriale in cemento"], "people": ["Operatore con camicia azzurra e pantaloni scuri che si muove vicino a un tavolo metallico", "Operatore accovacciato vicino alla base del macchinario verde", "Operatore in piedi con casco bianco e camicia azzurra vicino al macchinario verde", "Operatore parzialmente visibile in basso a sinistra con casco giallo", "Persona sullo sfondo in alto a destra con maglia rossa"], "objects": ["Contenitori metallici e casse in legno", "Pallet con materiale metallico", "Secchio scuro vicino alla macchina", "Tavolo da lavoro in metallo"], "machines": ["Grande pressa industriale di colore verde sul lato sinistro"], "observable_actions": ["Un operatore si allontana dal tavolo metallico camminando verso il basso", "Un operatore lavora accovacciato vicino alla pressa", "Altri operatori supervisionano o stazionano nell'area"], "visible_ppe": ["Caschi di protezione (bianco, giallo)", "Calzature da lavoro"], "notes_visibility_limitations": "Inquadratura dall'alto con angolazione fissa; alcune aree sono parzialmente sfocate o parzialmente fuori campo."}</t>
        </is>
      </c>
      <c r="E4" s="7" t="inlineStr">
        <is>
          <t>{"unsafe_behaviors": ["Operatore accovacciato alla base della pressa industriale senza barriere di segregazione visibili", "Presenza di personale nell'area operativa senza chiara evidenza di tutti i DPI protettivi necessari (es. guanti o protezione facciale per l'operatore vicino alla pressa)"], "vulnerable_elements": ["Operatore accovacciato vicino alla base della pressa verde", "Operatore in piedi vicino al macchinario verde"], "risk_cues": {"S1_people_vehicle_interference": 0.0, "S2_visibility_attention_reduction": 0.5, "S3_non_compliant_behavior": 0.25, "S4_vehicle_infrastructure_interference": 0.0, "S5_storage_structural_instability": 0.25, "S6_access_to_moving_mechanical_parts": 0.5, "S7_manual_handling_heavy_unstable_loads": 0.0}, "cue_confidence": 0.8, "diagnostic_notes": "L'analisi evidenzia un rischio moderato (0.5) per S6 e S2 dovuto all'operatore accovacciato alla base della pressa industriale verde; la postura riduce il suo campo visivo e lo espone a potenziali organi in movimento della macchina. Non si rileva la presenza di mezzi di movimentazione (S1, S4) o di attività di movimentazione manuale di carichi pesanti (S7). I materiali stoccati (pallet e casse) sono presenti ma non mostrano segni evidenti di instabilità (S5)."}</t>
        </is>
      </c>
      <c r="F4" s="7" t="inlineStr">
        <is>
          <t>{"causal_chain_plausible": true, "causal_chain_text": "L'operatore lavora accovacciato alla base della pressa senza barriere di segregazione. La postura riduce la sua visibilità e reattività. Un movimento imprevisto della macchina o un errore di coordinazione con l'operatore in piedi può causare un contatto con organi in movimento.", "near_miss_or_incident_scenario": "Schiacciamento o impatto degli arti dell'operatore accovacciato con le parti meccaniche della pressa a causa di un avvio accidentale o movimento incontrollato.", "contributing_factors": ["Assenza di barriere di segregazione visibili attorno alla pressa", "Postura accovacciata che limita campo visivo e movimenti", "Mancanza di evidenza di DPI specifici per le mani o il viso", "Prossimità ravvicinata a una macchina industriale attiva"]}</t>
        </is>
      </c>
      <c r="G4" s="7" t="n">
        <v>37.03</v>
      </c>
      <c r="H4" s="7" t="n">
        <v>36.9</v>
      </c>
      <c r="I4" s="9" t="inlineStr">
        <is>
          <t>giallo</t>
        </is>
      </c>
    </row>
    <row r="5" ht="34" customHeight="1">
      <c r="A5" s="7" t="n">
        <v>3</v>
      </c>
      <c r="B5" s="7" t="n">
        <v>6</v>
      </c>
      <c r="C5" s="7" t="n">
        <v>10</v>
      </c>
      <c r="D5" s="7" t="inlineStr">
        <is>
          <t>{"scene_state": "Area di lavoro industriale attiva con diversi operatori in movimento.", "environmental_conditions": ["Illuminazione interna artificiale", "Pavimentazione industriale in cemento"], "people": ["Operatore in piedi vicino alla macchina verde con camicia azzurra e pantaloni scuri", "Operatore accovacciato alla base della macchina verde", "Operatore in movimento in basso a sinistra con camicia azzurra", "Operatore parzialmente visibile sul lato destro"], "objects": ["Contenitori metallici e casse in legno", "Pallet con materiali", "Tavolo metallico di servizio", "Secchio scuro vicino alla pressa"], "machines": ["Grande pressa industriale di colore verde sul lato sinistro"], "observable_actions": ["Un operatore cammina verso l'angolo in basso a sinistra", "Un operatore lavora in piedi vicino alla pressa", "Un operatore è accovacciato vicino alla base della pressa"], "visible_ppe": ["Elmetti di protezione bianchi visibili su alcuni operatori"], "notes_visibility_limitations": "Inquadratura dall'alto con risoluzione da telecamera di sicurezza; alcune aree sono parzialmente occluse dai macchinari."}</t>
        </is>
      </c>
      <c r="E5" s="7" t="inlineStr">
        <is>
          <t>{"unsafe_behaviors": ["Lavoro a distanza ravvicinata alla base della pressa senza evidenti barriere fisiche di segregazione", "Postura accovacciata in prossimità di organi meccanici potenzialmente attivi"], "vulnerable_elements": ["Operatore accovacciato alla base della pressa verde", "Operatore in piedi vicino alla pressa"], "risk_cues": {"S1_people_vehicle_interference": 0.0, "S2_visibility_attention_reduction": 0.5, "S3_non_compliant_behavior": 0.25, "S4_vehicle_infrastructure_interference": 0.0, "S5_storage_structural_instability": 0.25, "S6_access_to_moving_mechanical_parts": 0.75, "S7_manual_handling_heavy_unstable_loads": 0.0}, "cue_confidence": 0.8, "diagnostic_notes": "Forte attenzione su S6 per la presenza di operatori a stretto contatto con la pressa verde, uno dei quali accovacciato alla base. La postura di quest'ultimo riduce l'attenzione e la visibilità circostante (S2). Non si rilevano mezzi di movimentazione (S1, S4) o movimentazione manuale di carichi (S7) in questa finestra temporale."}</t>
        </is>
      </c>
      <c r="F5" s="7" t="inlineStr">
        <is>
          <t>{"causal_chain_plausible": true, "causal_chain_text": "L'operatore accovacciato lavora alla base della pressa senza barriere di segregazione. L'attivazione accidentale della macchina o un movimento errato può causare il contatto diretto con gli organi meccanici in movimento.", "near_miss_or_incident_scenario": "Schiacciamento o intrappolamento degli arti dell'operatore accovacciato a causa del movimento della pressa verde durante le attività di manutenzione o servizio non protette.", "contributing_factors": ["Assenza di barriere fisiche o sistemi di segregazione attorno alla pressa", "Postura accovacciata che limita la visibilità e la reattività dell'operatore", "Lavoro a distanza ravvicinata da organi meccanici potenzialmente attivi"]}</t>
        </is>
      </c>
      <c r="G5" s="7" t="n">
        <v>39.74</v>
      </c>
      <c r="H5" s="7" t="n">
        <v>39.28</v>
      </c>
      <c r="I5" s="9" t="inlineStr">
        <is>
          <t>giallo</t>
        </is>
      </c>
    </row>
    <row r="6" ht="34" customHeight="1">
      <c r="A6" s="7" t="n">
        <v>4</v>
      </c>
      <c r="B6" s="7" t="n">
        <v>8</v>
      </c>
      <c r="C6" s="7" t="n">
        <v>12</v>
      </c>
      <c r="D6" s="7" t="inlineStr">
        <is>
          <t>{"scene_state": "Area di lavoro industriale attiva con macchinari e materiali disposti sul pavimento.", "environmental_conditions": ["Illuminazione interna artificiale", "Pavimentazione industriale in cemento"], "people": ["Un operatore in piedi vicino alla pressa verde", "Un operatore accovacciato alla base della pressa", "Un operatore parzialmente visibile dietro la pressa", "Un operatore parzialmente visibile sul lato destro"], "objects": ["Tavolo metallico di servizio", "Contenitori metallici per pezzi industriali", "Pallet con materiali", "Secchio di plastica vicino alla pressa"], "machines": ["Grande pressa industriale di colore verde posizionata sul lato sinistro"], "observable_actions": ["L'operatore accovacciato lavora vicino alla base della pressa", "L'operatore in piedi monitora o interagisce con l'area di lavoro della pressa"], "visible_ppe": ["Caschi di protezione (colore bianco e giallo)", "Abbigliamento da lavoro"], "notes_visibility_limitations": "La visuale dall'alto e la distanza limitano la nitidezza dei dettagli sui volti e sui dispositivi di protezione minori."}</t>
        </is>
      </c>
      <c r="E6" s="7" t="inlineStr">
        <is>
          <t>{"unsafe_behaviors": ["Operatore accovacciato alla base della pressa in una zona potenzialmente soggetta a movimenti meccanici senza visibile isolamento delle fonti di energia"], "vulnerable_elements": ["Operatore accovacciato alla base della pressa", "Operatore in piedi vicino all'area di lavoro della pressa"], "risk_cues": {"S1_people_vehicle_interference": 0.0, "S2_visibility_attention_reduction": 0.5, "S4_vehicle_infrastructure_interference": 0.0, "S3_non_compliant_behavior": 0.25, "S5_storage_structural_instability": 0.0, "S6_access_to_moving_mechanical_parts": 0.5, "S7_manual_handling_heavy_unstable_loads": 0.0}, "cue_confidence": 0.7, "diagnostic_notes": "La vicinanza degli operatori alla pressa industriale, in particolare l'operatore accovacciato alla base, evidenzia un potenziale rischio di accesso a organi meccanici (S6) e una riduzione della visibilità/attenzione dovuta alla postura di lavoro (S2). La distanza e l'inquadratura limitano la verifica di DPI specifici (es. guanti, occhiali) e delle procedure di Lockout/Tagout."}</t>
        </is>
      </c>
      <c r="F6" s="7" t="inlineStr">
        <is>
          <t>{"causal_chain_plausible": true, "causal_chain_text": "L'operatore accovacciato lavora alla base della pressa senza isolamento energetico visibile. L'operatore in piedi, interagendo con l'area di lavoro, potrebbe attivare accidentalmente la macchina o non notare il collega, causando un contatto con parti in movimento.", "near_miss_or_incident_scenario": "Schiacciamento o intrappolamento degli arti dell'operatore a terra a causa dell'avvio accidentale o del movimento imprevisto della pressa durante l'intervento.", "contributing_factors": ["Mancanza di evidenza di procedure di Lockout/Tagout (LOTO) per l'isolamento energetico.", "Postura accovacciata dell'operatore che riduce la sua visibilità e reattività.", "Vicinanza di un secondo operatore ai comandi o all'area di lavoro della pressa.", "Limitazioni strutturali della macchina che ostacolano la visibilità reciproca."]}</t>
        </is>
      </c>
      <c r="G6" s="7" t="n">
        <v>36.23</v>
      </c>
      <c r="H6" s="7" t="n">
        <v>37.45</v>
      </c>
      <c r="I6" s="9" t="inlineStr">
        <is>
          <t>giallo</t>
        </is>
      </c>
    </row>
    <row r="7" ht="34" customHeight="1">
      <c r="A7" s="7" t="n">
        <v>5</v>
      </c>
      <c r="B7" s="7" t="n">
        <v>10</v>
      </c>
      <c r="C7" s="7" t="n">
        <v>14</v>
      </c>
      <c r="D7" s="7" t="inlineStr">
        <is>
          <t>{"scene_state": "Ambiente industriale interno, reparto stampaggio o officina meccanica, con macchinari pesanti, attrezzature e personale in attività.", "environmental_conditions": ["Illuminazione artificiale interna", "Pavimentazione industriale"], "people": ["Un operatore in basso a sinistra che si china vicino alla pressa e poi si rialza", "Un operatore in piedi al centro-sinistra con camicia azzurra", "Un operatore parzialmente visibile dietro quest'ultimo", "Un operatore sul lato destro vicino a un tavolo"], "objects": ["Contenitori metallici", "Pallet e pedane", "Carrello metallico di servizio", "Secchio blu"], "machines": ["Grande pressa industriale di colore verde posizionata sulla sinistra"], "observable_actions": ["L'operatore in basso a sinistra si abbassa per raccogliere o posizionare un elemento vicino alla pressa, per poi rialzarsi.", "Gli altri operatori mantengono le loro posizioni di controllo o lavoro."], "visible_ppe": ["Caschi di protezione (bianco e giallo)", "Calzature di sicurezza"], "notes_visibility_limitations": "Inquadratura dall'alto tipica di una telecamera di sicurezza, con alcune zone d'ombra e dettagli del volto non definibili."}</t>
        </is>
      </c>
      <c r="E7" s="7" t="inlineStr">
        <is>
          <t>{"unsafe_behaviors": ["Operatore si china in prossimità della pressa industriale, esponendosi potenzialmente a zone d'ombra visive e a vicinanza con l'area di lavoro della macchina."], "vulnerable_elements": ["Operatore in basso a sinistra vicino alla pressa"], "risk_cues": {"S1_people_vehicle_interference": 0.0, "S2_visibility_attention_reduction": 0.5, "S3_non_compliant_behavior": 0.25, "S4_vehicle_infrastructure_interference": 0.0, "S5_storage_structural_instability": 0.0, "S6_access_to_moving_mechanical_parts": 0.5, "S7_manual_handling_heavy_unstable_loads": 0.25}, "cue_confidence": 0.75, "diagnostic_notes": "L'analisi evidenzia un potenziale rischio moderato (S2, S6) legato all'operatore che si china vicino alla pressa industriale verde per raccogliere o posizionare un oggetto. Questa postura riduce il campo visivo e aumenta la prossimità a parti potenzialmente pericolose della macchina. Non si rileva la presenza di mezzi di movimentazione (S1, S4) o instabilità di carichi (S5). La movimentazione manuale (S7) è presente ma non è possibile determinarne la gravità o il peso del carico."}</t>
        </is>
      </c>
      <c r="F7" s="7" t="inlineStr">
        <is>
          <t>{"causal_chain_plausible": true, "causal_chain_text": "L'operatore si china in prossimità della pressa verde riducendo la propria visibilità e attenzione spaziale. Un movimento imprevisto della macchina o una perdita di equilibrio dell'operatore possono portare al contatto fisico con parti pericolose.", "near_miss_or_incident_scenario": "Impatto o schiacciamento di parti del corpo dell'operatore contro la struttura o gli organi in movimento della pressa a causa della postura incongrua e della ridotta percezione del rischio.", "contributing_factors": ["Postura chinata che limita il campo visivo e la reattività", "Lavoro in estrema prossimità di una pressa industriale pesante", "Potenziale esposizione a zone d'ombra visive per gli altri operatori"]}</t>
        </is>
      </c>
      <c r="G7" s="7" t="n">
        <v>36.59</v>
      </c>
      <c r="H7" s="7" t="n">
        <v>37.02</v>
      </c>
      <c r="I7" s="9" t="inlineStr">
        <is>
          <t>giallo</t>
        </is>
      </c>
    </row>
    <row r="8" ht="34" customHeight="1">
      <c r="A8" s="7" t="n">
        <v>6</v>
      </c>
      <c r="B8" s="7" t="n">
        <v>12</v>
      </c>
      <c r="C8" s="7" t="n">
        <v>16</v>
      </c>
      <c r="D8" s="7" t="inlineStr">
        <is>
          <t>{"scene_state": "Ambiente industriale interno, un'officina o fabbrica con macchinari e materiali metallici.", "environmental_conditions": ["Illuminazione artificiale interna", "Pavimentazione industriale in cemento"], "people": ["Un operatore chinato vicino alla pressa verde", "Un operatore in piedi al centro", "Un operatore parzialmente visibile sulla destra"], "objects": ["Lastre di metallo", "Contenitori metallici", "Pallet in legno", "Tavolo metallico", "Secchio"], "machines": ["Grande pressa idraulica industriale di colore verde"], "observable_actions": ["L'operatore a sinistra si china per movimentare una lastra metallica vicino alla pressa", "L'operatore al centro rimane in piedi e osserva"], "visible_ppe": ["Caschi protettivi bianchi"], "notes_visibility_limitations": "Inquadratura dall'alto; l'operatore a destra è parzialmente fuori campo."}</t>
        </is>
      </c>
      <c r="E8" s="7" t="inlineStr">
        <is>
          <t>{"unsafe_behaviors": ["Movimentazione manuale di lastre metalliche potenzialmente pesanti senza ausili meccanici", "Operatività in postura incongrua (chinato) in prossimità di una pressa idraulica"], "vulnerable_elements": ["Operatore chinato a sinistra vicino alla pressa"], "risk_cues": {"S1_people_vehicle_interference": 0.0, "S2_visibility_attention_reduction": 0.5, "S3_non_compliant_behavior": 0.25, "S4_vehicle_infrastructure_interference": 0.0, "S5_storage_structural_instability": 0.25, "S6_access_to_moving_mechanical_parts": 0.5, "S7_manual_handling_heavy_unstable_loads": 0.75}, "cue_confidence": 0.8, "diagnostic_notes": "L'analisi evidenzia un rischio rilevante legato alla movimentazione manuale di carichi (S7), in quanto l'operatore si china per movimentare una lastra metallica senza ausili visibili. Questa postura riduce l'attenzione e il campo visivo del soggetto (S2). La vicinanza alla pressa idraulica introduce un rischio moderato di interazione con organi meccanici (S6). Non si rileva la presenza di mezzi di movimentazione nell'area (S1, S4)."}</t>
        </is>
      </c>
      <c r="F8" s="7" t="inlineStr">
        <is>
          <t>{"causal_chain_plausible": true, "causal_chain_text": "L'operatore si china per movimentare manualmente una lastra metallica pesante vicino alla pressa. La postura incongrua riduce stabilità e visibilità. La perdita di presa del carico o un movimento errato può causare lo schiacciamento degli arti o lesioni da sforzo.", "near_miss_or_incident_scenario": "Schiacciamento degli arti superiori o trauma muscolo-scheletrico acuto dell'operatore a causa della perdita di controllo della lastra metallica durante il sollevamento manuale in postura chinata.", "contributing_factors": ["Movimentazione manuale di carichi pesanti senza ausili meccanici", "Postura di lavoro incongrua e non ergonomica", "Operatività in stretta prossimità di una pressa idraulica", "Riduzione del campo visivo e dell'attenzione dell'operatore chinato"]}</t>
        </is>
      </c>
      <c r="G8" s="7" t="n">
        <v>41.06</v>
      </c>
      <c r="H8" s="7" t="n">
        <v>40.56</v>
      </c>
      <c r="I8" s="9" t="inlineStr">
        <is>
          <t>giallo</t>
        </is>
      </c>
    </row>
    <row r="9" ht="34" customHeight="1">
      <c r="A9" s="7" t="n">
        <v>7</v>
      </c>
      <c r="B9" s="7" t="n">
        <v>14</v>
      </c>
      <c r="C9" s="7" t="n">
        <v>18</v>
      </c>
      <c r="D9" s="7" t="inlineStr">
        <is>
          <t>{"scene_state": "Area di lavoro industriale con macchinari pesanti, cassoni di stoccaggio e personale operativo.", "environmental_conditions": ["Illuminazione interna artificiale", "Pavimentazione industriale in cemento"], "people": ["Operatore chinato vicino alla pressa verde", "Operatore in piedi con casco bianco al centro", "Operatore parzialmente visibile sulla destra", "Operatore con casco giallo che appare brevemente dietro la pressa"], "objects": ["Lastre metalliche", "Cassoni di stoccaggio in legno e metallo", "Tavolo metallico in primo piano", "Secchio bianco", "Pallet"], "machines": ["Grande pressa industriale di colore verde sulla sinistra"], "observable_actions": ["L'operatore a sinistra è chinato e manipola una lastra metallica vicino alla pressa", "L'operatore al centro osserva la scena in piedi", "L'operatore a destra lavora vicino a un tavolo"], "visible_ppe": ["Casco protettivo bianco", "Casco protettivo giallo", "Indumenti da lavoro"], "notes_visibility_limitations": "Inquadratura dall'alto con risoluzione da telecamera di sicurezza; alcune aree sono parzialmente occluse dai macchinari."}</t>
        </is>
      </c>
      <c r="E9" s="7" t="inlineStr">
        <is>
          <t>{"unsafe_behaviors": ["Manipolazione manuale di lastre metalliche in prossimità della pressa senza ausili meccanici visibili", "Operatore chinato in postura incongrua vicino a organi meccanici potenzialmente attivi"], "vulnerable_elements": ["Operatore chinato a sinistra vicino alla pressa", "Operatore al centro esposto a potenziali schegge o movimenti della macchina"], "risk_cues": {"S1_people_vehicle_interference": 0.0, "S2_visibility_attention_reduction": 0.5, "S3_non_compliant_behavior": 0.25, "S4_vehicle_infrastructure_interference": 0.0, "S5_storage_structural_instability": 0.25, "S6_access_to_moving_mechanical_parts": 0.75, "S7_manual_handling_heavy_unstable_loads": 0.5}, "cue_confidence": 0.8, "diagnostic_notes": "L'analisi evidenzia un rischio elevato di accesso a organi meccanici (S6) dovuto all'operatore chinato che manipola lastre metalliche vicino alla pressa verde. Questa postura riduce la visibilità e l'attenzione (S2). La movimentazione manuale di lastre metalliche (S7) comporta rischi di taglio o schiacciamento. Non si registrano interferenze con veicoli (S1, S4)."}</t>
        </is>
      </c>
      <c r="F9" s="7" t="inlineStr">
        <is>
          <t>{"causal_chain_plausible": true, "causal_chain_text": "L'operatore lavora chinato manipolando manualmente lastre metalliche vicino alla pressa. La postura incongrua riduce la sua attenzione e visibilità. Un movimento imprevisto della macchina o della lastra può causare un contatto pericoloso.", "near_miss_or_incident_scenario": "Schiacciamento o taglio degli arti superiori dell'operatore durante la manipolazione della lastra metallica vicino alla pressa in funzione.", "contributing_factors": ["Manipolazione manuale di lastre metalliche senza ausili meccanici", "Postura incongrua e chinata vicino a organi meccanici in movimento", "Prossimità immediata alla pressa verde senza barriere protettive visibili", "Ridotta visibilità e attenzione dovute alla posizione di lavoro"]}</t>
        </is>
      </c>
      <c r="G9" s="7" t="n">
        <v>41.39</v>
      </c>
      <c r="H9" s="7" t="n">
        <v>41.14</v>
      </c>
      <c r="I9" s="9" t="inlineStr">
        <is>
          <t>giallo</t>
        </is>
      </c>
    </row>
    <row r="10" ht="34" customHeight="1">
      <c r="A10" s="7" t="n">
        <v>8</v>
      </c>
      <c r="B10" s="7" t="n">
        <v>16</v>
      </c>
      <c r="C10" s="7" t="n">
        <v>20</v>
      </c>
      <c r="D10" s="7" t="inlineStr">
        <is>
          <t>{"scene_state": "Interno di un'officina industriale con macchinari e attrezzature, dove si verifica la caduta di un operatore.", "environmental_conditions": ["Illuminazione artificiale interna", "Pavimentazione industriale"], "people": ["Operatore con camicia blu e pantaloni scuri (che cade a terra)", "Operatore con camicia azzurra e casco bianco", "Operatore con casco giallo"], "objects": ["Contenitori metallici e casse in legno", "Tavolo da lavoro metallico", "Secchio", "Pallet"], "machines": ["Grande pressa industriale di colore verde sulla sinistra"], "observable_actions": ["Un operatore si china vicino alla pressa verde, perde l'equilibrio e cade all'indietro sul pavimento.", "Gli altri operatori si muovono verso il collega caduto."], "visible_ppe": ["Caschi di protezione (bianco e giallo)", "Calzature da lavoro"], "notes_visibility_limitations": "Inquadratura dall'alto e fissa; alcune parti dell'area sono parzialmente oscurate dai macchinari."}</t>
        </is>
      </c>
      <c r="E10" s="7" t="inlineStr">
        <is>
          <t>{"unsafe_behaviors": ["Perdita di equilibrio durante operazione vicino alla pressa", "Mancato uso visibile del casco protettivo per l'operatore caduto"], "vulnerable_elements": ["Operatore a terra", "Operatori accorsi in aiuto"], "risk_cues": {"S1_people_vehicle_interference": 0.0, "S2_visibility_attention_reduction": 0.5, "S3_non_compliant_behavior": 0.5, "S4_vehicle_infrastructure_interference": 0.0, "S5_storage_structural_instability": 0.0, "S6_access_to_moving_mechanical_parts": 0.25, "S7_manual_handling_heavy_unstable_loads": 0.0}, "cue_confidence": 0.8, "diagnostic_notes": "Un operatore perde l'equilibrio e cade all'indietro vicino a una pressa industriale. Non è esplicitamente indicato l'uso del casco per l'operatore caduto, a differenza dei colleghi. Possibile riduzione dell'attenzione o postura instabile durante l'attività."}</t>
        </is>
      </c>
      <c r="F10" s="7" t="inlineStr">
        <is>
          <t>{"causal_chain_plausible": true, "causal_chain_text": "L'operatore si china vicino alla pressa senza casco protettivo, perde l'equilibrio e cade all'indietro sul pavimento industriale, rischiando un trauma cranico o lesioni da impatto.", "near_miss_or_incident_scenario": "Infortunio da caduta a livello con potenziale trauma cranico o muscolo-scheletrico dovuto all'impatto al suolo in assenza di DPI (casco).", "contributing_factors": ["Mancato uso del casco protettivo da parte dell'operatore caduto", "Postura instabile o perdita di equilibrio durante l'attività vicino alla pressa", "Presenza di macchinari industriali (pressa) nelle immediate vicinanze"]}</t>
        </is>
      </c>
      <c r="G10" s="7" t="n">
        <v>19.85</v>
      </c>
      <c r="H10" s="7" t="n">
        <v>28.37</v>
      </c>
      <c r="I10" s="9" t="inlineStr">
        <is>
          <t>giallo</t>
        </is>
      </c>
    </row>
    <row r="11" ht="34" customHeight="1">
      <c r="A11" s="7" t="n">
        <v>9</v>
      </c>
      <c r="B11" s="7" t="n">
        <v>18</v>
      </c>
      <c r="C11" s="7" t="n">
        <v>22</v>
      </c>
      <c r="D11" s="7" t="inlineStr">
        <is>
          <t>{"scene_state": "Interno di un'officina meccanica o fabbrica con presenza di macchinari e materiali disposti disordinatamente.", "environmental_conditions": ["Illuminazione interna", "Pavimentazione industriale"], "people": ["Un lavoratore a terra", "Un lavoratore in camicia azzurra che lo soccorre", "Un lavoratore con casco giallo vicino alla pressa", "Altre persone visibili sullo sfondo"], "objects": ["Cassoni metallici", "Pallet in legno e metallo", "Tavolo da lavoro in metallo", "Secchi e contenitori minori"], "machines": ["Grande pressa industriale di colore verde sulla sinistra"], "observable_actions": ["Un lavoratore cade a terra", "Un collega interviene prontamente per aiutarlo a rialzarsi", "Gli altri presenti osservano la scena"], "visible_ppe": ["Casco di sicurezza giallo indossato da uno dei lavoratori"], "notes_visibility_limitations": "Risoluzione della telecamera di sicurezza limitata, ripresa dall'alto che parzialmente occulta i dettagli dei volti."}</t>
        </is>
      </c>
      <c r="E11" s="7" t="inlineStr">
        <is>
          <t>{"unsafe_behaviors": ["Transito in aree ingombre di materiali", "Mancato mantenimento dell'ordine e pulizia delle vie di transito (housekeeping inadeguato)"], "vulnerable_elements": ["Lavoratore caduto a terra", "Lavoratore soccorritore esposto a potenziali ostacoli al suolo"], "risk_cues": {"S1_people_vehicle_interference": 0.0, "S2_visibility_attention_reduction": 0.5, "S3_non_compliant_behavior": 0.5, "S4_vehicle_infrastructure_interference": 0.0, "S5_storage_structural_instability": 0.25, "S6_access_to_moving_mechanical_parts": 0.0, "S7_manual_handling_heavy_unstable_loads": 0.0}, "cue_confidence": 0.8, "diagnostic_notes": "La caduta del lavoratore suggerisce la presenza di un potenziale pericolo di inciampo dovuto al disordine dell'officina (pallet, cassoni e materiali sparsi). Non si evidenzia la presenza di mezzi di movimentazione o di carichi sospesi nella finestra temporale analizzata."}</t>
        </is>
      </c>
      <c r="F11" s="7" t="inlineStr">
        <is>
          <t>{"causal_chain_plausible": true, "causal_chain_text": "La presenza di vie di transito ostruite da pallet e cassoni metallici riduce lo spazio di manovra sicuro. Il lavoratore, transitando in quest'area ingombra, inciampa su un ostacolo non rimosso, perdendo l'equilibrio e cadendo a terra.", "near_miss_or_incident_scenario": "Infortunio da caduta a livello dovuto a inciampo su materiali disordinati lungo le vie di transito, con conseguente rischio di lesioni o traumi per il lavoratore e per il soccorritore.", "contributing_factors": ["Housekeeping inadeguato con accumulo di materiali al suolo", "Presenza di ostacoli fisici (pallet e cassoni) nelle aree di passaggio", "Mancata delimitazione e pulizia delle vie di transito pedonale"]}</t>
        </is>
      </c>
      <c r="G11" s="7" t="n">
        <v>9.359999999999999</v>
      </c>
      <c r="H11" s="7" t="n">
        <v>16.96</v>
      </c>
      <c r="I11" s="11" t="inlineStr">
        <is>
          <t>verde</t>
        </is>
      </c>
    </row>
    <row r="12" ht="34" customHeight="1">
      <c r="A12" s="7" t="n">
        <v>10</v>
      </c>
      <c r="B12" s="7" t="n">
        <v>20</v>
      </c>
      <c r="C12" s="7" t="n">
        <v>24</v>
      </c>
      <c r="D12" s="7" t="inlineStr">
        <is>
          <t>{"scene_state": "Interno di un'officina meccanica o fabbrica con presenza di macchinari, cassoni e personale.", "environmental_conditions": ["Illuminazione interna artificiale", "Pavimentazione industriale"], "people": ["Un operatore a terra", "Un operatore con camicia azzurra e casco bianco che assiste il collega a terra", "Un operatore con casco giallo vicino alla pressa verde", "Altri lavoratori in movimento nell'area"], "objects": ["Cassoni metallici contenenti pezzi", "Pallet e pedane", "Tavoli di supporto"], "machines": ["Grande pressa industriale verde posizionata sulla sinistra"], "observable_actions": ["Un lavoratore aiuta un collega a rialzarsi da terra", "Altri lavoratori camminano e transitano nell'area di lavoro"], "visible_ppe": ["Caschi di protezione (bianco e giallo)", "Calzature da lavoro"], "notes_visibility_limitations": "Inquadratura di sicurezza dall'alto con risoluzione medio-bassa e parziale sfocatura dei volti."}</t>
        </is>
      </c>
      <c r="E12" s="7" t="inlineStr">
        <is>
          <t>{"unsafe_behaviors": ["Possibile scivolamento o caduta a terra di un operatore", "Transito ravvicinato a zone di lavoro senza apparente delimitazione"], "vulnerable_elements": ["Operatore a terra", "Operatore che assiste il collega a terra"], "risk_cues": {"S1_people_vehicle_interference": 0.0, "S2_visibility_attention_reduction": 0.25, "S3_non_compliant_behavior": 0.5, "S4_vehicle_infrastructure_interference": 0.0, "S5_storage_structural_instability": 0.0, "S6_access_to_moving_mechanical_parts": 0.25, "S7_manual_handling_heavy_unstable_loads": 0.0}, "cue_confidence": 0.8, "diagnostic_notes": "L'evento principale riguarda un operatore a terra aiutato a rialzarsi da un collega, suggerendo una precedente caduta o inciampo (S3). Non si notano mezzi in movimento (S1, S4) o movimentazione di carichi pesanti (S7). Un operatore è vicino alla pressa (S6), ma senza evidenze di imminente pericolo."}</t>
        </is>
      </c>
      <c r="F12" s="7" t="inlineStr">
        <is>
          <t>{"causal_chain_plausible": true, "causal_chain_text": "La presenza di un operatore a terra suggerisce una caduta già avvenuta. In un'area di lavoro con macchinari e ostacoli fisici, un inciampo o scivolamento può causare impatti secondari gravi contro strutture metalliche o organi in movimento.", "near_miss_or_incident_scenario": "Infortunio per caduta a livello dovuto a inciampo su attrezzature/pallet o scivolamento sulla pavimentazione, con rischio di impatto contro i cassoni metallici o la pressa verde.", "contributing_factors": ["Presenza di ostacoli e materiali (pallet, cassoni) nelle zone di transito", "Mancanza di percorsi pedonali chiaramente delimitati e separati dalle aree di lavoro", "Potenziale scivolosità della pavimentazione industriale dell'officina"]}</t>
        </is>
      </c>
      <c r="G12" s="7" t="n">
        <v>18.88</v>
      </c>
      <c r="H12" s="7" t="n">
        <v>20.49</v>
      </c>
      <c r="I12" s="11" t="inlineStr">
        <is>
          <t>verde</t>
        </is>
      </c>
    </row>
    <row r="13" ht="34" customHeight="1">
      <c r="A13" s="7" t="n">
        <v>11</v>
      </c>
      <c r="B13" s="7" t="n">
        <v>22</v>
      </c>
      <c r="C13" s="7" t="n">
        <v>26</v>
      </c>
      <c r="D13" s="7" t="inlineStr">
        <is>
          <t>{"scene_state": "Area di lavoro industriale attiva con transito di personale e mezzi.", "environmental_conditions": ["Illuminazione interna sufficiente", "Ambiente di lavoro coperto con pavimentazione industriale"], "people": ["Almeno 7 operatori presenti nell'area di lavoro"], "objects": ["Scooter", "Contenitori metallici di grandi dimensioni", "Pallet e carrelli", "Tavoli da lavoro"], "machines": ["Grande pressa industriale di colore verde sul lato sinistro"], "observable_actions": ["Un operatore a bordo di uno scooter si ferma al centro dell'area", "Diversi lavoratori a piedi si avvicinano e si radunano attorno allo scooter", "Un operatore cammina nella parte inferiore sinistra dello schermo"], "visible_ppe": ["Caschi di protezione (gialli e bianchi)", "Uniformi da lavoro (camicie azzurre e pantaloni scuri)"], "notes_visibility_limitations": "Inquadratura dall'alto con risoluzione di sicurezza; alcuni dettagli minori o specifici DPI potrebbero non essere chiaramente visibili."}</t>
        </is>
      </c>
      <c r="E13" s="7" t="inlineStr">
        <is>
          <t>{"unsafe_behaviors": ["Utilizzo di un mezzo di trasporto non industriale (scooter) all'interno di un'area di produzione attiva", "Assembramento di pedoni attorno a un veicolo a motore in transito o fermo in zona operativa"], "vulnerable_elements": ["Operatori a piedi presenti nell'area di transito e manovra dello scooter"], "risk_cues": {"S1_people_vehicle_interference": 0.75, "S2_visibility_attention_reduction": 0.5, "S3_non_compliant_behavior": 0.75, "S4_vehicle_infrastructure_interference": 0.25, "S5_storage_structural_instability": 0.0, "S6_access_to_moving_mechanical_parts": 0.0, "S7_manual_handling_heavy_unstable_loads": 0.0}, "cue_confidence": 0.85, "diagnostic_notes": "La criticità principale è legata alla presenza dello scooter all'interno del reparto produttivo (S1, S3). L'assembramento di diversi operatori attorno al mezzo crea una situazione di potenziale distrazione e ridotta attenzione verso l'ambiente circostante (S2), inclusa la vicina pressa industriale. Non si rilevano rischi immediati di instabilità di carichi o movimentazione manuale pericolosa."}</t>
        </is>
      </c>
      <c r="F13" s="7" t="inlineStr">
        <is>
          <t>{"causal_chain_plausible": true, "causal_chain_text": "L'ingresso di un mezzo non industriale (scooter) in un'area di produzione attiva crea un'interferenza veicolo-pedone. La sosta del mezzo e il conseguente assembramento di lavoratori attorno ad esso riducono l'attenzione visiva e spaziale dei presenti. Una ripartenza improvvisa dello scooter o un movimento distratto di un operatore può causare un impatto diretto o una caduta.", "near_miss_or_incident_scenario": "Collisione a bassa velocità tra lo scooter in fase di manovra/ripartenza e uno dei lavoratori a piedi radunati nelle sue immediate vicinanze, con conseguente rischio di lesioni agli arti inferiori.", "contributing_factors": ["Utilizzo di un mezzo di trasporto non autorizzato/non industriale all'interno del reparto", "Assembramento di personale a piedi attorno a un veicolo fermo in zona operativa", "Riduzione della consapevolezza situazionale e distrazione dei lavoratori vicino a macchinari attivi", "Assenza di barriere o percorsi pedonali protetti e segregati"]}</t>
        </is>
      </c>
      <c r="G13" s="7" t="n">
        <v>19.83</v>
      </c>
      <c r="H13" s="7" t="n">
        <v>20.33</v>
      </c>
      <c r="I13" s="11" t="inlineStr">
        <is>
          <t>verde</t>
        </is>
      </c>
    </row>
    <row r="14" ht="34" customHeight="1">
      <c r="A14" s="7" t="n">
        <v>12</v>
      </c>
      <c r="B14" s="7" t="n">
        <v>24</v>
      </c>
      <c r="C14" s="7" t="n">
        <v>28</v>
      </c>
      <c r="D14" s="7" t="inlineStr">
        <is>
          <t>{"scene_state": "Area di lavoro industriale interna con diversi operatori raggruppati al centro.", "environmental_conditions": ["Illuminazione artificiale interna", "Pavimentazione industriale"], "people": ["Un gruppo di circa 6-7 lavoratori riuniti al centro", "Un operatore che si muove verso il gruppo", "Un operatore fermo vicino al macchinario di sinistra"], "objects": ["Contenitori metallici", "Pallet e casse", "Carrelli", "Documenti o materiali a terra"], "machines": ["Grande pressa industriale di colore verde posizionata a sinistra"], "observable_actions": ["Gli operatori sono raggruppati e discutono o interagiscono tra loro", "Un operatore in camicia azzurra cammina verso il gruppo principale"], "visible_ppe": ["Caschi di protezione (giallo e bianchi)", "Uniformi da lavoro (camicie azzurre)"], "notes_visibility_limitations": "La visuale dall'alto e la risoluzione della telecamera di sicurezza limitano la nitidezza dei dettagli."}</t>
        </is>
      </c>
      <c r="E14" s="7" t="inlineStr">
        <is>
          <t>{"unsafe_behaviors": ["Presenza di materiali o documenti a terra che possono costituire un rischio di inciampo", "Raggruppamento di lavoratori in un'area operativa centrale senza apparente delimitazione di sicurezza"], "vulnerable_elements": ["Operatori raggruppati al centro dell'area di lavoro", "Operatore fermo vicino alla pressa industriale"], "risk_cues": {"S1_people_vehicle_interference": 0.0, "S2_visibility_attention_reduction": 0.25, "S3_non_compliant_behavior": 0.25, "S4_vehicle_infrastructure_interference": 0.0, "S5_storage_structural_instability": 0.0, "S6_access_to_moving_mechanical_parts": 0.25, "S7_manual_handling_heavy_unstable_loads": 0.0}, "cue_confidence": 0.7, "diagnostic_notes": "La scena evidenzia un gruppo di operatori concentrati in una discussione al centro dell'officina, il che potrebbe ridurre la loro attenzione verso l'ambiente circostante (S2). La presenza di materiali a terra configura un potenziale rischio di inciampo (S3). Un operatore si trova vicino alla pressa industriale, ma non vi sono evidenze di interazione diretta con organi in movimento (S6). Non si rilevano mezzi in transito o movimentazione di carichi pesanti."}</t>
        </is>
      </c>
      <c r="F14" s="7" t="inlineStr">
        <is>
          <t>{"causal_chain_plausible": true, "causal_chain_text": "La presenza di materiali e documenti a terra crea un pericolo di inciampo in una zona di passaggio. La concentrazione di lavoratori in gruppo riduce la loro attenzione verso l'ambiente circostante. Un operatore che si muove verso o all'interno del gruppo può non avvedere l'ostacolo al suolo, inciampando.", "near_miss_or_incident_scenario": "Un lavoratore del gruppo o l'operatore in movimento non nota i documenti/materiali sul pavimento a causa della distrazione e inciampa, rischiando una caduta al suolo o contro i carrelli e i contenitori metallici vicini.", "contributing_factors": ["Presenza di materiali e documenti disordinati sul pavimento", "Ridotta attenzione dei lavoratori dovuta alla discussione di gruppo", "Mancanza di delimitazione di sicurezza per le aree di riunione rispetto a quelle operative"]}</t>
        </is>
      </c>
      <c r="G14" s="7" t="n">
        <v>15.87</v>
      </c>
      <c r="H14" s="7" t="n">
        <v>17.65</v>
      </c>
      <c r="I14" s="11" t="inlineStr">
        <is>
          <t>verde</t>
        </is>
      </c>
    </row>
    <row r="15" ht="34" customHeight="1">
      <c r="A15" s="7" t="n">
        <v>13</v>
      </c>
      <c r="B15" s="7" t="n">
        <v>26</v>
      </c>
      <c r="C15" s="7" t="n">
        <v>30</v>
      </c>
      <c r="D15" s="7" t="inlineStr">
        <is>
          <t>{"scene_state": "Area di lavoro industriale con presenza di personale e macchinari.", "environmental_conditions": ["Illuminazione artificiale", "Pavimentazione in cemento"], "people": ["Un gruppo di circa 5-6 lavoratori in camicia azzurra e pantaloni scuri", "Un lavoratore con casco giallo vicino alla pressa verde", "Una persona parzialmente visibile sullo sfondo"], "objects": ["Pallet metallici", "Contenitori e casse", "Tavoli da lavoro", "Materiali sparsi sul pavimento"], "machines": ["Grande pressa industriale verde sulla sinistra", "Strutture di carrelli o macchinari sul lato destro"], "observable_actions": ["I lavoratori in azzurro sono fermi in gruppo e interagiscono tra loro", "Il lavoratore vicino alla pressa è in piedi in posizione statica"], "visible_ppe": ["Elmetto protettivo giallo", "Elmetti protettivi bianchi", "Divise da lavoro"], "notes_visibility_limitations": "Inquadratura dall'alto con risoluzione medio-bassa che limita la visibilità dei dettagli minuti."}</t>
        </is>
      </c>
      <c r="E15" s="7" t="inlineStr">
        <is>
          <t>{"unsafe_behaviors": ["Presenza di materiali sparsi sul pavimento che ostruiscono i passaggi", "Stazionamento di un gruppo di lavoratori in un'area potenzialmente operativa senza apparente attività produttiva in corso"], "vulnerable_elements": ["Gruppo di lavoratori in camicia azzurra", "Lavoratore vicino alla pressa industriale"], "risk_cues": {"S1_people_vehicle_interference": 0.0, "S2_visibility_attention_reduction": 0.25, "S3_non_compliant_behavior": 0.5, "S4_vehicle_infrastructure_interference": 0.0, "S5_storage_structural_instability": 0.25, "S6_access_to_moving_mechanical_parts": 0.0, "S7_manual_handling_heavy_unstable_loads": 0.0}, "cue_confidence": 0.7, "diagnostic_notes": "La presenza di materiali sparsi sul pavimento rappresenta un rischio di inciampo e indica una non conformità nella gestione dell'ordine e della pulizia (S3). Il gruppo di lavoratori fermo a discutere potrebbe presentare una parziale riduzione dell'attenzione rispetto ai rischi dell'ambiente industriale circostante (S2). Non si osservano mezzi in movimento o interazioni dirette con organi meccanici o carichi pesanti in questa finestra temporale."}</t>
        </is>
      </c>
      <c r="F15" s="7" t="inlineStr">
        <is>
          <t>{"causal_chain_plausible": true, "causal_chain_text": "La presenza di materiali sparsi sul pavimento crea un immediato pericolo d'inciampo. I lavoratori, concentrati nell'interazione di gruppo e parzialmente distratti, potrebbero muoversi senza prestare attenzione al piano di calpestio, urtando gli ostacoli e perdendo l'equilibrio.", "near_miss_or_incident_scenario": "Un lavoratore del gruppo decide di spostarsi, non nota un oggetto sul cemento a causa della distrazione, inciampa e cade rovinosamente a terra o contro un macchinario.", "contributing_factors": ["Presenza di ostacoli e materiali non stoccati correttamente sul pavimento", "Distrazione dei lavoratori impegnati in attività non produttive in area operativa", "Carenza di housekeeping e gestione dell'ordine nei passaggi"]}</t>
        </is>
      </c>
      <c r="G15" s="7" t="n">
        <v>8.390000000000001</v>
      </c>
      <c r="H15" s="7" t="n">
        <v>12.09</v>
      </c>
      <c r="I15" s="11" t="inlineStr">
        <is>
          <t>verde</t>
        </is>
      </c>
    </row>
    <row r="16" ht="34" customHeight="1">
      <c r="A16" s="7" t="n">
        <v>14</v>
      </c>
      <c r="B16" s="7" t="n">
        <v>28</v>
      </c>
      <c r="C16" s="7" t="n">
        <v>32</v>
      </c>
      <c r="D16" s="7" t="inlineStr">
        <is>
          <t>{"scene_state": "Area di lavoro industriale interna con diversi operatori riuniti al centro.", "environmental_conditions": ["Illuminazione artificiale interna", "Pavimentazione in cemento con attrezzature e materiali disposti nell'area"], "people": ["Un gruppo di circa 5-6 persone riunite in cerchio al centro", "Un operatore vicino alla macchina verde a sinistra", "Un operatore che cammina dal basso verso il centro della scena", "Un operatore nella parte superiore vicino a un carrello"], "objects": ["Pallet in legno e metallo", "Tavoli da lavoro", "Contenitori metallici", "Materiali a terra"], "machines": ["Grande pressa industriale di colore verde sulla sinistra", "Carrelli industriali su ruote"], "observable_actions": ["Un gruppo di lavoratori discute in cerchio", "Un uomo si unisce al gruppo camminando dal basso", "Un operatore rimane fermo vicino alla pressa"], "visible_ppe": ["Caschi protettivi (gialli e bianchi) visibili su alcuni operatori", "Divise da lavoro (camicie azzurre e pantaloni scuri)"], "notes_visibility_limitations": "Inquadratura dall'alto che limita la visibilità dei dettagli dei volti e di alcuni DPI specifici."}</t>
        </is>
      </c>
      <c r="E16" s="7" t="inlineStr">
        <is>
          <t>{"unsafe_behaviors": ["Sosta prolungata di un gruppo di operatori al centro dell'area di transito/lavoro", "Potenziale distrazione dei lavoratori riuniti in cerchio rispetto all'ambiente circostante"], "vulnerable_elements": ["Gruppo di 5-6 operatori riuniti al centro", "Operatore che cammina nell'area di transito"], "risk_cues": {"S1_people_vehicle_interference": 0.0, "S2_visibility_attention_reduction": 0.25, "S3_non_compliant_behavior": 0.25, "S4_vehicle_infrastructure_interference": 0.0, "S5_storage_structural_instability": 0.25, "S6_access_to_moving_mechanical_parts": 0.25, "S7_manual_handling_heavy_unstable_loads": 0.0}, "cue_confidence": 0.8, "diagnostic_notes": "La scena evidenzia un gruppo di operatori riuniti al centro dell'area di lavoro per una discussione. Questo comportamento, sebbene non immediatamente pericoloso in assenza di mezzi in movimento attivi, riduce la soglia di attenzione spaziale (S2) e avviene in una zona di transito non specificamente protetta (S3). Si nota la presenza di materiali e attrezzature a terra che potrebbero costituire un rischio d'inciampo (S5). Un operatore staziona vicino alla pressa ma senza interagire direttamente con parti in movimento (S6)."}</t>
        </is>
      </c>
      <c r="F16" s="7" t="inlineStr">
        <is>
          <t>{"causal_chain_plausible": true, "causal_chain_text": "La sosta prolungata del gruppo al centro dell'area di transito riduce la consapevolezza situazionale dei lavoratori. Un operatore in movimento, distratto dalla discussione o con la visuale parzialmente ostruita, può non avvedersi dei materiali e delle attrezzature presenti a terra, provocando un inciampo o una collisione.", "near_miss_or_incident_scenario": "Inciampo e caduta a terra di un operatore a causa di ostacoli non segnalati sul pavimento, favorito dalla distrazione dovuta alla riunione in corso nell'area di transito.", "contributing_factors": ["Presenza di materiali e attrezzature disposti disordinatamente a terra", "Sosta e discussione di gruppo in una zona di transito non protetta", "Riduzione dell'attenzione spaziale dei lavoratori coinvolti nella discussione", "Mancanza di una delimitazione chiara delle aree di passaggio rispetto a quelle di lavoro"]}</t>
        </is>
      </c>
      <c r="G16" s="7" t="n">
        <v>16.67</v>
      </c>
      <c r="H16" s="7" t="n">
        <v>16.91</v>
      </c>
      <c r="I16" s="11" t="inlineStr">
        <is>
          <t>verde</t>
        </is>
      </c>
    </row>
    <row r="17" ht="34" customHeight="1">
      <c r="A17" s="7" t="n">
        <v>15</v>
      </c>
      <c r="B17" s="7" t="n">
        <v>30</v>
      </c>
      <c r="C17" s="7" t="n">
        <v>34</v>
      </c>
      <c r="D17" s="7" t="inlineStr">
        <is>
          <t>{"scene_state": "Area interna di uno stabilimento industriale con operai raggruppati al centro.", "environmental_conditions": ["Illuminazione artificiale interna", "Pavimentazione industriale con detriti"], "people": ["Gruppo di circa 7-8 lavoratori", "Un lavoratore in primo piano che cammina verso il gruppo"], "objects": ["Pallet", "Contenitori metallici", "Sacchi e materiali di scarto"], "machines": ["Grande macchinario industriale verde sulla sinistra"], "observable_actions": ["I lavoratori interagiscono in gruppo", "Un uomo cammina di spalle verso il centro della scena"], "visible_ppe": ["Caschi di protezione (gialli e bianchi)", "Abbigliamento da lavoro"], "notes_visibility_limitations": "Inquadratura dall'alto e risoluzione limitano la nitidezza dei dettagli."}</t>
        </is>
      </c>
      <c r="E17" s="7" t="inlineStr">
        <is>
          <t>{"unsafe_behaviors": ["Stazionamento e transito in un'area operativa con presenza di detriti e materiali di scarto al suolo"], "vulnerable_elements": ["Lavoratori presenti nell'area centrale", "Lavoratore in primo piano che cammina verso il gruppo"], "risk_cues": {"S1_people_vehicle_interference": 0.0, "S2_visibility_attention_reduction": 0.25, "S3_non_compliant_behavior": 0.25, "S4_vehicle_infrastructure_interference": 0.0, "S5_storage_structural_instability": 0.25, "S6_access_to_moving_mechanical_parts": 0.0, "S7_manual_handling_heavy_unstable_loads": 0.0}, "cue_confidence": 0.7, "diagnostic_notes": "La scena evidenzia un potenziale rischio di inciampo dovuto alla presenza di detriti, sacchi e materiali di scarto sulla pavimentazione industriale (S2, S3, S5). I lavoratori indossano i caschi di protezione. Non si osservano mezzi di movimentazione in transito (S1, S4), interventi su organi meccanici in movimento (S6) o attività di movimentazione manuale dei carichi (S7). La risoluzione e l'inquadratura dall'alto limitano la visibilità fine dei dettagli."}</t>
        </is>
      </c>
      <c r="F17" s="7" t="inlineStr">
        <is>
          <t>{"causal_chain_plausible": true, "causal_chain_text": "La presenza di detriti, sacchi e materiali di scarto sulla pavimentazione, combinata con il transito dei lavoratori e la loro interazione di gruppo, crea un rischio d'inciampo. Un lavoratore in movimento, distratto dall'interazione, potrebbe non notare un ostacolo al suolo, perdere l'equilibrio e cadere.", "near_miss_or_incident_scenario": "Un lavoratore inciampa su un detrito o materiale di scarto mentre cammina verso il gruppo, rischiando una caduta al livello del suolo con potenziali lesioni o contusioni.", "contributing_factors": ["Presenza di detriti, sacchi e materiali di scarto sulla pavimentazione industriale", "Transito e stazionamento di lavoratori in un'area operativa non sgombra da ostacoli", "Possibile riduzione dell'attenzione visiva al suolo dovuta all'interazione sociale tra i lavoratori"]}</t>
        </is>
      </c>
      <c r="G17" s="7" t="n">
        <v>5.37</v>
      </c>
      <c r="H17" s="7" t="n">
        <v>9.99</v>
      </c>
      <c r="I17" s="11" t="inlineStr">
        <is>
          <t>verde</t>
        </is>
      </c>
    </row>
    <row r="18" ht="34" customHeight="1">
      <c r="A18" s="7" t="n">
        <v>16</v>
      </c>
      <c r="B18" s="7" t="n">
        <v>32</v>
      </c>
      <c r="C18" s="7" t="n">
        <v>36</v>
      </c>
      <c r="D18" s="7" t="inlineStr">
        <is>
          <t>{"scene_state": "Area di lavoro industriale con un gruppo di operatori riuniti al centro del passaggio.", "environmental_conditions": ["Illuminazione interna artificiale", "Pavimentazione industriale in cemento"], "people": ["Circa 8-10 lavoratori presenti, alcuni in piedi in cerchio, altri in movimento."], "objects": ["Pallet in legno", "Contenitori metallici", "Carrelli per il trasporto materiali", "Fogli o detriti a terra"], "machines": ["Grande pressa industriale di colore verde sulla sinistra", "Macchinari di lavorazione sullo sfondo"], "observable_actions": ["Gli operatori discutono tra loro in gruppo", "Un lavoratore cammina di spalle verso il centro del gruppo"], "visible_ppe": ["Caschi protettivi (gialli e bianchi)", "Indumenti da lavoro (camicie blu e bianche)"], "notes_visibility_limitations": "Inquadratura dall'alto e risoluzione che limita la visibilità dei dettagli minuti come scarpe antinfortunistiche o occhiali protettivi."}</t>
        </is>
      </c>
      <c r="E18" s="7" t="inlineStr">
        <is>
          <t>{"unsafe_behaviors": ["Operatore che cammina all'indietro (di spalle) verso il centro del gruppo", "Sosta di un gruppo numeroso di lavoratori al centro di un'area di passaggio", "Presenza di fogli o detriti a terra che possono causare scivolamenti o inciampi"], "vulnerable_elements": ["Lavoratori radunati nel corridoio di transito", "Lavoratore in movimento con visibilità ridotta (cammina di spalle)"], "risk_cues": {"S1_people_vehicle_interference": 0.25, "S2_visibility_attention_reduction": 0.75, "S3_non_compliant_behavior": 0.5, "S4_vehicle_infrastructure_interference": 0.0, "S5_storage_structural_instability": 0.25, "S6_access_to_moving_mechanical_parts": 0.0, "S7_manual_handling_heavy_unstable_loads": 0.0}, "cue_confidence": 0.8, "diagnostic_notes": "L'elemento di rischio principale è rappresentato dall'operatore che cammina all'indietro (S2), riducendo la propria visibilità e attenzione spaziale. Il gruppo è radunato in un'area di passaggio (S3), ostacolando potenzialmente il transito. La presenza di detriti a terra costituisce un rischio di inciampo. Non si osservano mezzi in movimento o movimentazione manuale di carichi in questa specifica."}</t>
        </is>
      </c>
      <c r="F18" s="7" t="inlineStr">
        <is>
          <t>{"causal_chain_plausible": true, "causal_chain_text": "L'operatore cammina all'indietro riducendo la propria visibilità. Muovendosi verso il gruppo nel corridoio, rischia di non vedere i detriti a terra o i colleghi fermi, causando un inciampo o una collisione.", "near_miss_or_incident_scenario": "Inciampo dell'operatore sui detriti a terra o collisione con i colleghi fermi nel passaggio, con conseguente caduta a livello.", "contributing_factors": ["Movimento all'indietro con visibilità e attenzione ridotte", "Presenza di fogli o detriti sulla pavimentazione industriale", "Sosta di un gruppo numeroso di lavoratori in una zona di transito"]}</t>
        </is>
      </c>
      <c r="G18" s="7" t="n">
        <v>12.59</v>
      </c>
      <c r="H18" s="7" t="n">
        <v>13.36</v>
      </c>
      <c r="I18" s="11" t="inlineStr">
        <is>
          <t>verde</t>
        </is>
      </c>
    </row>
    <row r="19" ht="34" customHeight="1">
      <c r="A19" s="7" t="n">
        <v>17</v>
      </c>
      <c r="B19" s="7" t="n">
        <v>34</v>
      </c>
      <c r="C19" s="7" t="n">
        <v>36.689</v>
      </c>
      <c r="D19" s="7" t="inlineStr">
        <is>
          <t>{"scene_state": "Un gruppo di lavoratori è riunito al centro di un'officina industriale.", "environmental_conditions": ["Illuminazione artificiale interna", "Visibilità sufficiente"], "people": ["Un gruppo di circa 8-10 lavoratori con diverse divise"], "objects": ["Banchi da lavoro", "Pallet metallici", "Carrelli", "Materiali a terra"], "machines": ["Grande pressa industriale verde sulla sinistra"], "observable_actions": ["I lavoratori discutono in gruppo", "Alcuni si muovono leggermente"], "visible_ppe": ["Elmetti protettivi (gialli e bianchi)", "Abiti da lavoro"], "notes_visibility_limitations": "Inquadratura CCTV dall'alto con risoluzione limitata."}</t>
        </is>
      </c>
      <c r="E19" s="7" t="inlineStr">
        <is>
          <t>{"unsafe_behaviors": ["Sosta e discussione di gruppo in un'area operativa centrale potenzialmente destinata al transito o alle lavorazioni"], "vulnerable_elements": ["Gruppo di circa 8-10 lavoratori riuniti al centro dell'officina"], "risk_cues": {"S1_people_vehicle_interference": 0.0, "S2_visibility_attention_reduction": 0.25, "S3_non_compliant_behavior": 0.25, "S4_vehicle_infrastructure_interference": 0.0, "S5_storage_structural_instability": 0.0, "S6_access_to_moving_mechanical_parts": 0.0, "S7_manual_handling_heavy_unstable_loads": 0.0}, "cue_confidence": 0.8, "diagnostic_notes": "I lavoratori sono riuniti in gruppo per discutere. Sebbene indossino i DPI base (elmetti), la sosta prolungata al centro dell'officina, vicino a banchi, carrelli e a una pressa industriale, può ridurre la consapevolezza situazionale rispetto a eventuali pericoli circostanti. Non si rilevano mezzi in movimento o movimentazione carichi in questa specifica finestra temporale."}</t>
        </is>
      </c>
      <c r="F19" s="7" t="inlineStr">
        <is>
          <t>{"causal_chain_plausible": true, "causal_chain_text": "La sosta di un gruppo numeroso in un'area operativa centrale riduce la consapevolezza situazionale dei singoli. La distrazione causata dalla discussione, combinata con la presenza di ostacoli fisici come materiali a terra, carrelli e banchi da lavoro nelle immediate vicinanze, può indurre movimenti involontari senza adeguato controllo visivo dello spazio circostante.", "near_miss_or_incident_scenario": "Un lavoratore del gruppo compie un passo indietro o un movimento laterale improvviso durante la discussione, inciampando nei materiali a terra o urtando un carrello metallico, con conseguente rischio di caduta o lesione.", "contributing_factors": ["Sosta e discussione di gruppo in zona di transito/lavoro", "Presenza di ostacoli fisici e materiali depositati a terra", "Ridotta attenzione situazionale dei lavoratori focalizzati sulla discussione"]}</t>
        </is>
      </c>
      <c r="G19" s="7" t="n">
        <v>4.57</v>
      </c>
      <c r="H19" s="7" t="n">
        <v>8.09</v>
      </c>
      <c r="I19" s="11" t="inlineStr">
        <is>
          <t>verde</t>
        </is>
      </c>
    </row>
    <row r="20" ht="34" customHeight="1">
      <c r="A20" s="7" t="n">
        <v>18</v>
      </c>
      <c r="B20" s="7" t="n">
        <v>36</v>
      </c>
      <c r="C20" s="7" t="n">
        <v>36.689</v>
      </c>
      <c r="D20" s="7" t="inlineStr">
        <is>
          <t>{"scene_state": "Area di lavoro industriale interna con un gruppo di operatori riuniti al centro.", "environmental_conditions": ["Illuminazione artificiale interna", "Pavimentazione industriale grigia"], "people": ["Un gruppo di circa 8 persone (operatori e supervisori) ferme in cerchio che interagiscono."], "objects": ["Pallet in legno", "Piastre metalliche", "Scatole e sacchi di materiale", "Carrello di trasporto"], "machines": ["Grande pressa industriale sul lato sinistro", "Macchinari e attrezzature sullo sfondo"], "observable_actions": ["Gli operatori sono in piedi, discutono e si confrontano in gruppo."], "visible_ppe": ["Caschi protettivi (gialli e bianchi)", "Gilet ad alta visibilità", "Calzature di sicurezza"], "notes_visibility_limitations": "Inquadratura dall'alto e distanza limitano la nitidezza dei dettagli del viso e dei DPI specifici."}</t>
        </is>
      </c>
      <c r="E20" s="7" t="inlineStr">
        <is>
          <t>{"unsafe_behaviors": [], "vulnerable_elements": ["Operatori presenti nell'area di lavoro"],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"Gli operatori sono riuniti in cerchio per un briefing o confronto. Indossano i DPI base visibili (caschi, gilet ad alta visibilità, calzature di sicurezza). Non si registrano attività di movimentazione carichi, transito di mezzi o interazioni con parti meccaniche in movimento in questa finestra temporale, mantenendo il livello di rischio a zero."}</t>
        </is>
      </c>
      <c r="F20" s="7" t="inlineStr">
        <is>
          <t>{"causal_chain_plausible": false, "causal_chain_text": "Nessuna catena causale di rischio rilevata. Gli operatori si trovano in un'area sicura per un briefing di lavoro, indossano i DPI idonei e non vi sono macchinari in movimento o carichi sospesi nelle immediate vicinanze.", "near_miss_or_incident_scenario": "Nessun scenario di incidente o near miss plausibile in base agli elementi osservati.", "contributing_factors": []}</t>
        </is>
      </c>
      <c r="G20" s="7" t="n">
        <v>1.2</v>
      </c>
      <c r="H20" s="7" t="n">
        <v>3.96</v>
      </c>
      <c r="I20" s="11" t="inlineStr">
        <is>
          <t>verde</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20"/>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4" customWidth="1" min="4" max="4"/>
    <col width="14" customWidth="1" min="5" max="5"/>
  </cols>
  <sheetData>
    <row r="1" ht="16" customHeight="1">
      <c r="A1" s="6" t="inlineStr">
        <is>
          <t>window_id</t>
        </is>
      </c>
      <c r="B1" s="6" t="inlineStr">
        <is>
          <t>start_time_s</t>
        </is>
      </c>
      <c r="C1" s="6" t="inlineStr">
        <is>
          <t>end_time_s</t>
        </is>
      </c>
      <c r="D1" s="6" t="inlineStr">
        <is>
          <t>vlm_free_scoring_json</t>
        </is>
      </c>
      <c r="E1" s="6" t="inlineStr">
        <is>
          <t>vlm_guided_scoring_json</t>
        </is>
      </c>
    </row>
    <row r="2" ht="34" customHeight="1">
      <c r="A2" s="7" t="n">
        <v>0</v>
      </c>
      <c r="B2" s="7" t="n">
        <v>0</v>
      </c>
      <c r="C2" s="7" t="n">
        <v>4</v>
      </c>
      <c r="D2" s="7" t="inlineStr">
        <is>
          <t>{"instantaneous_risk_score": 60.0, "score_rationale": "Il punteggio di 60 riflette un rischio moderato-alto dovuto alla compresenza di un layout congestionato con spazi di manovra ridotti e alla mancanza di vie pedonali delimitate. La criticità principale è rappresentata dal mancato uso dell'elmetto protettivo da parte dell'operatore in maglia rossa in un'area con macchinari pesanti e movimentazione carichi."}</t>
        </is>
      </c>
      <c r="E2" s="7" t="inlineStr">
        <is>
          <t>{"risk_score_0_100": 45, "score_rationale": "Il punteggio riflette un rischio moderato dovuto al transito di pedoni in prossimità della pressa industriale verde senza barriere di segregazione evidenti. Sebbene non si registrino comportamenti scorretti immediati, la vicinanza alle parti meccaniche in movimento richiede vigilanza."}</t>
        </is>
      </c>
    </row>
    <row r="3" ht="34" customHeight="1">
      <c r="A3" s="7" t="n">
        <v>1</v>
      </c>
      <c r="B3" s="7" t="n">
        <v>2</v>
      </c>
      <c r="C3" s="7" t="n">
        <v>6</v>
      </c>
      <c r="D3" s="7" t="inlineStr">
        <is>
          <t>{"instantaneous_risk_score": 70.0, "score_rationale": "Il punteggio di 70 riflette un rischio elevato dovuto alla presenza di un operatore accovacciato direttamente alla base di una pressa industriale pesante per attività di manutenzione. Sebbene sia presente un supervisore e vengano indossati i caschi, la prossimità immediata alle parti mobili della macchina, unita al disordine dell'area di lavoro (ostacoli e materiali a terra che aumentano il rischio di inciampo), configura una situazione di potenziale pericolo grave (schiacciamento o cesoiamento) in caso di attivazione accidentale o movimenti falsati."}</t>
        </is>
      </c>
      <c r="E3" s="7" t="inlineStr">
        <is>
          <t>{"risk_score_0_100": 55, "score_rationale": "Il punteggio riflette un rischio significativo dovuto all'operatore accovacciato alla base della pressa senza barriere di segregazione visibili, esponendolo a potenziali avviamenti accidentali o contatti con parti in movimento. La postura ridotta limita inoltre la sua visibilità e reattività in caso di emergenza."}</t>
        </is>
      </c>
    </row>
    <row r="4" ht="34" customHeight="1">
      <c r="A4" s="7" t="n">
        <v>2</v>
      </c>
      <c r="B4" s="7" t="n">
        <v>4</v>
      </c>
      <c r="C4" s="7" t="n">
        <v>8</v>
      </c>
      <c r="D4" s="7" t="inlineStr">
        <is>
          <t>{"instantaneous_risk_score": 50.0, "score_rationale": "Il punteggio di 50 indica un rischio moderato. La presenza di molteplici ostacoli e attrezzature sulla pavimentazione aumenta il rischio di scivolamento o inciampo per i cinque operatori nell'area. Inoltre, la vicinanza di un lavoratore alla pressa industriale, combinata con l'impossibilità di verificare la presenza di barriere di sicurezza e la totalità dei DPI (come scarpe antinfortunistiche e guanti), rappresenta un potenziale fattore di pericolo che richiede attenzione."}</t>
        </is>
      </c>
      <c r="E4" s="7" t="inlineStr">
        <is>
          <t>{"risk_score_0_100": 55, "score_rationale": "Il punteggio riflette un rischio significativo dovuto alla presenza di un operatore accovacciato direttamente alla base della pressa industriale senza barriere di segregazione visibili. Questa postura riduce la visibilità e i tempi di reazione, esponendo l'operatore a gravi pericoli di schiacciamento in caso di attivazione accidentale del macchinario."}</t>
        </is>
      </c>
    </row>
    <row r="5" ht="34" customHeight="1">
      <c r="A5" s="7" t="n">
        <v>3</v>
      </c>
      <c r="B5" s="7" t="n">
        <v>6</v>
      </c>
      <c r="C5" s="7" t="n">
        <v>10</v>
      </c>
      <c r="D5" s="7" t="inlineStr">
        <is>
          <t>{"instantaneous_risk_score": 80.0, "score_rationale": "Il punteggio di 80 riflette un rischio elevato dovuto alla presenza di un operatore accovacciato direttamente alla base di una pressa verticale pesante senza barriere di segregazione visibili. Sebbene gli operatori principali indossino il casco, l'interazione ravvicinata con la zona di pericolo del macchinario, l'assenza di gilet ad alta visibilità in un'area di transito e l'impossibilità di verificare l'applicazione delle procedure di isolamento energetico (LOTO) espongono il lavoratore a un grave rischio di schiacciamento in caso di attivazione accidentale o mancata coordinazione."}</t>
        </is>
      </c>
      <c r="E5" s="7" t="inlineStr">
        <is>
          <t>{"risk_score_0_100": 68, "score_rationale": "Il punteggio riflette un rischio significativo dovuto alla presenza di un operatore accovacciato direttamente alla base della pressa industriale senza barriere protettive. Questa condizione espone il lavoratore a un grave pericolo di schiacciamento o intrappolamento in caso di attivazione accidentale dei componenti meccanici."}</t>
        </is>
      </c>
    </row>
    <row r="6" ht="34" customHeight="1">
      <c r="A6" s="7" t="n">
        <v>4</v>
      </c>
      <c r="B6" s="7" t="n">
        <v>8</v>
      </c>
      <c r="C6" s="7" t="n">
        <v>12</v>
      </c>
      <c r="D6" s="7" t="inlineStr">
        <is>
          <t>{"instantaneous_risk_score": 80.0, "score_rationale": "Il punteggio di 80 è giustificato dall'elevato rischio di schiacciamento e intrappolamento per l'operatore accovacciato alla base della pressa industriale. L'assenza di barriere di segregazione visibili e la presenza contemporanea di più soggetti nell'area aumentano significativamente la probabilità di un'attivazione accidentale o di un errore umano, configurando una situazione di pericolo grave nonostante l'uso di alcuni DPI di base come i caschi."}</t>
        </is>
      </c>
      <c r="E6" s="7" t="inlineStr">
        <is>
          <t>{"risk_score_0_100": 68, "score_rationale": "Il punteggio riflette un rischio significativo dovuto alla presenza di un operatore accovacciato alla base della pressa senza evidenza di procedure di isolamento energetico (LOTO). La vicinanza di un secondo operatore ai comandi aumenta il pericolo di un avvio accidentale con conseguenze potenzialmente gravi per l'incolumità del collega."}</t>
        </is>
      </c>
    </row>
    <row r="7" ht="34" customHeight="1">
      <c r="A7" s="7" t="n">
        <v>5</v>
      </c>
      <c r="B7" s="7" t="n">
        <v>10</v>
      </c>
      <c r="C7" s="7" t="n">
        <v>14</v>
      </c>
      <c r="D7" s="7" t="inlineStr">
        <is>
          <t>{"instantaneous_risk_score": 80.0, "score_rationale": "Il punteggio di 80 riflette un rischio elevato dovuto alla presenza dell'operatore che si flette direttamente verso l'area di stampaggio della pressa industriale. La prossimità fisica immediata alla zona di pericolo, l'assenza di barriere protettive visibili e la postura instabile espongono il lavoratore a un grave rischio di schiacciamento o intrappolamento in caso di attivazione accidentale del macchinario."}</t>
        </is>
      </c>
      <c r="E7" s="7" t="inlineStr">
        <is>
          <t>{"risk_score_0_100": 35, "score_rationale": "Il punteggio riflette un rischio moderato dovuto alla postura chinata dell'operatore in prossimità della pressa industriale, che riduce la visibilità e aumenta il rischio di contatto accidentale. La presenza di DPI di base mitiga parzialmente la gravità di un potenziale incidente."}</t>
        </is>
      </c>
    </row>
    <row r="8" ht="34" customHeight="1">
      <c r="A8" s="7" t="n">
        <v>6</v>
      </c>
      <c r="B8" s="7" t="n">
        <v>12</v>
      </c>
      <c r="C8" s="7" t="n">
        <v>16</v>
      </c>
      <c r="D8" s="7" t="inlineStr">
        <is>
          <t>{"instantaneous_risk_score": 65.0, "score_rationale": "Il punteggio di 65 indica un rischio medio-alto. Sebbene gli operatori indossino i DPI base (elmetto) e vi sia un supervisore, si osservano dinamiche pericolose: l'operatore lavora chinato vicino alla pressa con rischio di schiacciamento degli arti e problemi ergonomici. Inoltre, la presenza di materiali e lamiere a terra nell'area di lavoro aumenta il rischio di inciampo."}</t>
        </is>
      </c>
      <c r="E8" s="7" t="inlineStr">
        <is>
          <t>{"risk_score_0_100": 65, "score_rationale": "Il punteggio riflette un rischio significativo dovuto alla movimentazione manuale di lastre metalliche pesanti in una postura incongrua e chinata. La vicinanza alla pressa idraulica e la ridotta visibilità dell'operatore aumentano la probabilità di infortuni muscolo-scheletrici o schiacciamenti."}</t>
        </is>
      </c>
    </row>
    <row r="9" ht="34" customHeight="1">
      <c r="A9" s="7" t="n">
        <v>7</v>
      </c>
      <c r="B9" s="7" t="n">
        <v>14</v>
      </c>
      <c r="C9" s="7" t="n">
        <v>18</v>
      </c>
      <c r="D9" s="7" t="inlineStr">
        <is>
          <t>{"instantaneous_risk_score": 75.0, "score_rationale": "Il punteggio di 75 riflette un rischio elevato dovuto all'Operatore 1 chinato per manipolare manualmente un pezzo all'interno di una grande pressa industriale, in prossimità di parti in movimento e senza barriere fisiche di sicurezza visibilmente attive. Questo comporta un rischio significativo di schiacciamento, cesoiamento ed ergonomico, parzialmente mitigato dalla presenza di un supervisore (Operatore 2) e dall'uso di elmetti."}</t>
        </is>
      </c>
      <c r="E9" s="7" t="inlineStr">
        <is>
          <t>{"risk_score_0_100": 70, "score_rationale": "Il punteggio riflette un rischio significativo dovuto alla manipolazione manuale di lastre metalliche in postura incongrua e in estrema prossimità della pressa industriale. La mancanza di barriere protettive visibili aumenta notevolmente la probabilità di gravi infortuni da schiacciamento o taglio."}</t>
        </is>
      </c>
    </row>
    <row r="10" ht="34" customHeight="1">
      <c r="A10" s="7" t="n">
        <v>8</v>
      </c>
      <c r="B10" s="7" t="n">
        <v>16</v>
      </c>
      <c r="C10" s="7" t="n">
        <v>20</v>
      </c>
      <c r="D10" s="7" t="inlineStr">
        <is>
          <t>{"instantaneous_risk_score": 85.0, "score_rationale": "Il punteggio di 85 è giustificato dall'avvenuta caduta di un operatore in un'area industriale critica, vicino a una pressa metallica. L'impatto al suolo e la prossimità a macchinari pesanti comportano un rischio immediato di lesioni fisiche. La necessità di soccorso immediato da parte dei colleghi evidenzia la gravità dell'evento."}</t>
        </is>
      </c>
      <c r="E10" s="7" t="inlineStr">
        <is>
          <t>{"risk_score_0_100": 85, "score_rationale": "Il punteggio elevato è giustificato dall'avvenuta caduta a terra dell'operatore che, privo di casco protettivo, rischia gravi lesioni o un trauma cranico da impatto. La prossimità a una pressa industriale aumenta la criticità dell'evento, richiedendo un intervento immediato di soccorso."}</t>
        </is>
      </c>
    </row>
    <row r="11" ht="34" customHeight="1">
      <c r="A11" s="7" t="n">
        <v>9</v>
      </c>
      <c r="B11" s="7" t="n">
        <v>18</v>
      </c>
      <c r="C11" s="7" t="n">
        <v>22</v>
      </c>
      <c r="D11" s="7" t="inlineStr">
        <is>
          <t>{"instantaneous_risk_score": 90.0, "score_rationale": "Il punteggio riflette un livello di rischio critico dovuto al verificarsi di un infortunio reale: l'Operatore 3 è caduto all'indietro sul pavimento industriale rigido, con potenziale rischio di trauma cranico o muscolo-scheletrico (il casco non è chiaramente visibile o è stato perso). La presenza di cavi e tubi a terra rappresenta un grave fattore di rischio di inciampo non gestito, e la necessità di soccorso immediato da parte dell'Operatore 2 conferma la gravità dell'evento in corso."}</t>
        </is>
      </c>
      <c r="E11" s="7" t="inlineStr">
        <is>
          <t>{"risk_score_0_100": 70, "score_rationale": "Il punteggio riflette un incidente già avvenuto (caduta a livello di un lavoratore) causato da un inadeguato mantenimento dell'ordine nelle vie di transito. La presenza di ostacoli e macchinari pesanti nelle vicinanze aumenta il rischio di lesioni significative sia per l'infortunato che per i soccorritori."}</t>
        </is>
      </c>
    </row>
    <row r="12" ht="34" customHeight="1">
      <c r="A12" s="7" t="n">
        <v>10</v>
      </c>
      <c r="B12" s="7" t="n">
        <v>20</v>
      </c>
      <c r="C12" s="7" t="n">
        <v>24</v>
      </c>
      <c r="D12" s="7" t="inlineStr">
        <is>
          <t>{"instantaneous_risk_score": 80.0, "score_rationale": "Il punteggio di 80 è giustificato dall'avvenuto infortunio (operatore a terra soccorso da un collega) causato plausibilmente da un inciampo. La presenza di cavi e tubi flessibili non canalizzati sul pavimento in prossimità di macchinari pesanti evidenzia un grave deficit di housekeeping, mantenendo alto il rischio di ulteriori cadute o impatti contro le strutture metalliche circostanti."}</t>
        </is>
      </c>
      <c r="E12" s="7" t="inlineStr">
        <is>
          <t>{"risk_score_0_100": 65, "score_rationale": "Il punteggio riflette un rischio significativo dovuto alla presenza di un operatore già a terra, segno di una caduta o inciampo avvenuto in prossimità di macchinari e ostacoli metallici. Sebbene il collega stia prestando assistenza, l'evento evidenzia potenziali carenze nella sicurezza dei percorsi di transito."}</t>
        </is>
      </c>
    </row>
    <row r="13" ht="34" customHeight="1">
      <c r="A13" s="7" t="n">
        <v>11</v>
      </c>
      <c r="B13" s="7" t="n">
        <v>22</v>
      </c>
      <c r="C13" s="7" t="n">
        <v>26</v>
      </c>
      <c r="D13" s="7" t="inlineStr">
        <is>
          <t>{"instantaneous_risk_score": 85.0, "score_rationale": "Il punteggio di 85 riflette un livello di rischio molto elevato. La caduta o l'arresto brusco di un veicolo a motore (scooter) all'interno di un'area di produzione stretta e con macchinari pesanti rappresenta un grave pericolo. L'assembramento caotico di 6-7 operatori, con possibili alterchi fisici e un uso non uniforme dei DPI, aumenta esponenzialmente il rischio di lesioni personali, collisioni secondarie e intralcio alle vie di fuga in caso di emergenza."}</t>
        </is>
      </c>
      <c r="E13" s="7" t="inlineStr">
        <is>
          <t>{"risk_score_0_100": 65, "score_rationale": "La presenza non autorizzata di uno scooter all'interno del reparto produttivo e l'assembramento di pedoni attorno ad esso generano un rischio significativo di collisione e distrazione in prossimità di macchinari attivi. Questa violazione delle norme di sicurezza riduce la consapevolezza situazionale degli operatori, aumentando la probabilità di infortuni."}</t>
        </is>
      </c>
    </row>
    <row r="14" ht="34" customHeight="1">
      <c r="A14" s="7" t="n">
        <v>12</v>
      </c>
      <c r="B14" s="7" t="n">
        <v>24</v>
      </c>
      <c r="C14" s="7" t="n">
        <v>28</v>
      </c>
      <c r="D14" s="7" t="inlineStr">
        <is>
          <t>{"instantaneous_risk_score": 70.0, "score_rationale": "Il punteggio di 70 è giustificato dall'interazione fisica concitata o alterco tra numerosi operatori in un'area ristretta, caratterizzata dalla presenza di macchinari pesanti (pressa industriale) e ostacoli a terra. La ridotta consapevolezza situazionale, unita al mancato utilizzo generalizzato dei DPI (elmetti), eleva significativamente il rischio di cadute accidentali, urti contro strutture metalliche e distrazione rispetto alle fonti di pericolo attive."}</t>
        </is>
      </c>
      <c r="E14" s="7" t="inlineStr">
        <is>
          <t>{"risk_score_0_100": 35, "score_rationale": "Il rischio è moderato a causa della presenza di materiali a terra che creano un potenziale pericolo di inciampo e della distrazione del gruppo di lavoratori riuniti nell'area operativa. Non si rilevano pericoli imminenti legati a macchinari in movimento o transito di mezzi."}</t>
        </is>
      </c>
    </row>
    <row r="15" ht="34" customHeight="1">
      <c r="A15" s="7" t="n">
        <v>13</v>
      </c>
      <c r="B15" s="7" t="n">
        <v>26</v>
      </c>
      <c r="C15" s="7" t="n">
        <v>30</v>
      </c>
      <c r="D15" s="7" t="inlineStr">
        <is>
          <t>{"instantaneous_risk_score": 50.0, "score_rationale": "Il punteggio di 50 indica un rischio moderato. Si rileva un gruppo di operatori fermo in un'area operativa e di transito vicino a macchinari pesanti, configurando una potenziale situazione di intralcio e distrazione. Inoltre, la maggior parte dei soggetti nel gruppo centrale sembra priva di casco protettivo, aumentando la vulnerabilità a urti accidentali o caduta di materiali in un contesto industriale."}</t>
        </is>
      </c>
      <c r="E15" s="7" t="inlineStr">
        <is>
          <t>{"risk_score_0_100": 35, "score_rationale": "Il rischio è moderato a causa della presenza di materiali sparsi sul pavimento che creano un potenziale pericolo di inciampo per i lavoratori parzialmente distratti. L'assenza di mezzi in movimento o di lavorazioni ad alto rischio attive riduce la probabilità di incidenti gravi in questa finestra temporale."}</t>
        </is>
      </c>
    </row>
    <row r="16" ht="34" customHeight="1">
      <c r="A16" s="7" t="n">
        <v>14</v>
      </c>
      <c r="B16" s="7" t="n">
        <v>28</v>
      </c>
      <c r="C16" s="7" t="n">
        <v>32</v>
      </c>
      <c r="D16" s="7" t="inlineStr">
        <is>
          <t>{"instantaneous_risk_score": 40.0, "score_rationale": "Il punteggio di 40 indica un rischio moderato. Pur in assenza di macchinari in movimento attivo, si rilevano fattori di rischio significativi: il mancato uso uniforme dei DPI (elmetti) da parte di alcuni lavoratori, la presenza di ostacoli e materiali di scarto a terra che favoriscono il rischio di inciampo, e la concentrazione di un gruppo di persone in una zona di transito/lavoro che può generare distrazione."}</t>
        </is>
      </c>
      <c r="E16" s="7" t="inlineStr">
        <is>
          <t>{"risk_score_0_100": 35, "score_rationale": "Il punteggio riflette un rischio moderato dovuto alla sosta di un gruppo di lavoratori in un'area di transito con materiali a terra, che aumenta il rischio di inciampo e riduce la soglia di attenzione. Non si rilevano tuttavia pericoli immediati legati a mezzi in movimento o lavorazioni ad alto rischio in corso."}</t>
        </is>
      </c>
    </row>
    <row r="17" ht="34" customHeight="1">
      <c r="A17" s="7" t="n">
        <v>15</v>
      </c>
      <c r="B17" s="7" t="n">
        <v>30</v>
      </c>
      <c r="C17" s="7" t="n">
        <v>34</v>
      </c>
      <c r="D17" s="7" t="inlineStr">
        <is>
          <t>{"instantaneous_risk_score": 55.0, "score_rationale": "Il punteggio di 55 è giustificato dalla sosta di un gruppo numeroso di operatori (8 persone) direttamente al centro di un'area di transito operativo priva di segnaletica orizzontale di sicurezza. Questa situazione, unita alla presenza di detriti e fogli sul pavimento (rischio inciampo) e alla non verificabilità dei DPI per tutti i soggetti, configura una situazione di rischio moderato-alto per la sicurezza dei lavoratori."}</t>
        </is>
      </c>
      <c r="E17" s="7" t="inlineStr">
        <is>
          <t>{"risk_score_0_100": 35, "score_rationale": "Il rischio è moderato a causa della presenza di detriti e materiali di scarto sulla pavimentazione che aumentano il pericolo di inciampo per i lavoratori nell'area. L'uso dei caschi protettivi e l'assenza di mezzi in movimento o carichi sospesi riducono la potenziale gravità di un incidente."}</t>
        </is>
      </c>
    </row>
    <row r="18" ht="34" customHeight="1">
      <c r="A18" s="7" t="n">
        <v>16</v>
      </c>
      <c r="B18" s="7" t="n">
        <v>32</v>
      </c>
      <c r="C18" s="7" t="n">
        <v>36</v>
      </c>
      <c r="D18" s="7" t="inlineStr">
        <is>
          <t>{"instantaneous_risk_score": 40.0, "score_rationale": "Il punteggio di 40 indica un rischio moderato. La concentrazione di un gruppo numeroso di lavoratori in una zona di transito e in prossimità di macchinari pesanti (pressa industriale) riduce lo spazio di manovra sicuro. La presenza di detriti, pallet e materiali sparsi sul pavimento genera un rischio concreto di inciampo e caduta. Inoltre, l'impossibilità di verificare l'uso corretto e completo dei DPI per tutti i presenti rappresenta un ulteriore fattore di vulnerabilità."}</t>
        </is>
      </c>
      <c r="E18" s="7" t="inlineStr">
        <is>
          <t>{"risk_score_0_100": 38, "score_rationale": "Il rischio è moderato a causa dell'operatore che cammina all'indietro con visibilità ridotta in presenza di detriti al suolo e di colleghi fermi in un'area di transito. Questa situazione aumenta la probabilità di inciampi o collisioni, sebbene non vi siano veicoli o carichi sospesi in movimento immediato."}</t>
        </is>
      </c>
    </row>
    <row r="19" ht="34" customHeight="1">
      <c r="A19" s="7" t="n">
        <v>17</v>
      </c>
      <c r="B19" s="7" t="n">
        <v>34</v>
      </c>
      <c r="C19" s="7" t="n">
        <v>36.689</v>
      </c>
      <c r="D19" s="7" t="inlineStr">
        <is>
          <t>{"instantaneous_risk_score": 30.0, "score_rationale": "Il punteggio di 30 indica un rischio moderato. Sebbene gli operatori indossino i DPI adeguati (caschi e gilet ad alta visibilità), l'assembramento in una zona di transito vicino a macchinari pesanti e la presenza di attrezzature nelle aree di passaggio aumentano il rischio di inciampi o collisioni accidentali durante la dispersione del gruppo."}</t>
        </is>
      </c>
      <c r="E19" s="7" t="inlineStr">
        <is>
          <t>{"risk_score_0_100": 30, "score_rationale": "Il rischio è moderato poiché la sosta di gruppo in un'area operativa riduce l'attenzione situazionale, aumentando la probabilità di inciampi sui materiali a terra. Tuttavia, l'assenza di carrelli in movimento o lavorazioni ad alto rischio attive in questo momento limita la gravità immediata."}</t>
        </is>
      </c>
    </row>
    <row r="20" ht="34" customHeight="1">
      <c r="A20" s="7" t="n">
        <v>18</v>
      </c>
      <c r="B20" s="7" t="n">
        <v>36</v>
      </c>
      <c r="C20" s="7" t="n">
        <v>36.689</v>
      </c>
      <c r="D20" s="7" t="inlineStr">
        <is>
          <t>{"instantaneous_risk_score": 45.0, "score_rationale": "Il punteggio di 45 indica un rischio moderato. Si osserva un assembramento di 8-10 operatori in una zona di transito e in prossimità di una pressa industriale. La presenza di lavoratori privi di casco protettivo in un'area con potenziale rischio di caduta oggetti e la possibilità di intralcio in caso di movimentazione carichi o avvio macchinari costituiscono non-conformità rilevanti per la sicurezza."}</t>
        </is>
      </c>
      <c r="E20" s="7" t="inlineStr">
        <is>
          <t>{"risk_score_0_100": 5, "score_rationale": "Gli operatori sono riuniti in sicurezza per un briefing e indossano correttamente i DPI previsti. Non si rilevano attività operative a rischio, macchinari in movimento o interferenze con mezzi nell'area."}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60"/>
  <sheetViews>
    <sheetView showGridLines="1" zoomScale="80" workbookViewId="0">
      <pane ySplit="1" topLeftCell="A2" activePane="bottomLeft" state="frozen"/>
      <selection pane="bottomLeft" activeCell="A1" sqref="A1"/>
    </sheetView>
  </sheetViews>
  <sheetFormatPr baseColWidth="8" defaultRowHeight="15"/>
  <cols>
    <col width="7" customWidth="1" min="1" max="1"/>
    <col width="14" customWidth="1" min="2" max="2"/>
    <col width="10" customWidth="1" min="3" max="3"/>
    <col width="12" customWidth="1" min="4" max="4"/>
    <col width="6" customWidth="1" min="5" max="5"/>
    <col width="11" customWidth="1" min="6" max="6"/>
    <col width="8" customWidth="1" min="7" max="7"/>
    <col width="8" customWidth="1" min="8" max="8"/>
    <col width="8" customWidth="1" min="9" max="9"/>
    <col width="10" customWidth="1" min="10" max="10"/>
    <col width="8" customWidth="1" min="11" max="11"/>
    <col width="16" customWidth="1" min="12" max="12"/>
    <col width="9" customWidth="1" min="13" max="13"/>
  </cols>
  <sheetData>
    <row r="1" ht="16" customHeight="1">
      <c r="A1" s="2" t="inlineStr">
        <is>
          <t>execution_order</t>
        </is>
      </c>
      <c r="B1" s="2" t="inlineStr">
        <is>
          <t>timestamp</t>
        </is>
      </c>
      <c r="C1" s="14" t="inlineStr">
        <is>
          <t>branch_name</t>
        </is>
      </c>
      <c r="D1" s="14" t="inlineStr">
        <is>
          <t>block_name</t>
        </is>
      </c>
      <c r="E1" s="2" t="inlineStr">
        <is>
          <t>window_id</t>
        </is>
      </c>
      <c r="F1" s="14" t="inlineStr">
        <is>
          <t>model_name</t>
        </is>
      </c>
      <c r="G1" s="14" t="inlineStr">
        <is>
          <t>input_tokens</t>
        </is>
      </c>
      <c r="H1" s="14" t="inlineStr">
        <is>
          <t>output_tokens</t>
        </is>
      </c>
      <c r="I1" s="14" t="inlineStr">
        <is>
          <t>total_tokens</t>
        </is>
      </c>
      <c r="J1" s="14" t="inlineStr">
        <is>
          <t>usage_source</t>
        </is>
      </c>
      <c r="K1" s="14" t="inlineStr">
        <is>
          <t>status</t>
        </is>
      </c>
      <c r="L1" s="14" t="inlineStr">
        <is>
          <t>error</t>
        </is>
      </c>
      <c r="M1" s="14" t="inlineStr">
        <is>
          <t>branch_api_call_count</t>
        </is>
      </c>
    </row>
    <row r="2" ht="34" customHeight="1">
      <c r="A2" s="7" t="n">
        <v>1</v>
      </c>
      <c r="B2" s="7" t="inlineStr">
        <is>
          <t>2026-07-30T19:03:16Z</t>
        </is>
      </c>
      <c r="C2" s="7" t="inlineStr">
        <is>
          <t>vlm_free</t>
        </is>
      </c>
      <c r="D2" s="7" t="inlineStr">
        <is>
          <t>vlm_free_descriptive_causal</t>
        </is>
      </c>
      <c r="E2" s="7" t="n">
        <v>0</v>
      </c>
      <c r="F2" s="7" t="inlineStr">
        <is>
          <t>gemini-3.5-flash</t>
        </is>
      </c>
      <c r="G2" s="7" t="n">
        <v>736</v>
      </c>
      <c r="H2" s="7" t="n">
        <v>434</v>
      </c>
      <c r="I2" s="7" t="n">
        <v>2306</v>
      </c>
      <c r="J2" s="7" t="inlineStr">
        <is>
          <t>sdk_usage_metadata</t>
        </is>
      </c>
      <c r="K2" s="7" t="inlineStr">
        <is>
          <t>success</t>
        </is>
      </c>
      <c r="L2" s="7" t="inlineStr"/>
      <c r="M2" s="7" t="n">
        <v>1</v>
      </c>
    </row>
    <row r="3" ht="34" customHeight="1">
      <c r="A3" s="7" t="n">
        <v>2</v>
      </c>
      <c r="B3" s="7" t="inlineStr">
        <is>
          <t>2026-07-30T19:03:22Z</t>
        </is>
      </c>
      <c r="C3" s="7" t="inlineStr">
        <is>
          <t>vlm_free</t>
        </is>
      </c>
      <c r="D3" s="7" t="inlineStr">
        <is>
          <t>vlm_free_scoring</t>
        </is>
      </c>
      <c r="E3" s="7" t="n">
        <v>0</v>
      </c>
      <c r="F3" s="7" t="inlineStr">
        <is>
          <t>gemini-3.5-flash</t>
        </is>
      </c>
      <c r="G3" s="7" t="n">
        <v>728</v>
      </c>
      <c r="H3" s="7" t="n">
        <v>112</v>
      </c>
      <c r="I3" s="7" t="n">
        <v>1681</v>
      </c>
      <c r="J3" s="7" t="inlineStr">
        <is>
          <t>sdk_usage_metadata</t>
        </is>
      </c>
      <c r="K3" s="7" t="inlineStr">
        <is>
          <t>success</t>
        </is>
      </c>
      <c r="L3" s="7" t="inlineStr"/>
      <c r="M3" s="7" t="n">
        <v>2</v>
      </c>
    </row>
    <row r="4" ht="34" customHeight="1">
      <c r="A4" s="7" t="n">
        <v>3</v>
      </c>
      <c r="B4" s="7" t="inlineStr">
        <is>
          <t>2026-07-30T19:03:28Z</t>
        </is>
      </c>
      <c r="C4" s="7" t="inlineStr">
        <is>
          <t>common</t>
        </is>
      </c>
      <c r="D4" s="7" t="inlineStr">
        <is>
          <t>guided_descriptive_prompt</t>
        </is>
      </c>
      <c r="E4" s="7" t="n">
        <v>0</v>
      </c>
      <c r="F4" s="7" t="inlineStr">
        <is>
          <t>gemini-3.5-flash</t>
        </is>
      </c>
      <c r="G4" s="7" t="n">
        <v>576</v>
      </c>
      <c r="H4" s="7" t="n">
        <v>269</v>
      </c>
      <c r="I4" s="7" t="n">
        <v>1917</v>
      </c>
      <c r="J4" s="7" t="inlineStr">
        <is>
          <t>sdk_usage_metadata</t>
        </is>
      </c>
      <c r="K4" s="7" t="inlineStr">
        <is>
          <t>success</t>
        </is>
      </c>
      <c r="L4" s="7" t="inlineStr"/>
      <c r="M4" s="7" t="n">
        <v>1</v>
      </c>
    </row>
    <row r="5" ht="34" customHeight="1">
      <c r="A5" s="7" t="n">
        <v>4</v>
      </c>
      <c r="B5" s="7" t="inlineStr">
        <is>
          <t>2026-07-30T19:03:36Z</t>
        </is>
      </c>
      <c r="C5" s="7" t="inlineStr">
        <is>
          <t>common</t>
        </is>
      </c>
      <c r="D5" s="7" t="inlineStr">
        <is>
          <t>guided_question_set</t>
        </is>
      </c>
      <c r="E5" s="7" t="n">
        <v>0</v>
      </c>
      <c r="F5" s="7" t="inlineStr">
        <is>
          <t>gemini-3.5-flash</t>
        </is>
      </c>
      <c r="G5" s="7" t="n">
        <v>1747</v>
      </c>
      <c r="H5" s="7" t="n">
        <v>352</v>
      </c>
      <c r="I5" s="7" t="n">
        <v>3344</v>
      </c>
      <c r="J5" s="7" t="inlineStr">
        <is>
          <t>sdk_usage_metadata</t>
        </is>
      </c>
      <c r="K5" s="7" t="inlineStr">
        <is>
          <t>success</t>
        </is>
      </c>
      <c r="L5" s="7" t="inlineStr"/>
      <c r="M5" s="7" t="n">
        <v>2</v>
      </c>
    </row>
    <row r="6" ht="34" customHeight="1">
      <c r="A6" s="7" t="n">
        <v>5</v>
      </c>
      <c r="B6" s="7" t="inlineStr">
        <is>
          <t>2026-07-30T19:03:42Z</t>
        </is>
      </c>
      <c r="C6" s="7" t="inlineStr">
        <is>
          <t>common</t>
        </is>
      </c>
      <c r="D6" s="7" t="inlineStr">
        <is>
          <t>guided_causal_engine</t>
        </is>
      </c>
      <c r="E6" s="7" t="n">
        <v>0</v>
      </c>
      <c r="F6" s="7" t="inlineStr">
        <is>
          <t>gemini-3.5-flash</t>
        </is>
      </c>
      <c r="G6" s="7" t="n">
        <v>904</v>
      </c>
      <c r="H6" s="7" t="n">
        <v>229</v>
      </c>
      <c r="I6" s="7" t="n">
        <v>2022</v>
      </c>
      <c r="J6" s="7" t="inlineStr">
        <is>
          <t>sdk_usage_metadata</t>
        </is>
      </c>
      <c r="K6" s="7" t="inlineStr">
        <is>
          <t>success</t>
        </is>
      </c>
      <c r="L6" s="7" t="inlineStr"/>
      <c r="M6" s="7" t="n">
        <v>3</v>
      </c>
    </row>
    <row r="7" ht="34" customHeight="1">
      <c r="A7" s="7" t="n">
        <v>6</v>
      </c>
      <c r="B7" s="7" t="inlineStr">
        <is>
          <t>2026-07-30T19:03:49Z</t>
        </is>
      </c>
      <c r="C7" s="7" t="inlineStr">
        <is>
          <t>common</t>
        </is>
      </c>
      <c r="D7" s="7" t="inlineStr">
        <is>
          <t>guided_causal_engine</t>
        </is>
      </c>
      <c r="E7" s="7" t="n">
        <v>0</v>
      </c>
      <c r="F7" s="7" t="inlineStr">
        <is>
          <t>gemini-3.5-flash</t>
        </is>
      </c>
      <c r="G7" s="7" t="n">
        <v>904</v>
      </c>
      <c r="H7" s="7" t="n">
        <v>186</v>
      </c>
      <c r="I7" s="7" t="n">
        <v>2026</v>
      </c>
      <c r="J7" s="7" t="inlineStr">
        <is>
          <t>sdk_usage_metadata</t>
        </is>
      </c>
      <c r="K7" s="7" t="inlineStr">
        <is>
          <t>success</t>
        </is>
      </c>
      <c r="L7" s="7" t="inlineStr"/>
      <c r="M7" s="7" t="n">
        <v>4</v>
      </c>
    </row>
    <row r="8" ht="34" customHeight="1">
      <c r="A8" s="7" t="n">
        <v>7</v>
      </c>
      <c r="B8" s="7" t="inlineStr">
        <is>
          <t>2026-07-30T19:03:54Z</t>
        </is>
      </c>
      <c r="C8" s="7" t="inlineStr">
        <is>
          <t>vlm_guided</t>
        </is>
      </c>
      <c r="D8" s="7" t="inlineStr">
        <is>
          <t>vlm_guided_scoring</t>
        </is>
      </c>
      <c r="E8" s="7" t="n">
        <v>0</v>
      </c>
      <c r="F8" s="7" t="inlineStr">
        <is>
          <t>gemini-3.5-flash</t>
        </is>
      </c>
      <c r="G8" s="7" t="n">
        <v>1076</v>
      </c>
      <c r="H8" s="7" t="n">
        <v>89</v>
      </c>
      <c r="I8" s="7" t="n">
        <v>1987</v>
      </c>
      <c r="J8" s="7" t="inlineStr">
        <is>
          <t>sdk_usage_metadata</t>
        </is>
      </c>
      <c r="K8" s="7" t="inlineStr">
        <is>
          <t>success</t>
        </is>
      </c>
      <c r="L8" s="7" t="inlineStr"/>
      <c r="M8" s="7" t="n">
        <v>1</v>
      </c>
    </row>
    <row r="9" ht="34" customHeight="1">
      <c r="A9" s="7" t="n">
        <v>8</v>
      </c>
      <c r="B9" s="7" t="inlineStr">
        <is>
          <t>2026-07-30T19:04:13Z</t>
        </is>
      </c>
      <c r="C9" s="7" t="inlineStr">
        <is>
          <t>vlm_free</t>
        </is>
      </c>
      <c r="D9" s="7" t="inlineStr">
        <is>
          <t>vlm_free_descriptive_causal</t>
        </is>
      </c>
      <c r="E9" s="7" t="n">
        <v>1</v>
      </c>
      <c r="F9" s="7" t="inlineStr">
        <is>
          <t>gemini-3.5-flash</t>
        </is>
      </c>
      <c r="G9" s="7" t="n">
        <v>736</v>
      </c>
      <c r="H9" s="7" t="n">
        <v>710</v>
      </c>
      <c r="I9" s="7" t="n">
        <v>3053</v>
      </c>
      <c r="J9" s="7" t="inlineStr">
        <is>
          <t>sdk_usage_metadata</t>
        </is>
      </c>
      <c r="K9" s="7" t="inlineStr">
        <is>
          <t>success</t>
        </is>
      </c>
      <c r="L9" s="7" t="inlineStr"/>
      <c r="M9" s="7" t="n">
        <v>3</v>
      </c>
    </row>
    <row r="10" ht="34" customHeight="1">
      <c r="A10" s="7" t="n">
        <v>9</v>
      </c>
      <c r="B10" s="7" t="inlineStr">
        <is>
          <t>2026-07-30T19:04:19Z</t>
        </is>
      </c>
      <c r="C10" s="7" t="inlineStr">
        <is>
          <t>vlm_free</t>
        </is>
      </c>
      <c r="D10" s="7" t="inlineStr">
        <is>
          <t>vlm_free_scoring</t>
        </is>
      </c>
      <c r="E10" s="7" t="n">
        <v>1</v>
      </c>
      <c r="F10" s="7" t="inlineStr">
        <is>
          <t>gemini-3.5-flash</t>
        </is>
      </c>
      <c r="G10" s="7" t="n">
        <v>1064</v>
      </c>
      <c r="H10" s="7" t="n">
        <v>126</v>
      </c>
      <c r="I10" s="7" t="n">
        <v>2124</v>
      </c>
      <c r="J10" s="7" t="inlineStr">
        <is>
          <t>sdk_usage_metadata</t>
        </is>
      </c>
      <c r="K10" s="7" t="inlineStr">
        <is>
          <t>success</t>
        </is>
      </c>
      <c r="L10" s="7" t="inlineStr"/>
      <c r="M10" s="7" t="n">
        <v>4</v>
      </c>
    </row>
    <row r="11" ht="34" customHeight="1">
      <c r="A11" s="7" t="n">
        <v>10</v>
      </c>
      <c r="B11" s="7" t="inlineStr">
        <is>
          <t>2026-07-30T19:04:25Z</t>
        </is>
      </c>
      <c r="C11" s="7" t="inlineStr">
        <is>
          <t>vlm_free</t>
        </is>
      </c>
      <c r="D11" s="7" t="inlineStr">
        <is>
          <t>vlm_free_scoring</t>
        </is>
      </c>
      <c r="E11" s="7" t="n">
        <v>1</v>
      </c>
      <c r="F11" s="7" t="inlineStr">
        <is>
          <t>gemini-3.5-flash</t>
        </is>
      </c>
      <c r="G11" s="7" t="n">
        <v>1064</v>
      </c>
      <c r="H11" s="7" t="n">
        <v>149</v>
      </c>
      <c r="I11" s="7" t="n">
        <v>2052</v>
      </c>
      <c r="J11" s="7" t="inlineStr">
        <is>
          <t>sdk_usage_metadata</t>
        </is>
      </c>
      <c r="K11" s="7" t="inlineStr">
        <is>
          <t>success</t>
        </is>
      </c>
      <c r="L11" s="7" t="inlineStr"/>
      <c r="M11" s="7" t="n">
        <v>5</v>
      </c>
    </row>
    <row r="12" ht="34" customHeight="1">
      <c r="A12" s="7" t="n">
        <v>11</v>
      </c>
      <c r="B12" s="7" t="inlineStr">
        <is>
          <t>2026-07-30T19:04:33Z</t>
        </is>
      </c>
      <c r="C12" s="7" t="inlineStr">
        <is>
          <t>common</t>
        </is>
      </c>
      <c r="D12" s="7" t="inlineStr">
        <is>
          <t>guided_descriptive_prompt</t>
        </is>
      </c>
      <c r="E12" s="7" t="n">
        <v>1</v>
      </c>
      <c r="F12" s="7" t="inlineStr">
        <is>
          <t>gemini-3.5-flash</t>
        </is>
      </c>
      <c r="G12" s="7" t="n">
        <v>576</v>
      </c>
      <c r="H12" s="7" t="n">
        <v>397</v>
      </c>
      <c r="I12" s="7" t="n">
        <v>2097</v>
      </c>
      <c r="J12" s="7" t="inlineStr">
        <is>
          <t>sdk_usage_metadata</t>
        </is>
      </c>
      <c r="K12" s="7" t="inlineStr">
        <is>
          <t>success</t>
        </is>
      </c>
      <c r="L12" s="7" t="inlineStr"/>
      <c r="M12" s="7" t="n">
        <v>5</v>
      </c>
    </row>
    <row r="13" ht="34" customHeight="1">
      <c r="A13" s="7" t="n">
        <v>12</v>
      </c>
      <c r="B13" s="7" t="inlineStr">
        <is>
          <t>2026-07-30T19:04:40Z</t>
        </is>
      </c>
      <c r="C13" s="7" t="inlineStr">
        <is>
          <t>common</t>
        </is>
      </c>
      <c r="D13" s="7" t="inlineStr">
        <is>
          <t>guided_question_set</t>
        </is>
      </c>
      <c r="E13" s="7" t="n">
        <v>1</v>
      </c>
      <c r="F13" s="7" t="inlineStr">
        <is>
          <t>gemini-3.5-flash</t>
        </is>
      </c>
      <c r="G13" s="7" t="n">
        <v>1875</v>
      </c>
      <c r="H13" s="7" t="n">
        <v>338</v>
      </c>
      <c r="I13" s="7" t="n">
        <v>3412</v>
      </c>
      <c r="J13" s="7" t="inlineStr">
        <is>
          <t>sdk_usage_metadata</t>
        </is>
      </c>
      <c r="K13" s="7" t="inlineStr">
        <is>
          <t>success</t>
        </is>
      </c>
      <c r="L13" s="7" t="inlineStr"/>
      <c r="M13" s="7" t="n">
        <v>6</v>
      </c>
    </row>
    <row r="14" ht="34" customHeight="1">
      <c r="A14" s="7" t="n">
        <v>13</v>
      </c>
      <c r="B14" s="7" t="inlineStr">
        <is>
          <t>2026-07-30T19:04:46Z</t>
        </is>
      </c>
      <c r="C14" s="7" t="inlineStr">
        <is>
          <t>common</t>
        </is>
      </c>
      <c r="D14" s="7" t="inlineStr">
        <is>
          <t>guided_causal_engine</t>
        </is>
      </c>
      <c r="E14" s="7" t="n">
        <v>1</v>
      </c>
      <c r="F14" s="7" t="inlineStr">
        <is>
          <t>gemini-3.5-flash</t>
        </is>
      </c>
      <c r="G14" s="7" t="n">
        <v>1018</v>
      </c>
      <c r="H14" s="7" t="n">
        <v>230</v>
      </c>
      <c r="I14" s="7" t="n">
        <v>2154</v>
      </c>
      <c r="J14" s="7" t="inlineStr">
        <is>
          <t>sdk_usage_metadata</t>
        </is>
      </c>
      <c r="K14" s="7" t="inlineStr">
        <is>
          <t>success</t>
        </is>
      </c>
      <c r="L14" s="7" t="inlineStr"/>
      <c r="M14" s="7" t="n">
        <v>7</v>
      </c>
    </row>
    <row r="15" ht="34" customHeight="1">
      <c r="A15" s="7" t="n">
        <v>14</v>
      </c>
      <c r="B15" s="7" t="inlineStr">
        <is>
          <t>2026-07-30T19:04:50Z</t>
        </is>
      </c>
      <c r="C15" s="7" t="inlineStr">
        <is>
          <t>vlm_guided</t>
        </is>
      </c>
      <c r="D15" s="7" t="inlineStr">
        <is>
          <t>vlm_guided_scoring</t>
        </is>
      </c>
      <c r="E15" s="7" t="n">
        <v>1</v>
      </c>
      <c r="F15" s="7" t="inlineStr">
        <is>
          <t>gemini-3.5-flash</t>
        </is>
      </c>
      <c r="G15" s="7" t="n">
        <v>1235</v>
      </c>
      <c r="H15" s="7" t="n">
        <v>97</v>
      </c>
      <c r="I15" s="7" t="n">
        <v>2027</v>
      </c>
      <c r="J15" s="7" t="inlineStr">
        <is>
          <t>sdk_usage_metadata</t>
        </is>
      </c>
      <c r="K15" s="7" t="inlineStr">
        <is>
          <t>success</t>
        </is>
      </c>
      <c r="L15" s="7" t="inlineStr"/>
      <c r="M15" s="7" t="n">
        <v>2</v>
      </c>
    </row>
    <row r="16" ht="34" customHeight="1">
      <c r="A16" s="7" t="n">
        <v>15</v>
      </c>
      <c r="B16" s="7" t="inlineStr">
        <is>
          <t>2026-07-30T19:05:06Z</t>
        </is>
      </c>
      <c r="C16" s="7" t="inlineStr">
        <is>
          <t>vlm_free</t>
        </is>
      </c>
      <c r="D16" s="7" t="inlineStr">
        <is>
          <t>vlm_free_descriptive_causal</t>
        </is>
      </c>
      <c r="E16" s="7" t="n">
        <v>2</v>
      </c>
      <c r="F16" s="7" t="inlineStr">
        <is>
          <t>gemini-3.5-flash</t>
        </is>
      </c>
      <c r="G16" s="7" t="n">
        <v>736</v>
      </c>
      <c r="H16" s="7" t="n">
        <v>403</v>
      </c>
      <c r="I16" s="7" t="n">
        <v>2196</v>
      </c>
      <c r="J16" s="7" t="inlineStr">
        <is>
          <t>sdk_usage_metadata</t>
        </is>
      </c>
      <c r="K16" s="7" t="inlineStr">
        <is>
          <t>success</t>
        </is>
      </c>
      <c r="L16" s="7" t="inlineStr"/>
      <c r="M16" s="7" t="n">
        <v>6</v>
      </c>
    </row>
    <row r="17" ht="34" customHeight="1">
      <c r="A17" s="7" t="n">
        <v>16</v>
      </c>
      <c r="B17" s="7" t="inlineStr">
        <is>
          <t>2026-07-30T19:05:11Z</t>
        </is>
      </c>
      <c r="C17" s="7" t="inlineStr">
        <is>
          <t>vlm_free</t>
        </is>
      </c>
      <c r="D17" s="7" t="inlineStr">
        <is>
          <t>vlm_free_scoring</t>
        </is>
      </c>
      <c r="E17" s="7" t="n">
        <v>2</v>
      </c>
      <c r="F17" s="7" t="inlineStr">
        <is>
          <t>gemini-3.5-flash</t>
        </is>
      </c>
      <c r="G17" s="7" t="n">
        <v>696</v>
      </c>
      <c r="H17" s="7" t="n">
        <v>136</v>
      </c>
      <c r="I17" s="7" t="n">
        <v>1552</v>
      </c>
      <c r="J17" s="7" t="inlineStr">
        <is>
          <t>sdk_usage_metadata</t>
        </is>
      </c>
      <c r="K17" s="7" t="inlineStr">
        <is>
          <t>success</t>
        </is>
      </c>
      <c r="L17" s="7" t="inlineStr"/>
      <c r="M17" s="7" t="n">
        <v>7</v>
      </c>
    </row>
    <row r="18" ht="34" customHeight="1">
      <c r="A18" s="7" t="n">
        <v>17</v>
      </c>
      <c r="B18" s="7" t="inlineStr">
        <is>
          <t>2026-07-30T19:05:17Z</t>
        </is>
      </c>
      <c r="C18" s="7" t="inlineStr">
        <is>
          <t>common</t>
        </is>
      </c>
      <c r="D18" s="7" t="inlineStr">
        <is>
          <t>guided_descriptive_prompt</t>
        </is>
      </c>
      <c r="E18" s="7" t="n">
        <v>2</v>
      </c>
      <c r="F18" s="7" t="inlineStr">
        <is>
          <t>gemini-3.5-flash</t>
        </is>
      </c>
      <c r="G18" s="7" t="n">
        <v>576</v>
      </c>
      <c r="H18" s="7" t="n">
        <v>386</v>
      </c>
      <c r="I18" s="7" t="n">
        <v>1863</v>
      </c>
      <c r="J18" s="7" t="inlineStr">
        <is>
          <t>sdk_usage_metadata</t>
        </is>
      </c>
      <c r="K18" s="7" t="inlineStr">
        <is>
          <t>success</t>
        </is>
      </c>
      <c r="L18" s="7" t="inlineStr"/>
      <c r="M18" s="7" t="n">
        <v>8</v>
      </c>
    </row>
    <row r="19" ht="34" customHeight="1">
      <c r="A19" s="7" t="n">
        <v>18</v>
      </c>
      <c r="B19" s="7" t="inlineStr">
        <is>
          <t>2026-07-30T19:05:26Z</t>
        </is>
      </c>
      <c r="C19" s="7" t="inlineStr">
        <is>
          <t>common</t>
        </is>
      </c>
      <c r="D19" s="7" t="inlineStr">
        <is>
          <t>guided_question_set</t>
        </is>
      </c>
      <c r="E19" s="7" t="n">
        <v>2</v>
      </c>
      <c r="F19" s="7" t="inlineStr">
        <is>
          <t>gemini-3.5-flash</t>
        </is>
      </c>
      <c r="G19" s="7" t="n">
        <v>1864</v>
      </c>
      <c r="H19" s="7" t="n">
        <v>358</v>
      </c>
      <c r="I19" s="7" t="n">
        <v>3619</v>
      </c>
      <c r="J19" s="7" t="inlineStr">
        <is>
          <t>sdk_usage_metadata</t>
        </is>
      </c>
      <c r="K19" s="7" t="inlineStr">
        <is>
          <t>success</t>
        </is>
      </c>
      <c r="L19" s="7" t="inlineStr"/>
      <c r="M19" s="7" t="n">
        <v>9</v>
      </c>
    </row>
    <row r="20" ht="34" customHeight="1">
      <c r="A20" s="7" t="n">
        <v>19</v>
      </c>
      <c r="B20" s="7" t="inlineStr">
        <is>
          <t>2026-07-30T19:05:35Z</t>
        </is>
      </c>
      <c r="C20" s="7" t="inlineStr">
        <is>
          <t>common</t>
        </is>
      </c>
      <c r="D20" s="7" t="inlineStr">
        <is>
          <t>guided_question_set</t>
        </is>
      </c>
      <c r="E20" s="7" t="n">
        <v>2</v>
      </c>
      <c r="F20" s="7" t="inlineStr">
        <is>
          <t>gemini-3.5-flash</t>
        </is>
      </c>
      <c r="G20" s="7" t="n">
        <v>1864</v>
      </c>
      <c r="H20" s="7" t="n">
        <v>351</v>
      </c>
      <c r="I20" s="7" t="n">
        <v>3420</v>
      </c>
      <c r="J20" s="7" t="inlineStr">
        <is>
          <t>sdk_usage_metadata</t>
        </is>
      </c>
      <c r="K20" s="7" t="inlineStr">
        <is>
          <t>success</t>
        </is>
      </c>
      <c r="L20" s="7" t="inlineStr"/>
      <c r="M20" s="7" t="n">
        <v>10</v>
      </c>
    </row>
    <row r="21" ht="34" customHeight="1">
      <c r="A21" s="7" t="n">
        <v>20</v>
      </c>
      <c r="B21" s="7" t="inlineStr">
        <is>
          <t>2026-07-30T19:05:44Z</t>
        </is>
      </c>
      <c r="C21" s="7" t="inlineStr">
        <is>
          <t>common</t>
        </is>
      </c>
      <c r="D21" s="7" t="inlineStr">
        <is>
          <t>guided_question_set</t>
        </is>
      </c>
      <c r="E21" s="7" t="n">
        <v>2</v>
      </c>
      <c r="F21" s="7" t="inlineStr">
        <is>
          <t>gemini-3.5-flash</t>
        </is>
      </c>
      <c r="G21" s="7" t="n">
        <v>1864</v>
      </c>
      <c r="H21" s="7" t="n">
        <v>358</v>
      </c>
      <c r="I21" s="7" t="n">
        <v>3486</v>
      </c>
      <c r="J21" s="7" t="inlineStr">
        <is>
          <t>sdk_usage_metadata</t>
        </is>
      </c>
      <c r="K21" s="7" t="inlineStr">
        <is>
          <t>success</t>
        </is>
      </c>
      <c r="L21" s="7" t="inlineStr"/>
      <c r="M21" s="7" t="n">
        <v>11</v>
      </c>
    </row>
    <row r="22" ht="34" customHeight="1">
      <c r="A22" s="7" t="n">
        <v>21</v>
      </c>
      <c r="B22" s="7" t="inlineStr">
        <is>
          <t>2026-07-30T19:05:55Z</t>
        </is>
      </c>
      <c r="C22" s="7" t="inlineStr">
        <is>
          <t>common</t>
        </is>
      </c>
      <c r="D22" s="7" t="inlineStr">
        <is>
          <t>guided_question_set</t>
        </is>
      </c>
      <c r="E22" s="7" t="n">
        <v>2</v>
      </c>
      <c r="F22" s="7" t="inlineStr">
        <is>
          <t>gemini-3.5-flash</t>
        </is>
      </c>
      <c r="G22" s="7" t="n">
        <v>1864</v>
      </c>
      <c r="H22" s="7" t="n">
        <v>408</v>
      </c>
      <c r="I22" s="7" t="n">
        <v>3689</v>
      </c>
      <c r="J22" s="7" t="inlineStr">
        <is>
          <t>sdk_usage_metadata</t>
        </is>
      </c>
      <c r="K22" s="7" t="inlineStr">
        <is>
          <t>success</t>
        </is>
      </c>
      <c r="L22" s="7" t="inlineStr"/>
      <c r="M22" s="7" t="n">
        <v>12</v>
      </c>
    </row>
    <row r="23" ht="34" customHeight="1">
      <c r="A23" s="7" t="n">
        <v>22</v>
      </c>
      <c r="B23" s="7" t="inlineStr">
        <is>
          <t>2026-07-30T19:06:01Z</t>
        </is>
      </c>
      <c r="C23" s="7" t="inlineStr">
        <is>
          <t>common</t>
        </is>
      </c>
      <c r="D23" s="7" t="inlineStr">
        <is>
          <t>guided_causal_engine</t>
        </is>
      </c>
      <c r="E23" s="7" t="n">
        <v>2</v>
      </c>
      <c r="F23" s="7" t="inlineStr">
        <is>
          <t>gemini-3.5-flash</t>
        </is>
      </c>
      <c r="G23" s="7" t="n">
        <v>1076</v>
      </c>
      <c r="H23" s="7" t="n">
        <v>227</v>
      </c>
      <c r="I23" s="7" t="n">
        <v>2321</v>
      </c>
      <c r="J23" s="7" t="inlineStr">
        <is>
          <t>sdk_usage_metadata</t>
        </is>
      </c>
      <c r="K23" s="7" t="inlineStr">
        <is>
          <t>success</t>
        </is>
      </c>
      <c r="L23" s="7" t="inlineStr"/>
      <c r="M23" s="7" t="n">
        <v>13</v>
      </c>
    </row>
    <row r="24" ht="34" customHeight="1">
      <c r="A24" s="7" t="n">
        <v>23</v>
      </c>
      <c r="B24" s="7" t="inlineStr">
        <is>
          <t>2026-07-30T19:06:05Z</t>
        </is>
      </c>
      <c r="C24" s="7" t="inlineStr">
        <is>
          <t>vlm_guided</t>
        </is>
      </c>
      <c r="D24" s="7" t="inlineStr">
        <is>
          <t>vlm_guided_scoring</t>
        </is>
      </c>
      <c r="E24" s="7" t="n">
        <v>2</v>
      </c>
      <c r="F24" s="7" t="inlineStr">
        <is>
          <t>gemini-3.5-flash</t>
        </is>
      </c>
      <c r="G24" s="7" t="n">
        <v>1290</v>
      </c>
      <c r="H24" s="7" t="n">
        <v>96</v>
      </c>
      <c r="I24" s="7" t="n">
        <v>2209</v>
      </c>
      <c r="J24" s="7" t="inlineStr">
        <is>
          <t>sdk_usage_metadata</t>
        </is>
      </c>
      <c r="K24" s="7" t="inlineStr">
        <is>
          <t>success</t>
        </is>
      </c>
      <c r="L24" s="7" t="inlineStr"/>
      <c r="M24" s="7" t="n">
        <v>3</v>
      </c>
    </row>
    <row r="25" ht="34" customHeight="1">
      <c r="A25" s="7" t="n">
        <v>24</v>
      </c>
      <c r="B25" s="7" t="inlineStr">
        <is>
          <t>2026-07-30T19:06:11Z</t>
        </is>
      </c>
      <c r="C25" s="7" t="inlineStr">
        <is>
          <t>vlm_guided</t>
        </is>
      </c>
      <c r="D25" s="7" t="inlineStr">
        <is>
          <t>vlm_guided_scoring</t>
        </is>
      </c>
      <c r="E25" s="7" t="n">
        <v>2</v>
      </c>
      <c r="F25" s="7" t="inlineStr">
        <is>
          <t>gemini-3.5-flash</t>
        </is>
      </c>
      <c r="G25" s="7" t="n">
        <v>1290</v>
      </c>
      <c r="H25" s="7" t="n">
        <v>106</v>
      </c>
      <c r="I25" s="7" t="n">
        <v>2245</v>
      </c>
      <c r="J25" s="7" t="inlineStr">
        <is>
          <t>sdk_usage_metadata</t>
        </is>
      </c>
      <c r="K25" s="7" t="inlineStr">
        <is>
          <t>success</t>
        </is>
      </c>
      <c r="L25" s="7" t="inlineStr"/>
      <c r="M25" s="7" t="n">
        <v>4</v>
      </c>
    </row>
    <row r="26" ht="34" customHeight="1">
      <c r="A26" s="7" t="n">
        <v>25</v>
      </c>
      <c r="B26" s="7" t="inlineStr">
        <is>
          <t>2026-07-30T19:06:30Z</t>
        </is>
      </c>
      <c r="C26" s="7" t="inlineStr">
        <is>
          <t>vlm_free</t>
        </is>
      </c>
      <c r="D26" s="7" t="inlineStr">
        <is>
          <t>vlm_free_descriptive_causal</t>
        </is>
      </c>
      <c r="E26" s="7" t="n">
        <v>3</v>
      </c>
      <c r="F26" s="7" t="inlineStr">
        <is>
          <t>gemini-3.5-flash</t>
        </is>
      </c>
      <c r="G26" s="7" t="n">
        <v>737</v>
      </c>
      <c r="H26" s="7" t="n">
        <v>677</v>
      </c>
      <c r="I26" s="7" t="n">
        <v>2985</v>
      </c>
      <c r="J26" s="7" t="inlineStr">
        <is>
          <t>sdk_usage_metadata</t>
        </is>
      </c>
      <c r="K26" s="7" t="inlineStr">
        <is>
          <t>success</t>
        </is>
      </c>
      <c r="L26" s="7" t="inlineStr"/>
      <c r="M26" s="7" t="n">
        <v>8</v>
      </c>
    </row>
    <row r="27" ht="34" customHeight="1">
      <c r="A27" s="7" t="n">
        <v>26</v>
      </c>
      <c r="B27" s="7" t="inlineStr">
        <is>
          <t>2026-07-30T19:06:36Z</t>
        </is>
      </c>
      <c r="C27" s="7" t="inlineStr">
        <is>
          <t>vlm_free</t>
        </is>
      </c>
      <c r="D27" s="7" t="inlineStr">
        <is>
          <t>vlm_free_scoring</t>
        </is>
      </c>
      <c r="E27" s="7" t="n">
        <v>3</v>
      </c>
      <c r="F27" s="7" t="inlineStr">
        <is>
          <t>gemini-3.5-flash</t>
        </is>
      </c>
      <c r="G27" s="7" t="n">
        <v>1013</v>
      </c>
      <c r="H27" s="7" t="n">
        <v>163</v>
      </c>
      <c r="I27" s="7" t="n">
        <v>2178</v>
      </c>
      <c r="J27" s="7" t="inlineStr">
        <is>
          <t>sdk_usage_metadata</t>
        </is>
      </c>
      <c r="K27" s="7" t="inlineStr">
        <is>
          <t>success</t>
        </is>
      </c>
      <c r="L27" s="7" t="inlineStr"/>
      <c r="M27" s="7" t="n">
        <v>9</v>
      </c>
    </row>
    <row r="28" ht="34" customHeight="1">
      <c r="A28" s="7" t="n">
        <v>27</v>
      </c>
      <c r="B28" s="7" t="inlineStr">
        <is>
          <t>2026-07-30T19:06:43Z</t>
        </is>
      </c>
      <c r="C28" s="7" t="inlineStr">
        <is>
          <t>common</t>
        </is>
      </c>
      <c r="D28" s="7" t="inlineStr">
        <is>
          <t>guided_descriptive_prompt</t>
        </is>
      </c>
      <c r="E28" s="7" t="n">
        <v>3</v>
      </c>
      <c r="F28" s="7" t="inlineStr">
        <is>
          <t>gemini-3.5-flash</t>
        </is>
      </c>
      <c r="G28" s="7" t="n">
        <v>577</v>
      </c>
      <c r="H28" s="7" t="n">
        <v>340</v>
      </c>
      <c r="I28" s="7" t="n">
        <v>1909</v>
      </c>
      <c r="J28" s="7" t="inlineStr">
        <is>
          <t>sdk_usage_metadata</t>
        </is>
      </c>
      <c r="K28" s="7" t="inlineStr">
        <is>
          <t>success</t>
        </is>
      </c>
      <c r="L28" s="7" t="inlineStr"/>
      <c r="M28" s="7" t="n">
        <v>14</v>
      </c>
    </row>
    <row r="29" ht="34" customHeight="1">
      <c r="A29" s="7" t="n">
        <v>28</v>
      </c>
      <c r="B29" s="7" t="inlineStr">
        <is>
          <t>2026-07-30T19:06:52Z</t>
        </is>
      </c>
      <c r="C29" s="7" t="inlineStr">
        <is>
          <t>common</t>
        </is>
      </c>
      <c r="D29" s="7" t="inlineStr">
        <is>
          <t>guided_question_set</t>
        </is>
      </c>
      <c r="E29" s="7" t="n">
        <v>3</v>
      </c>
      <c r="F29" s="7" t="inlineStr">
        <is>
          <t>gemini-3.5-flash</t>
        </is>
      </c>
      <c r="G29" s="7" t="n">
        <v>1819</v>
      </c>
      <c r="H29" s="7" t="n">
        <v>353</v>
      </c>
      <c r="I29" s="7" t="n">
        <v>3706</v>
      </c>
      <c r="J29" s="7" t="inlineStr">
        <is>
          <t>sdk_usage_metadata</t>
        </is>
      </c>
      <c r="K29" s="7" t="inlineStr">
        <is>
          <t>success</t>
        </is>
      </c>
      <c r="L29" s="7" t="inlineStr"/>
      <c r="M29" s="7" t="n">
        <v>15</v>
      </c>
    </row>
    <row r="30" ht="34" customHeight="1">
      <c r="A30" s="7" t="n">
        <v>29</v>
      </c>
      <c r="B30" s="7" t="inlineStr">
        <is>
          <t>2026-07-30T19:06:59Z</t>
        </is>
      </c>
      <c r="C30" s="7" t="inlineStr">
        <is>
          <t>common</t>
        </is>
      </c>
      <c r="D30" s="7" t="inlineStr">
        <is>
          <t>guided_causal_engine</t>
        </is>
      </c>
      <c r="E30" s="7" t="n">
        <v>3</v>
      </c>
      <c r="F30" s="7" t="inlineStr">
        <is>
          <t>gemini-3.5-flash</t>
        </is>
      </c>
      <c r="G30" s="7" t="n">
        <v>976</v>
      </c>
      <c r="H30" s="7" t="n">
        <v>217</v>
      </c>
      <c r="I30" s="7" t="n">
        <v>2334</v>
      </c>
      <c r="J30" s="7" t="inlineStr">
        <is>
          <t>sdk_usage_metadata</t>
        </is>
      </c>
      <c r="K30" s="7" t="inlineStr">
        <is>
          <t>success</t>
        </is>
      </c>
      <c r="L30" s="7" t="inlineStr"/>
      <c r="M30" s="7" t="n">
        <v>16</v>
      </c>
    </row>
    <row r="31" ht="34" customHeight="1">
      <c r="A31" s="7" t="n">
        <v>30</v>
      </c>
      <c r="B31" s="7" t="inlineStr">
        <is>
          <t>2026-07-30T19:07:05Z</t>
        </is>
      </c>
      <c r="C31" s="7" t="inlineStr">
        <is>
          <t>common</t>
        </is>
      </c>
      <c r="D31" s="7" t="inlineStr">
        <is>
          <t>guided_causal_engine</t>
        </is>
      </c>
      <c r="E31" s="7" t="n">
        <v>3</v>
      </c>
      <c r="F31" s="7" t="inlineStr">
        <is>
          <t>gemini-3.5-flash</t>
        </is>
      </c>
      <c r="G31" s="7" t="n">
        <v>976</v>
      </c>
      <c r="H31" s="7" t="n">
        <v>203</v>
      </c>
      <c r="I31" s="7" t="n">
        <v>2078</v>
      </c>
      <c r="J31" s="7" t="inlineStr">
        <is>
          <t>sdk_usage_metadata</t>
        </is>
      </c>
      <c r="K31" s="7" t="inlineStr">
        <is>
          <t>success</t>
        </is>
      </c>
      <c r="L31" s="7" t="inlineStr"/>
      <c r="M31" s="7" t="n">
        <v>17</v>
      </c>
    </row>
    <row r="32" ht="34" customHeight="1">
      <c r="A32" s="7" t="n">
        <v>31</v>
      </c>
      <c r="B32" s="7" t="inlineStr">
        <is>
          <t>2026-07-30T19:07:10Z</t>
        </is>
      </c>
      <c r="C32" s="7" t="inlineStr">
        <is>
          <t>vlm_guided</t>
        </is>
      </c>
      <c r="D32" s="7" t="inlineStr">
        <is>
          <t>vlm_guided_scoring</t>
        </is>
      </c>
      <c r="E32" s="7" t="n">
        <v>3</v>
      </c>
      <c r="F32" s="7" t="inlineStr">
        <is>
          <t>gemini-3.5-flash</t>
        </is>
      </c>
      <c r="G32" s="7" t="n">
        <v>1166</v>
      </c>
      <c r="H32" s="7" t="n">
        <v>102</v>
      </c>
      <c r="I32" s="7" t="n">
        <v>2105</v>
      </c>
      <c r="J32" s="7" t="inlineStr">
        <is>
          <t>sdk_usage_metadata</t>
        </is>
      </c>
      <c r="K32" s="7" t="inlineStr">
        <is>
          <t>success</t>
        </is>
      </c>
      <c r="L32" s="7" t="inlineStr"/>
      <c r="M32" s="7" t="n">
        <v>5</v>
      </c>
    </row>
    <row r="33" ht="34" customHeight="1">
      <c r="A33" s="7" t="n">
        <v>32</v>
      </c>
      <c r="B33" s="7" t="inlineStr">
        <is>
          <t>2026-07-30T19:07:16Z</t>
        </is>
      </c>
      <c r="C33" s="7" t="inlineStr">
        <is>
          <t>vlm_guided</t>
        </is>
      </c>
      <c r="D33" s="7" t="inlineStr">
        <is>
          <t>vlm_guided_scoring</t>
        </is>
      </c>
      <c r="E33" s="7" t="n">
        <v>3</v>
      </c>
      <c r="F33" s="7" t="inlineStr">
        <is>
          <t>gemini-3.5-flash</t>
        </is>
      </c>
      <c r="G33" s="7" t="n">
        <v>1166</v>
      </c>
      <c r="H33" s="7" t="n">
        <v>104</v>
      </c>
      <c r="I33" s="7" t="n">
        <v>2168</v>
      </c>
      <c r="J33" s="7" t="inlineStr">
        <is>
          <t>sdk_usage_metadata</t>
        </is>
      </c>
      <c r="K33" s="7" t="inlineStr">
        <is>
          <t>success</t>
        </is>
      </c>
      <c r="L33" s="7" t="inlineStr"/>
      <c r="M33" s="7" t="n">
        <v>6</v>
      </c>
    </row>
    <row r="34" ht="34" customHeight="1">
      <c r="A34" s="7" t="n">
        <v>33</v>
      </c>
      <c r="B34" s="7" t="inlineStr">
        <is>
          <t>2026-07-30T19:07:22Z</t>
        </is>
      </c>
      <c r="C34" s="7" t="inlineStr">
        <is>
          <t>vlm_guided</t>
        </is>
      </c>
      <c r="D34" s="7" t="inlineStr">
        <is>
          <t>vlm_guided_scoring</t>
        </is>
      </c>
      <c r="E34" s="7" t="n">
        <v>3</v>
      </c>
      <c r="F34" s="7" t="inlineStr">
        <is>
          <t>gemini-3.5-flash</t>
        </is>
      </c>
      <c r="G34" s="7" t="n">
        <v>1166</v>
      </c>
      <c r="H34" s="7" t="n">
        <v>95</v>
      </c>
      <c r="I34" s="7" t="n">
        <v>2119</v>
      </c>
      <c r="J34" s="7" t="inlineStr">
        <is>
          <t>sdk_usage_metadata</t>
        </is>
      </c>
      <c r="K34" s="7" t="inlineStr">
        <is>
          <t>success</t>
        </is>
      </c>
      <c r="L34" s="7" t="inlineStr"/>
      <c r="M34" s="7" t="n">
        <v>7</v>
      </c>
    </row>
    <row r="35" ht="34" customHeight="1">
      <c r="A35" s="7" t="n">
        <v>34</v>
      </c>
      <c r="B35" s="7" t="inlineStr">
        <is>
          <t>2026-07-30T19:07:39Z</t>
        </is>
      </c>
      <c r="C35" s="7" t="inlineStr">
        <is>
          <t>vlm_free</t>
        </is>
      </c>
      <c r="D35" s="7" t="inlineStr">
        <is>
          <t>vlm_free_descriptive_causal</t>
        </is>
      </c>
      <c r="E35" s="7" t="n">
        <v>4</v>
      </c>
      <c r="F35" s="7" t="inlineStr">
        <is>
          <t>gemini-3.5-flash</t>
        </is>
      </c>
      <c r="G35" s="7" t="n">
        <v>737</v>
      </c>
      <c r="H35" s="7" t="n">
        <v>445</v>
      </c>
      <c r="I35" s="7" t="n">
        <v>2692</v>
      </c>
      <c r="J35" s="7" t="inlineStr">
        <is>
          <t>sdk_usage_metadata</t>
        </is>
      </c>
      <c r="K35" s="7" t="inlineStr">
        <is>
          <t>success</t>
        </is>
      </c>
      <c r="L35" s="7" t="inlineStr"/>
      <c r="M35" s="7" t="n">
        <v>10</v>
      </c>
    </row>
    <row r="36" ht="34" customHeight="1">
      <c r="A36" s="7" t="n">
        <v>35</v>
      </c>
      <c r="B36" s="7" t="inlineStr">
        <is>
          <t>2026-07-30T19:07:44Z</t>
        </is>
      </c>
      <c r="C36" s="7" t="inlineStr">
        <is>
          <t>vlm_free</t>
        </is>
      </c>
      <c r="D36" s="7" t="inlineStr">
        <is>
          <t>vlm_free_scoring</t>
        </is>
      </c>
      <c r="E36" s="7" t="n">
        <v>4</v>
      </c>
      <c r="F36" s="7" t="inlineStr">
        <is>
          <t>gemini-3.5-flash</t>
        </is>
      </c>
      <c r="G36" s="7" t="n">
        <v>740</v>
      </c>
      <c r="H36" s="7" t="n">
        <v>109</v>
      </c>
      <c r="I36" s="7" t="n">
        <v>1511</v>
      </c>
      <c r="J36" s="7" t="inlineStr">
        <is>
          <t>sdk_usage_metadata</t>
        </is>
      </c>
      <c r="K36" s="7" t="inlineStr">
        <is>
          <t>success</t>
        </is>
      </c>
      <c r="L36" s="7" t="inlineStr"/>
      <c r="M36" s="7" t="n">
        <v>11</v>
      </c>
    </row>
    <row r="37" ht="34" customHeight="1">
      <c r="A37" s="7" t="n">
        <v>36</v>
      </c>
      <c r="B37" s="7" t="inlineStr">
        <is>
          <t>2026-07-30T19:07:49Z</t>
        </is>
      </c>
      <c r="C37" s="7" t="inlineStr">
        <is>
          <t>vlm_free</t>
        </is>
      </c>
      <c r="D37" s="7" t="inlineStr">
        <is>
          <t>vlm_free_scoring</t>
        </is>
      </c>
      <c r="E37" s="7" t="n">
        <v>4</v>
      </c>
      <c r="F37" s="7" t="inlineStr">
        <is>
          <t>gemini-3.5-flash</t>
        </is>
      </c>
      <c r="G37" s="7" t="n">
        <v>740</v>
      </c>
      <c r="H37" s="7" t="n">
        <v>131</v>
      </c>
      <c r="I37" s="7" t="n">
        <v>1470</v>
      </c>
      <c r="J37" s="7" t="inlineStr">
        <is>
          <t>sdk_usage_metadata</t>
        </is>
      </c>
      <c r="K37" s="7" t="inlineStr">
        <is>
          <t>success</t>
        </is>
      </c>
      <c r="L37" s="7" t="inlineStr"/>
      <c r="M37" s="7" t="n">
        <v>12</v>
      </c>
    </row>
    <row r="38" ht="34" customHeight="1">
      <c r="A38" s="7" t="n">
        <v>37</v>
      </c>
      <c r="B38" s="7" t="inlineStr">
        <is>
          <t>2026-07-30T19:07:56Z</t>
        </is>
      </c>
      <c r="C38" s="7" t="inlineStr">
        <is>
          <t>common</t>
        </is>
      </c>
      <c r="D38" s="7" t="inlineStr">
        <is>
          <t>guided_descriptive_prompt</t>
        </is>
      </c>
      <c r="E38" s="7" t="n">
        <v>4</v>
      </c>
      <c r="F38" s="7" t="inlineStr">
        <is>
          <t>gemini-3.5-flash</t>
        </is>
      </c>
      <c r="G38" s="7" t="n">
        <v>577</v>
      </c>
      <c r="H38" s="7" t="n">
        <v>337</v>
      </c>
      <c r="I38" s="7" t="n">
        <v>1918</v>
      </c>
      <c r="J38" s="7" t="inlineStr">
        <is>
          <t>sdk_usage_metadata</t>
        </is>
      </c>
      <c r="K38" s="7" t="inlineStr">
        <is>
          <t>success</t>
        </is>
      </c>
      <c r="L38" s="7" t="inlineStr"/>
      <c r="M38" s="7" t="n">
        <v>18</v>
      </c>
    </row>
    <row r="39" ht="34" customHeight="1">
      <c r="A39" s="7" t="n">
        <v>38</v>
      </c>
      <c r="B39" s="7" t="inlineStr">
        <is>
          <t>2026-07-30T19:08:02Z</t>
        </is>
      </c>
      <c r="C39" s="7" t="inlineStr">
        <is>
          <t>common</t>
        </is>
      </c>
      <c r="D39" s="7" t="inlineStr">
        <is>
          <t>guided_question_set</t>
        </is>
      </c>
      <c r="E39" s="7" t="n">
        <v>4</v>
      </c>
      <c r="F39" s="7" t="inlineStr">
        <is>
          <t>gemini-3.5-flash</t>
        </is>
      </c>
      <c r="G39" s="7" t="n">
        <v>1816</v>
      </c>
      <c r="H39" s="7" t="n">
        <v>352</v>
      </c>
      <c r="I39" s="7" t="n">
        <v>3118</v>
      </c>
      <c r="J39" s="7" t="inlineStr">
        <is>
          <t>sdk_usage_metadata</t>
        </is>
      </c>
      <c r="K39" s="7" t="inlineStr">
        <is>
          <t>success</t>
        </is>
      </c>
      <c r="L39" s="7" t="inlineStr"/>
      <c r="M39" s="7" t="n">
        <v>19</v>
      </c>
    </row>
    <row r="40" ht="34" customHeight="1">
      <c r="A40" s="7" t="n">
        <v>39</v>
      </c>
      <c r="B40" s="7" t="inlineStr">
        <is>
          <t>2026-07-30T19:08:09Z</t>
        </is>
      </c>
      <c r="C40" s="7" t="inlineStr">
        <is>
          <t>common</t>
        </is>
      </c>
      <c r="D40" s="7" t="inlineStr">
        <is>
          <t>guided_causal_engine</t>
        </is>
      </c>
      <c r="E40" s="7" t="n">
        <v>4</v>
      </c>
      <c r="F40" s="7" t="inlineStr">
        <is>
          <t>gemini-3.5-flash</t>
        </is>
      </c>
      <c r="G40" s="7" t="n">
        <v>973</v>
      </c>
      <c r="H40" s="7" t="n">
        <v>249</v>
      </c>
      <c r="I40" s="7" t="n">
        <v>2242</v>
      </c>
      <c r="J40" s="7" t="inlineStr">
        <is>
          <t>sdk_usage_metadata</t>
        </is>
      </c>
      <c r="K40" s="7" t="inlineStr">
        <is>
          <t>success</t>
        </is>
      </c>
      <c r="L40" s="7" t="inlineStr"/>
      <c r="M40" s="7" t="n">
        <v>20</v>
      </c>
    </row>
    <row r="41" ht="34" customHeight="1">
      <c r="A41" s="7" t="n">
        <v>40</v>
      </c>
      <c r="B41" s="7" t="inlineStr">
        <is>
          <t>2026-07-30T19:08:14Z</t>
        </is>
      </c>
      <c r="C41" s="7" t="inlineStr">
        <is>
          <t>vlm_guided</t>
        </is>
      </c>
      <c r="D41" s="7" t="inlineStr">
        <is>
          <t>vlm_guided_scoring</t>
        </is>
      </c>
      <c r="E41" s="7" t="n">
        <v>4</v>
      </c>
      <c r="F41" s="7" t="inlineStr">
        <is>
          <t>gemini-3.5-flash</t>
        </is>
      </c>
      <c r="G41" s="7" t="n">
        <v>1209</v>
      </c>
      <c r="H41" s="7" t="n">
        <v>104</v>
      </c>
      <c r="I41" s="7" t="n">
        <v>2036</v>
      </c>
      <c r="J41" s="7" t="inlineStr">
        <is>
          <t>sdk_usage_metadata</t>
        </is>
      </c>
      <c r="K41" s="7" t="inlineStr">
        <is>
          <t>success</t>
        </is>
      </c>
      <c r="L41" s="7" t="inlineStr"/>
      <c r="M41" s="7" t="n">
        <v>8</v>
      </c>
    </row>
    <row r="42" ht="34" customHeight="1">
      <c r="A42" s="7" t="n">
        <v>41</v>
      </c>
      <c r="B42" s="7" t="inlineStr">
        <is>
          <t>2026-07-30T19:08:31Z</t>
        </is>
      </c>
      <c r="C42" s="7" t="inlineStr">
        <is>
          <t>vlm_free</t>
        </is>
      </c>
      <c r="D42" s="7" t="inlineStr">
        <is>
          <t>vlm_free_descriptive_causal</t>
        </is>
      </c>
      <c r="E42" s="7" t="n">
        <v>5</v>
      </c>
      <c r="F42" s="7" t="inlineStr">
        <is>
          <t>gemini-3.5-flash</t>
        </is>
      </c>
      <c r="G42" s="7" t="n">
        <v>738</v>
      </c>
      <c r="H42" s="7" t="n">
        <v>555</v>
      </c>
      <c r="I42" s="7" t="n">
        <v>2611</v>
      </c>
      <c r="J42" s="7" t="inlineStr">
        <is>
          <t>sdk_usage_metadata</t>
        </is>
      </c>
      <c r="K42" s="7" t="inlineStr">
        <is>
          <t>success</t>
        </is>
      </c>
      <c r="L42" s="7" t="inlineStr"/>
      <c r="M42" s="7" t="n">
        <v>13</v>
      </c>
    </row>
    <row r="43" ht="34" customHeight="1">
      <c r="A43" s="7" t="n">
        <v>42</v>
      </c>
      <c r="B43" s="7" t="inlineStr">
        <is>
          <t>2026-07-30T19:08:36Z</t>
        </is>
      </c>
      <c r="C43" s="7" t="inlineStr">
        <is>
          <t>vlm_free</t>
        </is>
      </c>
      <c r="D43" s="7" t="inlineStr">
        <is>
          <t>vlm_free_scoring</t>
        </is>
      </c>
      <c r="E43" s="7" t="n">
        <v>5</v>
      </c>
      <c r="F43" s="7" t="inlineStr">
        <is>
          <t>gemini-3.5-flash</t>
        </is>
      </c>
      <c r="G43" s="7" t="n">
        <v>873</v>
      </c>
      <c r="H43" s="7" t="n">
        <v>123</v>
      </c>
      <c r="I43" s="7" t="n">
        <v>1788</v>
      </c>
      <c r="J43" s="7" t="inlineStr">
        <is>
          <t>sdk_usage_metadata</t>
        </is>
      </c>
      <c r="K43" s="7" t="inlineStr">
        <is>
          <t>success</t>
        </is>
      </c>
      <c r="L43" s="7" t="inlineStr"/>
      <c r="M43" s="7" t="n">
        <v>14</v>
      </c>
    </row>
    <row r="44" ht="34" customHeight="1">
      <c r="A44" s="7" t="n">
        <v>43</v>
      </c>
      <c r="B44" s="7" t="inlineStr">
        <is>
          <t>2026-07-30T19:08:42Z</t>
        </is>
      </c>
      <c r="C44" s="7" t="inlineStr">
        <is>
          <t>common</t>
        </is>
      </c>
      <c r="D44" s="7" t="inlineStr">
        <is>
          <t>guided_descriptive_prompt</t>
        </is>
      </c>
      <c r="E44" s="7" t="n">
        <v>5</v>
      </c>
      <c r="F44" s="7" t="inlineStr">
        <is>
          <t>gemini-3.5-flash</t>
        </is>
      </c>
      <c r="G44" s="7" t="n">
        <v>578</v>
      </c>
      <c r="H44" s="7" t="n">
        <v>355</v>
      </c>
      <c r="I44" s="7" t="n">
        <v>1756</v>
      </c>
      <c r="J44" s="7" t="inlineStr">
        <is>
          <t>sdk_usage_metadata</t>
        </is>
      </c>
      <c r="K44" s="7" t="inlineStr">
        <is>
          <t>success</t>
        </is>
      </c>
      <c r="L44" s="7" t="inlineStr"/>
      <c r="M44" s="7" t="n">
        <v>21</v>
      </c>
    </row>
    <row r="45" ht="34" customHeight="1">
      <c r="A45" s="7" t="n">
        <v>44</v>
      </c>
      <c r="B45" s="7" t="inlineStr">
        <is>
          <t>2026-07-30T19:08:50Z</t>
        </is>
      </c>
      <c r="C45" s="7" t="inlineStr">
        <is>
          <t>common</t>
        </is>
      </c>
      <c r="D45" s="7" t="inlineStr">
        <is>
          <t>guided_descriptive_prompt</t>
        </is>
      </c>
      <c r="E45" s="7" t="n">
        <v>5</v>
      </c>
      <c r="F45" s="7" t="inlineStr">
        <is>
          <t>gemini-3.5-flash</t>
        </is>
      </c>
      <c r="G45" s="7" t="n">
        <v>578</v>
      </c>
      <c r="H45" s="7" t="n">
        <v>357</v>
      </c>
      <c r="I45" s="7" t="n">
        <v>1859</v>
      </c>
      <c r="J45" s="7" t="inlineStr">
        <is>
          <t>sdk_usage_metadata</t>
        </is>
      </c>
      <c r="K45" s="7" t="inlineStr">
        <is>
          <t>success</t>
        </is>
      </c>
      <c r="L45" s="7" t="inlineStr"/>
      <c r="M45" s="7" t="n">
        <v>22</v>
      </c>
    </row>
    <row r="46" ht="34" customHeight="1">
      <c r="A46" s="7" t="n">
        <v>45</v>
      </c>
      <c r="B46" s="7" t="inlineStr">
        <is>
          <t>2026-07-30T19:08:59Z</t>
        </is>
      </c>
      <c r="C46" s="7" t="inlineStr">
        <is>
          <t>common</t>
        </is>
      </c>
      <c r="D46" s="7" t="inlineStr">
        <is>
          <t>guided_question_set</t>
        </is>
      </c>
      <c r="E46" s="7" t="n">
        <v>5</v>
      </c>
      <c r="F46" s="7" t="inlineStr">
        <is>
          <t>gemini-3.5-flash</t>
        </is>
      </c>
      <c r="G46" s="7" t="n">
        <v>1837</v>
      </c>
      <c r="H46" s="7" t="n">
        <v>340</v>
      </c>
      <c r="I46" s="7" t="n">
        <v>3461</v>
      </c>
      <c r="J46" s="7" t="inlineStr">
        <is>
          <t>sdk_usage_metadata</t>
        </is>
      </c>
      <c r="K46" s="7" t="inlineStr">
        <is>
          <t>success</t>
        </is>
      </c>
      <c r="L46" s="7" t="inlineStr"/>
      <c r="M46" s="7" t="n">
        <v>23</v>
      </c>
    </row>
    <row r="47" ht="34" customHeight="1">
      <c r="A47" s="7" t="n">
        <v>46</v>
      </c>
      <c r="B47" s="7" t="inlineStr">
        <is>
          <t>2026-07-30T19:09:08Z</t>
        </is>
      </c>
      <c r="C47" s="7" t="inlineStr">
        <is>
          <t>common</t>
        </is>
      </c>
      <c r="D47" s="7" t="inlineStr">
        <is>
          <t>guided_question_set</t>
        </is>
      </c>
      <c r="E47" s="7" t="n">
        <v>5</v>
      </c>
      <c r="F47" s="7" t="inlineStr">
        <is>
          <t>gemini-3.5-flash</t>
        </is>
      </c>
      <c r="G47" s="7" t="n">
        <v>1837</v>
      </c>
      <c r="H47" s="7" t="n">
        <v>364</v>
      </c>
      <c r="I47" s="7" t="n">
        <v>3444</v>
      </c>
      <c r="J47" s="7" t="inlineStr">
        <is>
          <t>sdk_usage_metadata</t>
        </is>
      </c>
      <c r="K47" s="7" t="inlineStr">
        <is>
          <t>success</t>
        </is>
      </c>
      <c r="L47" s="7" t="inlineStr"/>
      <c r="M47" s="7" t="n">
        <v>24</v>
      </c>
    </row>
    <row r="48" ht="34" customHeight="1">
      <c r="A48" s="7" t="n">
        <v>47</v>
      </c>
      <c r="B48" s="7" t="inlineStr">
        <is>
          <t>2026-07-30T19:09:13Z</t>
        </is>
      </c>
      <c r="C48" s="7" t="inlineStr">
        <is>
          <t>common</t>
        </is>
      </c>
      <c r="D48" s="7" t="inlineStr">
        <is>
          <t>guided_causal_engine</t>
        </is>
      </c>
      <c r="E48" s="7" t="n">
        <v>5</v>
      </c>
      <c r="F48" s="7" t="inlineStr">
        <is>
          <t>gemini-3.5-flash</t>
        </is>
      </c>
      <c r="G48" s="7" t="n">
        <v>1006</v>
      </c>
      <c r="H48" s="7" t="n">
        <v>203</v>
      </c>
      <c r="I48" s="7" t="n">
        <v>2029</v>
      </c>
      <c r="J48" s="7" t="inlineStr">
        <is>
          <t>sdk_usage_metadata</t>
        </is>
      </c>
      <c r="K48" s="7" t="inlineStr">
        <is>
          <t>success</t>
        </is>
      </c>
      <c r="L48" s="7" t="inlineStr"/>
      <c r="M48" s="7" t="n">
        <v>25</v>
      </c>
    </row>
    <row r="49" ht="34" customHeight="1">
      <c r="A49" s="7" t="n">
        <v>48</v>
      </c>
      <c r="B49" s="7" t="inlineStr">
        <is>
          <t>2026-07-30T19:09:18Z</t>
        </is>
      </c>
      <c r="C49" s="7" t="inlineStr">
        <is>
          <t>vlm_guided</t>
        </is>
      </c>
      <c r="D49" s="7" t="inlineStr">
        <is>
          <t>vlm_guided_scoring</t>
        </is>
      </c>
      <c r="E49" s="7" t="n">
        <v>5</v>
      </c>
      <c r="F49" s="7" t="inlineStr">
        <is>
          <t>gemini-3.5-flash</t>
        </is>
      </c>
      <c r="G49" s="7" t="n">
        <v>1196</v>
      </c>
      <c r="H49" s="7" t="n">
        <v>91</v>
      </c>
      <c r="I49" s="7" t="n">
        <v>2049</v>
      </c>
      <c r="J49" s="7" t="inlineStr">
        <is>
          <t>sdk_usage_metadata</t>
        </is>
      </c>
      <c r="K49" s="7" t="inlineStr">
        <is>
          <t>success</t>
        </is>
      </c>
      <c r="L49" s="7" t="inlineStr"/>
      <c r="M49" s="7" t="n">
        <v>9</v>
      </c>
    </row>
    <row r="50" ht="34" customHeight="1">
      <c r="A50" s="7" t="n">
        <v>49</v>
      </c>
      <c r="B50" s="7" t="inlineStr">
        <is>
          <t>2026-07-30T19:09:35Z</t>
        </is>
      </c>
      <c r="C50" s="7" t="inlineStr">
        <is>
          <t>vlm_free</t>
        </is>
      </c>
      <c r="D50" s="7" t="inlineStr">
        <is>
          <t>vlm_free_descriptive_causal</t>
        </is>
      </c>
      <c r="E50" s="7" t="n">
        <v>6</v>
      </c>
      <c r="F50" s="7" t="inlineStr">
        <is>
          <t>gemini-3.5-flash</t>
        </is>
      </c>
      <c r="G50" s="7" t="n">
        <v>738</v>
      </c>
      <c r="H50" s="7" t="n">
        <v>530</v>
      </c>
      <c r="I50" s="7" t="n">
        <v>2598</v>
      </c>
      <c r="J50" s="7" t="inlineStr">
        <is>
          <t>sdk_usage_metadata</t>
        </is>
      </c>
      <c r="K50" s="7" t="inlineStr">
        <is>
          <t>success</t>
        </is>
      </c>
      <c r="L50" s="7" t="inlineStr"/>
      <c r="M50" s="7" t="n">
        <v>15</v>
      </c>
    </row>
    <row r="51" ht="34" customHeight="1">
      <c r="A51" s="7" t="n">
        <v>50</v>
      </c>
      <c r="B51" s="7" t="inlineStr">
        <is>
          <t>2026-07-30T19:09:40Z</t>
        </is>
      </c>
      <c r="C51" s="7" t="inlineStr">
        <is>
          <t>vlm_free</t>
        </is>
      </c>
      <c r="D51" s="7" t="inlineStr">
        <is>
          <t>vlm_free_scoring</t>
        </is>
      </c>
      <c r="E51" s="7" t="n">
        <v>6</v>
      </c>
      <c r="F51" s="7" t="inlineStr">
        <is>
          <t>gemini-3.5-flash</t>
        </is>
      </c>
      <c r="G51" s="7" t="n">
        <v>845</v>
      </c>
      <c r="H51" s="7" t="n">
        <v>125</v>
      </c>
      <c r="I51" s="7" t="n">
        <v>1854</v>
      </c>
      <c r="J51" s="7" t="inlineStr">
        <is>
          <t>sdk_usage_metadata</t>
        </is>
      </c>
      <c r="K51" s="7" t="inlineStr">
        <is>
          <t>success</t>
        </is>
      </c>
      <c r="L51" s="7" t="inlineStr"/>
      <c r="M51" s="7" t="n">
        <v>16</v>
      </c>
    </row>
    <row r="52" ht="34" customHeight="1">
      <c r="A52" s="7" t="n">
        <v>51</v>
      </c>
      <c r="B52" s="7" t="inlineStr">
        <is>
          <t>2026-07-30T19:09:48Z</t>
        </is>
      </c>
      <c r="C52" s="7" t="inlineStr">
        <is>
          <t>vlm_free</t>
        </is>
      </c>
      <c r="D52" s="7" t="inlineStr">
        <is>
          <t>vlm_free_scoring</t>
        </is>
      </c>
      <c r="E52" s="7" t="n">
        <v>6</v>
      </c>
      <c r="F52" s="7" t="inlineStr">
        <is>
          <t>gemini-3.5-flash</t>
        </is>
      </c>
      <c r="G52" s="7" t="n">
        <v>845</v>
      </c>
      <c r="H52" s="7" t="n">
        <v>119</v>
      </c>
      <c r="I52" s="7" t="n">
        <v>2062</v>
      </c>
      <c r="J52" s="7" t="inlineStr">
        <is>
          <t>sdk_usage_metadata</t>
        </is>
      </c>
      <c r="K52" s="7" t="inlineStr">
        <is>
          <t>success</t>
        </is>
      </c>
      <c r="L52" s="7" t="inlineStr"/>
      <c r="M52" s="7" t="n">
        <v>17</v>
      </c>
    </row>
    <row r="53" ht="34" customHeight="1">
      <c r="A53" s="7" t="n">
        <v>52</v>
      </c>
      <c r="B53" s="7" t="inlineStr">
        <is>
          <t>2026-07-30T19:09:57Z</t>
        </is>
      </c>
      <c r="C53" s="7" t="inlineStr">
        <is>
          <t>common</t>
        </is>
      </c>
      <c r="D53" s="7" t="inlineStr">
        <is>
          <t>guided_descriptive_prompt</t>
        </is>
      </c>
      <c r="E53" s="7" t="n">
        <v>6</v>
      </c>
      <c r="F53" s="7" t="inlineStr">
        <is>
          <t>gemini-3.5-flash</t>
        </is>
      </c>
      <c r="G53" s="7" t="n">
        <v>578</v>
      </c>
      <c r="H53" s="7" t="n">
        <v>312</v>
      </c>
      <c r="I53" s="7" t="n">
        <v>1809</v>
      </c>
      <c r="J53" s="7" t="inlineStr">
        <is>
          <t>sdk_usage_metadata</t>
        </is>
      </c>
      <c r="K53" s="7" t="inlineStr">
        <is>
          <t>success</t>
        </is>
      </c>
      <c r="L53" s="7" t="inlineStr"/>
      <c r="M53" s="7" t="n">
        <v>26</v>
      </c>
    </row>
    <row r="54" ht="34" customHeight="1">
      <c r="A54" s="7" t="n">
        <v>53</v>
      </c>
      <c r="B54" s="7" t="inlineStr">
        <is>
          <t>2026-07-30T19:10:04Z</t>
        </is>
      </c>
      <c r="C54" s="7" t="inlineStr">
        <is>
          <t>common</t>
        </is>
      </c>
      <c r="D54" s="7" t="inlineStr">
        <is>
          <t>guided_descriptive_prompt</t>
        </is>
      </c>
      <c r="E54" s="7" t="n">
        <v>6</v>
      </c>
      <c r="F54" s="7" t="inlineStr">
        <is>
          <t>gemini-3.5-flash</t>
        </is>
      </c>
      <c r="G54" s="7" t="n">
        <v>578</v>
      </c>
      <c r="H54" s="7" t="n">
        <v>289</v>
      </c>
      <c r="I54" s="7" t="n">
        <v>1974</v>
      </c>
      <c r="J54" s="7" t="inlineStr">
        <is>
          <t>sdk_usage_metadata</t>
        </is>
      </c>
      <c r="K54" s="7" t="inlineStr">
        <is>
          <t>success</t>
        </is>
      </c>
      <c r="L54" s="7" t="inlineStr"/>
      <c r="M54" s="7" t="n">
        <v>27</v>
      </c>
    </row>
    <row r="55" ht="34" customHeight="1">
      <c r="A55" s="7" t="n">
        <v>54</v>
      </c>
      <c r="B55" s="7" t="inlineStr">
        <is>
          <t>2026-07-30T19:10:13Z</t>
        </is>
      </c>
      <c r="C55" s="7" t="inlineStr">
        <is>
          <t>common</t>
        </is>
      </c>
      <c r="D55" s="7" t="inlineStr">
        <is>
          <t>guided_question_set</t>
        </is>
      </c>
      <c r="E55" s="7" t="n">
        <v>6</v>
      </c>
      <c r="F55" s="7" t="inlineStr">
        <is>
          <t>gemini-3.5-flash</t>
        </is>
      </c>
      <c r="G55" s="7" t="n">
        <v>1769</v>
      </c>
      <c r="H55" s="7" t="n">
        <v>331</v>
      </c>
      <c r="I55" s="7" t="n">
        <v>3534</v>
      </c>
      <c r="J55" s="7" t="inlineStr">
        <is>
          <t>sdk_usage_metadata</t>
        </is>
      </c>
      <c r="K55" s="7" t="inlineStr">
        <is>
          <t>success</t>
        </is>
      </c>
      <c r="L55" s="7" t="inlineStr"/>
      <c r="M55" s="7" t="n">
        <v>28</v>
      </c>
    </row>
    <row r="56" ht="34" customHeight="1">
      <c r="A56" s="7" t="n">
        <v>55</v>
      </c>
      <c r="B56" s="7" t="inlineStr">
        <is>
          <t>2026-07-30T19:10:21Z</t>
        </is>
      </c>
      <c r="C56" s="7" t="inlineStr">
        <is>
          <t>common</t>
        </is>
      </c>
      <c r="D56" s="7" t="inlineStr">
        <is>
          <t>guided_question_set</t>
        </is>
      </c>
      <c r="E56" s="7" t="n">
        <v>6</v>
      </c>
      <c r="F56" s="7" t="inlineStr">
        <is>
          <t>gemini-3.5-flash</t>
        </is>
      </c>
      <c r="G56" s="7" t="n">
        <v>1769</v>
      </c>
      <c r="H56" s="7" t="n">
        <v>363</v>
      </c>
      <c r="I56" s="7" t="n">
        <v>3317</v>
      </c>
      <c r="J56" s="7" t="inlineStr">
        <is>
          <t>sdk_usage_metadata</t>
        </is>
      </c>
      <c r="K56" s="7" t="inlineStr">
        <is>
          <t>success</t>
        </is>
      </c>
      <c r="L56" s="7" t="inlineStr"/>
      <c r="M56" s="7" t="n">
        <v>29</v>
      </c>
    </row>
    <row r="57" ht="34" customHeight="1">
      <c r="A57" s="7" t="n">
        <v>56</v>
      </c>
      <c r="B57" s="7" t="inlineStr">
        <is>
          <t>2026-07-30T19:10:27Z</t>
        </is>
      </c>
      <c r="C57" s="7" t="inlineStr">
        <is>
          <t>common</t>
        </is>
      </c>
      <c r="D57" s="7" t="inlineStr">
        <is>
          <t>guided_causal_engine</t>
        </is>
      </c>
      <c r="E57" s="7" t="n">
        <v>6</v>
      </c>
      <c r="F57" s="7" t="inlineStr">
        <is>
          <t>gemini-3.5-flash</t>
        </is>
      </c>
      <c r="G57" s="7" t="n">
        <v>936</v>
      </c>
      <c r="H57" s="7" t="n">
        <v>231</v>
      </c>
      <c r="I57" s="7" t="n">
        <v>2123</v>
      </c>
      <c r="J57" s="7" t="inlineStr">
        <is>
          <t>sdk_usage_metadata</t>
        </is>
      </c>
      <c r="K57" s="7" t="inlineStr">
        <is>
          <t>success</t>
        </is>
      </c>
      <c r="L57" s="7" t="inlineStr"/>
      <c r="M57" s="7" t="n">
        <v>30</v>
      </c>
    </row>
    <row r="58" ht="34" customHeight="1">
      <c r="A58" s="7" t="n">
        <v>57</v>
      </c>
      <c r="B58" s="7" t="inlineStr">
        <is>
          <t>2026-07-30T19:10:31Z</t>
        </is>
      </c>
      <c r="C58" s="7" t="inlineStr">
        <is>
          <t>vlm_guided</t>
        </is>
      </c>
      <c r="D58" s="7" t="inlineStr">
        <is>
          <t>vlm_guided_scoring</t>
        </is>
      </c>
      <c r="E58" s="7" t="n">
        <v>6</v>
      </c>
      <c r="F58" s="7" t="inlineStr">
        <is>
          <t>gemini-3.5-flash</t>
        </is>
      </c>
      <c r="G58" s="7" t="n">
        <v>1154</v>
      </c>
      <c r="H58" s="7" t="n">
        <v>102</v>
      </c>
      <c r="I58" s="7" t="n">
        <v>2038</v>
      </c>
      <c r="J58" s="7" t="inlineStr">
        <is>
          <t>sdk_usage_metadata</t>
        </is>
      </c>
      <c r="K58" s="7" t="inlineStr">
        <is>
          <t>success</t>
        </is>
      </c>
      <c r="L58" s="7" t="inlineStr"/>
      <c r="M58" s="7" t="n">
        <v>10</v>
      </c>
    </row>
    <row r="59" ht="34" customHeight="1">
      <c r="A59" s="7" t="n">
        <v>58</v>
      </c>
      <c r="B59" s="7" t="inlineStr">
        <is>
          <t>2026-07-30T19:10:37Z</t>
        </is>
      </c>
      <c r="C59" s="7" t="inlineStr">
        <is>
          <t>vlm_guided</t>
        </is>
      </c>
      <c r="D59" s="7" t="inlineStr">
        <is>
          <t>vlm_guided_scoring</t>
        </is>
      </c>
      <c r="E59" s="7" t="n">
        <v>6</v>
      </c>
      <c r="F59" s="7" t="inlineStr">
        <is>
          <t>gemini-3.5-flash</t>
        </is>
      </c>
      <c r="G59" s="7" t="n">
        <v>1154</v>
      </c>
      <c r="H59" s="7" t="n">
        <v>96</v>
      </c>
      <c r="I59" s="7" t="n">
        <v>1970</v>
      </c>
      <c r="J59" s="7" t="inlineStr">
        <is>
          <t>sdk_usage_metadata</t>
        </is>
      </c>
      <c r="K59" s="7" t="inlineStr">
        <is>
          <t>success</t>
        </is>
      </c>
      <c r="L59" s="7" t="inlineStr"/>
      <c r="M59" s="7" t="n">
        <v>11</v>
      </c>
    </row>
    <row r="60" ht="34" customHeight="1">
      <c r="A60" s="7" t="n">
        <v>59</v>
      </c>
      <c r="B60" s="7" t="inlineStr">
        <is>
          <t>2026-07-30T19:10:42Z</t>
        </is>
      </c>
      <c r="C60" s="7" t="inlineStr">
        <is>
          <t>vlm_guided</t>
        </is>
      </c>
      <c r="D60" s="7" t="inlineStr">
        <is>
          <t>vlm_guided_scoring</t>
        </is>
      </c>
      <c r="E60" s="7" t="n">
        <v>6</v>
      </c>
      <c r="F60" s="7" t="inlineStr">
        <is>
          <t>gemini-3.5-flash</t>
        </is>
      </c>
      <c r="G60" s="7" t="n">
        <v>1154</v>
      </c>
      <c r="H60" s="7" t="n">
        <v>90</v>
      </c>
      <c r="I60" s="7" t="n">
        <v>2037</v>
      </c>
      <c r="J60" s="7" t="inlineStr">
        <is>
          <t>sdk_usage_metadata</t>
        </is>
      </c>
      <c r="K60" s="7" t="inlineStr">
        <is>
          <t>success</t>
        </is>
      </c>
      <c r="L60" s="7" t="inlineStr"/>
      <c r="M60" s="7" t="n">
        <v>12</v>
      </c>
    </row>
    <row r="61" ht="34" customHeight="1">
      <c r="A61" s="7" t="n">
        <v>60</v>
      </c>
      <c r="B61" s="7" t="inlineStr">
        <is>
          <t>2026-07-30T19:10:47Z</t>
        </is>
      </c>
      <c r="C61" s="7" t="inlineStr">
        <is>
          <t>vlm_guided</t>
        </is>
      </c>
      <c r="D61" s="7" t="inlineStr">
        <is>
          <t>vlm_guided_scoring</t>
        </is>
      </c>
      <c r="E61" s="7" t="n">
        <v>6</v>
      </c>
      <c r="F61" s="7" t="inlineStr">
        <is>
          <t>gemini-3.5-flash</t>
        </is>
      </c>
      <c r="G61" s="7" t="n">
        <v>1154</v>
      </c>
      <c r="H61" s="7" t="n">
        <v>100</v>
      </c>
      <c r="I61" s="7" t="n">
        <v>2045</v>
      </c>
      <c r="J61" s="7" t="inlineStr">
        <is>
          <t>sdk_usage_metadata</t>
        </is>
      </c>
      <c r="K61" s="7" t="inlineStr">
        <is>
          <t>success</t>
        </is>
      </c>
      <c r="L61" s="7" t="inlineStr"/>
      <c r="M61" s="7" t="n">
        <v>13</v>
      </c>
    </row>
    <row r="62" ht="34" customHeight="1">
      <c r="A62" s="7" t="n">
        <v>61</v>
      </c>
      <c r="B62" s="7" t="inlineStr">
        <is>
          <t>2026-07-30T19:11:06Z</t>
        </is>
      </c>
      <c r="C62" s="7" t="inlineStr">
        <is>
          <t>vlm_free</t>
        </is>
      </c>
      <c r="D62" s="7" t="inlineStr">
        <is>
          <t>vlm_free_descriptive_causal</t>
        </is>
      </c>
      <c r="E62" s="7" t="n">
        <v>7</v>
      </c>
      <c r="F62" s="7" t="inlineStr">
        <is>
          <t>gemini-3.5-flash</t>
        </is>
      </c>
      <c r="G62" s="7" t="n">
        <v>738</v>
      </c>
      <c r="H62" s="7" t="n">
        <v>593</v>
      </c>
      <c r="I62" s="7" t="n">
        <v>3041</v>
      </c>
      <c r="J62" s="7" t="inlineStr">
        <is>
          <t>sdk_usage_metadata</t>
        </is>
      </c>
      <c r="K62" s="7" t="inlineStr">
        <is>
          <t>success</t>
        </is>
      </c>
      <c r="L62" s="7" t="inlineStr"/>
      <c r="M62" s="7" t="n">
        <v>18</v>
      </c>
    </row>
    <row r="63" ht="34" customHeight="1">
      <c r="A63" s="7" t="n">
        <v>62</v>
      </c>
      <c r="B63" s="7" t="inlineStr">
        <is>
          <t>2026-07-30T19:11:12Z</t>
        </is>
      </c>
      <c r="C63" s="7" t="inlineStr">
        <is>
          <t>vlm_free</t>
        </is>
      </c>
      <c r="D63" s="7" t="inlineStr">
        <is>
          <t>vlm_free_scoring</t>
        </is>
      </c>
      <c r="E63" s="7" t="n">
        <v>7</v>
      </c>
      <c r="F63" s="7" t="inlineStr">
        <is>
          <t>gemini-3.5-flash</t>
        </is>
      </c>
      <c r="G63" s="7" t="n">
        <v>889</v>
      </c>
      <c r="H63" s="7" t="n">
        <v>144</v>
      </c>
      <c r="I63" s="7" t="n">
        <v>1973</v>
      </c>
      <c r="J63" s="7" t="inlineStr">
        <is>
          <t>sdk_usage_metadata</t>
        </is>
      </c>
      <c r="K63" s="7" t="inlineStr">
        <is>
          <t>success</t>
        </is>
      </c>
      <c r="L63" s="7" t="inlineStr"/>
      <c r="M63" s="7" t="n">
        <v>19</v>
      </c>
    </row>
    <row r="64" ht="34" customHeight="1">
      <c r="A64" s="7" t="n">
        <v>63</v>
      </c>
      <c r="B64" s="7" t="inlineStr">
        <is>
          <t>2026-07-30T19:11:18Z</t>
        </is>
      </c>
      <c r="C64" s="7" t="inlineStr">
        <is>
          <t>vlm_free</t>
        </is>
      </c>
      <c r="D64" s="7" t="inlineStr">
        <is>
          <t>vlm_free_scoring</t>
        </is>
      </c>
      <c r="E64" s="7" t="n">
        <v>7</v>
      </c>
      <c r="F64" s="7" t="inlineStr">
        <is>
          <t>gemini-3.5-flash</t>
        </is>
      </c>
      <c r="G64" s="7" t="n">
        <v>889</v>
      </c>
      <c r="H64" s="7" t="n">
        <v>158</v>
      </c>
      <c r="I64" s="7" t="n">
        <v>1959</v>
      </c>
      <c r="J64" s="7" t="inlineStr">
        <is>
          <t>sdk_usage_metadata</t>
        </is>
      </c>
      <c r="K64" s="7" t="inlineStr">
        <is>
          <t>success</t>
        </is>
      </c>
      <c r="L64" s="7" t="inlineStr"/>
      <c r="M64" s="7" t="n">
        <v>20</v>
      </c>
    </row>
    <row r="65" ht="34" customHeight="1">
      <c r="A65" s="7" t="n">
        <v>64</v>
      </c>
      <c r="B65" s="7" t="inlineStr">
        <is>
          <t>2026-07-30T19:11:26Z</t>
        </is>
      </c>
      <c r="C65" s="7" t="inlineStr">
        <is>
          <t>vlm_free</t>
        </is>
      </c>
      <c r="D65" s="7" t="inlineStr">
        <is>
          <t>vlm_free_scoring</t>
        </is>
      </c>
      <c r="E65" s="7" t="n">
        <v>7</v>
      </c>
      <c r="F65" s="7" t="inlineStr">
        <is>
          <t>gemini-3.5-flash</t>
        </is>
      </c>
      <c r="G65" s="7" t="n">
        <v>889</v>
      </c>
      <c r="H65" s="7" t="n">
        <v>145</v>
      </c>
      <c r="I65" s="7" t="n">
        <v>1997</v>
      </c>
      <c r="J65" s="7" t="inlineStr">
        <is>
          <t>sdk_usage_metadata</t>
        </is>
      </c>
      <c r="K65" s="7" t="inlineStr">
        <is>
          <t>success</t>
        </is>
      </c>
      <c r="L65" s="7" t="inlineStr"/>
      <c r="M65" s="7" t="n">
        <v>21</v>
      </c>
    </row>
    <row r="66" ht="34" customHeight="1">
      <c r="A66" s="7" t="n">
        <v>65</v>
      </c>
      <c r="B66" s="7" t="inlineStr">
        <is>
          <t>2026-07-30T19:11:32Z</t>
        </is>
      </c>
      <c r="C66" s="7" t="inlineStr">
        <is>
          <t>vlm_free</t>
        </is>
      </c>
      <c r="D66" s="7" t="inlineStr">
        <is>
          <t>vlm_free_scoring</t>
        </is>
      </c>
      <c r="E66" s="7" t="n">
        <v>7</v>
      </c>
      <c r="F66" s="7" t="inlineStr">
        <is>
          <t>gemini-3.5-flash</t>
        </is>
      </c>
      <c r="G66" s="7" t="n">
        <v>889</v>
      </c>
      <c r="H66" s="7" t="n">
        <v>131</v>
      </c>
      <c r="I66" s="7" t="n">
        <v>1784</v>
      </c>
      <c r="J66" s="7" t="inlineStr">
        <is>
          <t>sdk_usage_metadata</t>
        </is>
      </c>
      <c r="K66" s="7" t="inlineStr">
        <is>
          <t>success</t>
        </is>
      </c>
      <c r="L66" s="7" t="inlineStr"/>
      <c r="M66" s="7" t="n">
        <v>22</v>
      </c>
    </row>
    <row r="67" ht="34" customHeight="1">
      <c r="A67" s="7" t="n">
        <v>66</v>
      </c>
      <c r="B67" s="7" t="inlineStr">
        <is>
          <t>2026-07-30T19:11:40Z</t>
        </is>
      </c>
      <c r="C67" s="7" t="inlineStr">
        <is>
          <t>common</t>
        </is>
      </c>
      <c r="D67" s="7" t="inlineStr">
        <is>
          <t>guided_descriptive_prompt</t>
        </is>
      </c>
      <c r="E67" s="7" t="n">
        <v>7</v>
      </c>
      <c r="F67" s="7" t="inlineStr">
        <is>
          <t>gemini-3.5-flash</t>
        </is>
      </c>
      <c r="G67" s="7" t="n">
        <v>578</v>
      </c>
      <c r="H67" s="7" t="n">
        <v>354</v>
      </c>
      <c r="I67" s="7" t="n">
        <v>1743</v>
      </c>
      <c r="J67" s="7" t="inlineStr">
        <is>
          <t>sdk_usage_metadata</t>
        </is>
      </c>
      <c r="K67" s="7" t="inlineStr">
        <is>
          <t>success</t>
        </is>
      </c>
      <c r="L67" s="7" t="inlineStr"/>
      <c r="M67" s="7" t="n">
        <v>31</v>
      </c>
    </row>
    <row r="68" ht="34" customHeight="1">
      <c r="A68" s="7" t="n">
        <v>67</v>
      </c>
      <c r="B68" s="7" t="inlineStr">
        <is>
          <t>2026-07-30T19:11:47Z</t>
        </is>
      </c>
      <c r="C68" s="7" t="inlineStr">
        <is>
          <t>common</t>
        </is>
      </c>
      <c r="D68" s="7" t="inlineStr">
        <is>
          <t>guided_question_set</t>
        </is>
      </c>
      <c r="E68" s="7" t="n">
        <v>7</v>
      </c>
      <c r="F68" s="7" t="inlineStr">
        <is>
          <t>gemini-3.5-flash</t>
        </is>
      </c>
      <c r="G68" s="7" t="n">
        <v>1834</v>
      </c>
      <c r="H68" s="7" t="n">
        <v>344</v>
      </c>
      <c r="I68" s="7" t="n">
        <v>3295</v>
      </c>
      <c r="J68" s="7" t="inlineStr">
        <is>
          <t>sdk_usage_metadata</t>
        </is>
      </c>
      <c r="K68" s="7" t="inlineStr">
        <is>
          <t>success</t>
        </is>
      </c>
      <c r="L68" s="7" t="inlineStr"/>
      <c r="M68" s="7" t="n">
        <v>32</v>
      </c>
    </row>
    <row r="69" ht="34" customHeight="1">
      <c r="A69" s="7" t="n">
        <v>68</v>
      </c>
      <c r="B69" s="7" t="inlineStr">
        <is>
          <t>2026-07-30T19:11:57Z</t>
        </is>
      </c>
      <c r="C69" s="7" t="inlineStr">
        <is>
          <t>common</t>
        </is>
      </c>
      <c r="D69" s="7" t="inlineStr">
        <is>
          <t>guided_question_set</t>
        </is>
      </c>
      <c r="E69" s="7" t="n">
        <v>7</v>
      </c>
      <c r="F69" s="7" t="inlineStr">
        <is>
          <t>gemini-3.5-flash</t>
        </is>
      </c>
      <c r="G69" s="7" t="n">
        <v>1834</v>
      </c>
      <c r="H69" s="7" t="n">
        <v>365</v>
      </c>
      <c r="I69" s="7" t="n">
        <v>3492</v>
      </c>
      <c r="J69" s="7" t="inlineStr">
        <is>
          <t>sdk_usage_metadata</t>
        </is>
      </c>
      <c r="K69" s="7" t="inlineStr">
        <is>
          <t>success</t>
        </is>
      </c>
      <c r="L69" s="7" t="inlineStr"/>
      <c r="M69" s="7" t="n">
        <v>33</v>
      </c>
    </row>
    <row r="70" ht="34" customHeight="1">
      <c r="A70" s="7" t="n">
        <v>69</v>
      </c>
      <c r="B70" s="7" t="inlineStr">
        <is>
          <t>2026-07-30T19:12:03Z</t>
        </is>
      </c>
      <c r="C70" s="7" t="inlineStr">
        <is>
          <t>common</t>
        </is>
      </c>
      <c r="D70" s="7" t="inlineStr">
        <is>
          <t>guided_causal_engine</t>
        </is>
      </c>
      <c r="E70" s="7" t="n">
        <v>7</v>
      </c>
      <c r="F70" s="7" t="inlineStr">
        <is>
          <t>gemini-3.5-flash</t>
        </is>
      </c>
      <c r="G70" s="7" t="n">
        <v>1004</v>
      </c>
      <c r="H70" s="7" t="n">
        <v>209</v>
      </c>
      <c r="I70" s="7" t="n">
        <v>2235</v>
      </c>
      <c r="J70" s="7" t="inlineStr">
        <is>
          <t>sdk_usage_metadata</t>
        </is>
      </c>
      <c r="K70" s="7" t="inlineStr">
        <is>
          <t>success</t>
        </is>
      </c>
      <c r="L70" s="7" t="inlineStr"/>
      <c r="M70" s="7" t="n">
        <v>34</v>
      </c>
    </row>
    <row r="71" ht="34" customHeight="1">
      <c r="A71" s="7" t="n">
        <v>70</v>
      </c>
      <c r="B71" s="7" t="inlineStr">
        <is>
          <t>2026-07-30T19:12:07Z</t>
        </is>
      </c>
      <c r="C71" s="7" t="inlineStr">
        <is>
          <t>vlm_guided</t>
        </is>
      </c>
      <c r="D71" s="7" t="inlineStr">
        <is>
          <t>vlm_guided_scoring</t>
        </is>
      </c>
      <c r="E71" s="7" t="n">
        <v>7</v>
      </c>
      <c r="F71" s="7" t="inlineStr">
        <is>
          <t>gemini-3.5-flash</t>
        </is>
      </c>
      <c r="G71" s="7" t="n">
        <v>1200</v>
      </c>
      <c r="H71" s="7" t="n">
        <v>94</v>
      </c>
      <c r="I71" s="7" t="n">
        <v>2100</v>
      </c>
      <c r="J71" s="7" t="inlineStr">
        <is>
          <t>sdk_usage_metadata</t>
        </is>
      </c>
      <c r="K71" s="7" t="inlineStr">
        <is>
          <t>success</t>
        </is>
      </c>
      <c r="L71" s="7" t="inlineStr"/>
      <c r="M71" s="7" t="n">
        <v>14</v>
      </c>
    </row>
    <row r="72" ht="34" customHeight="1">
      <c r="A72" s="7" t="n">
        <v>71</v>
      </c>
      <c r="B72" s="7" t="inlineStr">
        <is>
          <t>2026-07-30T19:12:24Z</t>
        </is>
      </c>
      <c r="C72" s="7" t="inlineStr">
        <is>
          <t>vlm_free</t>
        </is>
      </c>
      <c r="D72" s="7" t="inlineStr">
        <is>
          <t>vlm_free_descriptive_causal</t>
        </is>
      </c>
      <c r="E72" s="7" t="n">
        <v>8</v>
      </c>
      <c r="F72" s="7" t="inlineStr">
        <is>
          <t>gemini-3.5-flash</t>
        </is>
      </c>
      <c r="G72" s="7" t="n">
        <v>738</v>
      </c>
      <c r="H72" s="7" t="n">
        <v>391</v>
      </c>
      <c r="I72" s="7" t="n">
        <v>2490</v>
      </c>
      <c r="J72" s="7" t="inlineStr">
        <is>
          <t>sdk_usage_metadata</t>
        </is>
      </c>
      <c r="K72" s="7" t="inlineStr">
        <is>
          <t>success</t>
        </is>
      </c>
      <c r="L72" s="7" t="inlineStr"/>
      <c r="M72" s="7" t="n">
        <v>23</v>
      </c>
    </row>
    <row r="73" ht="34" customHeight="1">
      <c r="A73" s="7" t="n">
        <v>72</v>
      </c>
      <c r="B73" s="7" t="inlineStr">
        <is>
          <t>2026-07-30T19:12:29Z</t>
        </is>
      </c>
      <c r="C73" s="7" t="inlineStr">
        <is>
          <t>vlm_free</t>
        </is>
      </c>
      <c r="D73" s="7" t="inlineStr">
        <is>
          <t>vlm_free_scoring</t>
        </is>
      </c>
      <c r="E73" s="7" t="n">
        <v>8</v>
      </c>
      <c r="F73" s="7" t="inlineStr">
        <is>
          <t>gemini-3.5-flash</t>
        </is>
      </c>
      <c r="G73" s="7" t="n">
        <v>687</v>
      </c>
      <c r="H73" s="7" t="n">
        <v>114</v>
      </c>
      <c r="I73" s="7" t="n">
        <v>1370</v>
      </c>
      <c r="J73" s="7" t="inlineStr">
        <is>
          <t>sdk_usage_metadata</t>
        </is>
      </c>
      <c r="K73" s="7" t="inlineStr">
        <is>
          <t>success</t>
        </is>
      </c>
      <c r="L73" s="7" t="inlineStr"/>
      <c r="M73" s="7" t="n">
        <v>24</v>
      </c>
    </row>
    <row r="74" ht="34" customHeight="1">
      <c r="A74" s="7" t="n">
        <v>73</v>
      </c>
      <c r="B74" s="7" t="inlineStr">
        <is>
          <t>2026-07-30T19:12:35Z</t>
        </is>
      </c>
      <c r="C74" s="7" t="inlineStr">
        <is>
          <t>common</t>
        </is>
      </c>
      <c r="D74" s="7" t="inlineStr">
        <is>
          <t>guided_descriptive_prompt</t>
        </is>
      </c>
      <c r="E74" s="7" t="n">
        <v>8</v>
      </c>
      <c r="F74" s="7" t="inlineStr">
        <is>
          <t>gemini-3.5-flash</t>
        </is>
      </c>
      <c r="G74" s="7" t="n">
        <v>578</v>
      </c>
      <c r="H74" s="7" t="n">
        <v>314</v>
      </c>
      <c r="I74" s="7" t="n">
        <v>1839</v>
      </c>
      <c r="J74" s="7" t="inlineStr">
        <is>
          <t>sdk_usage_metadata</t>
        </is>
      </c>
      <c r="K74" s="7" t="inlineStr">
        <is>
          <t>success</t>
        </is>
      </c>
      <c r="L74" s="7" t="inlineStr"/>
      <c r="M74" s="7" t="n">
        <v>35</v>
      </c>
    </row>
    <row r="75" ht="34" customHeight="1">
      <c r="A75" s="7" t="n">
        <v>74</v>
      </c>
      <c r="B75" s="7" t="inlineStr">
        <is>
          <t>2026-07-30T19:12:43Z</t>
        </is>
      </c>
      <c r="C75" s="7" t="inlineStr">
        <is>
          <t>common</t>
        </is>
      </c>
      <c r="D75" s="7" t="inlineStr">
        <is>
          <t>guided_question_set</t>
        </is>
      </c>
      <c r="E75" s="7" t="n">
        <v>8</v>
      </c>
      <c r="F75" s="7" t="inlineStr">
        <is>
          <t>gemini-3.5-flash</t>
        </is>
      </c>
      <c r="G75" s="7" t="n">
        <v>1794</v>
      </c>
      <c r="H75" s="7" t="n">
        <v>304</v>
      </c>
      <c r="I75" s="7" t="n">
        <v>3505</v>
      </c>
      <c r="J75" s="7" t="inlineStr">
        <is>
          <t>sdk_usage_metadata</t>
        </is>
      </c>
      <c r="K75" s="7" t="inlineStr">
        <is>
          <t>success</t>
        </is>
      </c>
      <c r="L75" s="7" t="inlineStr"/>
      <c r="M75" s="7" t="n">
        <v>36</v>
      </c>
    </row>
    <row r="76" ht="34" customHeight="1">
      <c r="A76" s="7" t="n">
        <v>75</v>
      </c>
      <c r="B76" s="7" t="inlineStr">
        <is>
          <t>2026-07-30T19:12:48Z</t>
        </is>
      </c>
      <c r="C76" s="7" t="inlineStr">
        <is>
          <t>common</t>
        </is>
      </c>
      <c r="D76" s="7" t="inlineStr">
        <is>
          <t>guided_causal_engine</t>
        </is>
      </c>
      <c r="E76" s="7" t="n">
        <v>8</v>
      </c>
      <c r="F76" s="7" t="inlineStr">
        <is>
          <t>gemini-3.5-flash</t>
        </is>
      </c>
      <c r="G76" s="7" t="n">
        <v>903</v>
      </c>
      <c r="H76" s="7" t="n">
        <v>197</v>
      </c>
      <c r="I76" s="7" t="n">
        <v>1858</v>
      </c>
      <c r="J76" s="7" t="inlineStr">
        <is>
          <t>sdk_usage_metadata</t>
        </is>
      </c>
      <c r="K76" s="7" t="inlineStr">
        <is>
          <t>success</t>
        </is>
      </c>
      <c r="L76" s="7" t="inlineStr"/>
      <c r="M76" s="7" t="n">
        <v>37</v>
      </c>
    </row>
    <row r="77" ht="34" customHeight="1">
      <c r="A77" s="7" t="n">
        <v>76</v>
      </c>
      <c r="B77" s="7" t="inlineStr">
        <is>
          <t>2026-07-30T19:12:52Z</t>
        </is>
      </c>
      <c r="C77" s="7" t="inlineStr">
        <is>
          <t>vlm_guided</t>
        </is>
      </c>
      <c r="D77" s="7" t="inlineStr">
        <is>
          <t>vlm_guided_scoring</t>
        </is>
      </c>
      <c r="E77" s="7" t="n">
        <v>8</v>
      </c>
      <c r="F77" s="7" t="inlineStr">
        <is>
          <t>gemini-3.5-flash</t>
        </is>
      </c>
      <c r="G77" s="7" t="n">
        <v>1087</v>
      </c>
      <c r="H77" s="7" t="n">
        <v>98</v>
      </c>
      <c r="I77" s="7" t="n">
        <v>1861</v>
      </c>
      <c r="J77" s="7" t="inlineStr">
        <is>
          <t>sdk_usage_metadata</t>
        </is>
      </c>
      <c r="K77" s="7" t="inlineStr">
        <is>
          <t>success</t>
        </is>
      </c>
      <c r="L77" s="7" t="inlineStr"/>
      <c r="M77" s="7" t="n">
        <v>15</v>
      </c>
    </row>
    <row r="78" ht="34" customHeight="1">
      <c r="A78" s="7" t="n">
        <v>77</v>
      </c>
      <c r="B78" s="7" t="inlineStr">
        <is>
          <t>2026-07-30T19:12:57Z</t>
        </is>
      </c>
      <c r="C78" s="7" t="inlineStr">
        <is>
          <t>vlm_guided</t>
        </is>
      </c>
      <c r="D78" s="7" t="inlineStr">
        <is>
          <t>vlm_guided_scoring</t>
        </is>
      </c>
      <c r="E78" s="7" t="n">
        <v>8</v>
      </c>
      <c r="F78" s="7" t="inlineStr">
        <is>
          <t>gemini-3.5-flash</t>
        </is>
      </c>
      <c r="G78" s="7" t="n">
        <v>1087</v>
      </c>
      <c r="H78" s="7" t="n">
        <v>100</v>
      </c>
      <c r="I78" s="7" t="n">
        <v>1714</v>
      </c>
      <c r="J78" s="7" t="inlineStr">
        <is>
          <t>sdk_usage_metadata</t>
        </is>
      </c>
      <c r="K78" s="7" t="inlineStr">
        <is>
          <t>success</t>
        </is>
      </c>
      <c r="L78" s="7" t="inlineStr"/>
      <c r="M78" s="7" t="n">
        <v>16</v>
      </c>
    </row>
    <row r="79" ht="34" customHeight="1">
      <c r="A79" s="7" t="n">
        <v>78</v>
      </c>
      <c r="B79" s="7" t="inlineStr">
        <is>
          <t>2026-07-30T19:13:15Z</t>
        </is>
      </c>
      <c r="C79" s="7" t="inlineStr">
        <is>
          <t>vlm_free</t>
        </is>
      </c>
      <c r="D79" s="7" t="inlineStr">
        <is>
          <t>vlm_free_descriptive_causal</t>
        </is>
      </c>
      <c r="E79" s="7" t="n">
        <v>9</v>
      </c>
      <c r="F79" s="7" t="inlineStr">
        <is>
          <t>gemini-3.5-flash</t>
        </is>
      </c>
      <c r="G79" s="7" t="n">
        <v>738</v>
      </c>
      <c r="H79" s="7" t="n">
        <v>641</v>
      </c>
      <c r="I79" s="7" t="n">
        <v>2882</v>
      </c>
      <c r="J79" s="7" t="inlineStr">
        <is>
          <t>sdk_usage_metadata</t>
        </is>
      </c>
      <c r="K79" s="7" t="inlineStr">
        <is>
          <t>success</t>
        </is>
      </c>
      <c r="L79" s="7" t="inlineStr"/>
      <c r="M79" s="7" t="n">
        <v>25</v>
      </c>
    </row>
    <row r="80" ht="34" customHeight="1">
      <c r="A80" s="7" t="n">
        <v>79</v>
      </c>
      <c r="B80" s="7" t="inlineStr">
        <is>
          <t>2026-07-30T19:13:27Z</t>
        </is>
      </c>
      <c r="C80" s="7" t="inlineStr">
        <is>
          <t>vlm_free</t>
        </is>
      </c>
      <c r="D80" s="7" t="inlineStr">
        <is>
          <t>vlm_free_descriptive_causal</t>
        </is>
      </c>
      <c r="E80" s="7" t="n">
        <v>9</v>
      </c>
      <c r="F80" s="7" t="inlineStr">
        <is>
          <t>gemini-3.5-flash</t>
        </is>
      </c>
      <c r="G80" s="7" t="n">
        <v>738</v>
      </c>
      <c r="H80" s="7" t="n">
        <v>778</v>
      </c>
      <c r="I80" s="7" t="n">
        <v>2633</v>
      </c>
      <c r="J80" s="7" t="inlineStr">
        <is>
          <t>sdk_usage_metadata</t>
        </is>
      </c>
      <c r="K80" s="7" t="inlineStr">
        <is>
          <t>success</t>
        </is>
      </c>
      <c r="L80" s="7" t="inlineStr"/>
      <c r="M80" s="7" t="n">
        <v>26</v>
      </c>
    </row>
    <row r="81" ht="34" customHeight="1">
      <c r="A81" s="7" t="n">
        <v>80</v>
      </c>
      <c r="B81" s="7" t="inlineStr">
        <is>
          <t>2026-07-30T19:13:31Z</t>
        </is>
      </c>
      <c r="C81" s="7" t="inlineStr">
        <is>
          <t>vlm_free</t>
        </is>
      </c>
      <c r="D81" s="7" t="inlineStr">
        <is>
          <t>vlm_free_scoring</t>
        </is>
      </c>
      <c r="E81" s="7" t="n">
        <v>9</v>
      </c>
      <c r="F81" s="7" t="inlineStr">
        <is>
          <t>gemini-3.5-flash</t>
        </is>
      </c>
      <c r="G81" s="7" t="n">
        <v>1073</v>
      </c>
      <c r="H81" s="7" t="n">
        <v>146</v>
      </c>
      <c r="I81" s="7" t="n">
        <v>1734</v>
      </c>
      <c r="J81" s="7" t="inlineStr">
        <is>
          <t>sdk_usage_metadata</t>
        </is>
      </c>
      <c r="K81" s="7" t="inlineStr">
        <is>
          <t>success</t>
        </is>
      </c>
      <c r="L81" s="7" t="inlineStr"/>
      <c r="M81" s="7" t="n">
        <v>27</v>
      </c>
    </row>
    <row r="82" ht="34" customHeight="1">
      <c r="A82" s="7" t="n">
        <v>81</v>
      </c>
      <c r="B82" s="7" t="inlineStr">
        <is>
          <t>2026-07-30T19:13:38Z</t>
        </is>
      </c>
      <c r="C82" s="7" t="inlineStr">
        <is>
          <t>common</t>
        </is>
      </c>
      <c r="D82" s="7" t="inlineStr">
        <is>
          <t>guided_descriptive_prompt</t>
        </is>
      </c>
      <c r="E82" s="7" t="n">
        <v>9</v>
      </c>
      <c r="F82" s="7" t="inlineStr">
        <is>
          <t>gemini-3.5-flash</t>
        </is>
      </c>
      <c r="G82" s="7" t="n">
        <v>578</v>
      </c>
      <c r="H82" s="7" t="n">
        <v>295</v>
      </c>
      <c r="I82" s="7" t="n">
        <v>1872</v>
      </c>
      <c r="J82" s="7" t="inlineStr">
        <is>
          <t>sdk_usage_metadata</t>
        </is>
      </c>
      <c r="K82" s="7" t="inlineStr">
        <is>
          <t>success</t>
        </is>
      </c>
      <c r="L82" s="7" t="inlineStr"/>
      <c r="M82" s="7" t="n">
        <v>38</v>
      </c>
    </row>
    <row r="83" ht="34" customHeight="1">
      <c r="A83" s="7" t="n">
        <v>82</v>
      </c>
      <c r="B83" s="7" t="inlineStr">
        <is>
          <t>2026-07-30T19:13:47Z</t>
        </is>
      </c>
      <c r="C83" s="7" t="inlineStr">
        <is>
          <t>common</t>
        </is>
      </c>
      <c r="D83" s="7" t="inlineStr">
        <is>
          <t>guided_descriptive_prompt</t>
        </is>
      </c>
      <c r="E83" s="7" t="n">
        <v>9</v>
      </c>
      <c r="F83" s="7" t="inlineStr">
        <is>
          <t>gemini-3.5-flash</t>
        </is>
      </c>
      <c r="G83" s="7" t="n">
        <v>578</v>
      </c>
      <c r="H83" s="7" t="n">
        <v>311</v>
      </c>
      <c r="I83" s="7" t="n">
        <v>2054</v>
      </c>
      <c r="J83" s="7" t="inlineStr">
        <is>
          <t>sdk_usage_metadata</t>
        </is>
      </c>
      <c r="K83" s="7" t="inlineStr">
        <is>
          <t>success</t>
        </is>
      </c>
      <c r="L83" s="7" t="inlineStr"/>
      <c r="M83" s="7" t="n">
        <v>39</v>
      </c>
    </row>
    <row r="84" ht="34" customHeight="1">
      <c r="A84" s="7" t="n">
        <v>83</v>
      </c>
      <c r="B84" s="7" t="inlineStr">
        <is>
          <t>2026-07-30T19:13:54Z</t>
        </is>
      </c>
      <c r="C84" s="7" t="inlineStr">
        <is>
          <t>common</t>
        </is>
      </c>
      <c r="D84" s="7" t="inlineStr">
        <is>
          <t>guided_question_set</t>
        </is>
      </c>
      <c r="E84" s="7" t="n">
        <v>9</v>
      </c>
      <c r="F84" s="7" t="inlineStr">
        <is>
          <t>gemini-3.5-flash</t>
        </is>
      </c>
      <c r="G84" s="7" t="n">
        <v>1791</v>
      </c>
      <c r="H84" s="7" t="n">
        <v>319</v>
      </c>
      <c r="I84" s="7" t="n">
        <v>3111</v>
      </c>
      <c r="J84" s="7" t="inlineStr">
        <is>
          <t>sdk_usage_metadata</t>
        </is>
      </c>
      <c r="K84" s="7" t="inlineStr">
        <is>
          <t>success</t>
        </is>
      </c>
      <c r="L84" s="7" t="inlineStr"/>
      <c r="M84" s="7" t="n">
        <v>40</v>
      </c>
    </row>
    <row r="85" ht="34" customHeight="1">
      <c r="A85" s="7" t="n">
        <v>84</v>
      </c>
      <c r="B85" s="7" t="inlineStr">
        <is>
          <t>2026-07-30T19:14:00Z</t>
        </is>
      </c>
      <c r="C85" s="7" t="inlineStr">
        <is>
          <t>common</t>
        </is>
      </c>
      <c r="D85" s="7" t="inlineStr">
        <is>
          <t>guided_causal_engine</t>
        </is>
      </c>
      <c r="E85" s="7" t="n">
        <v>9</v>
      </c>
      <c r="F85" s="7" t="inlineStr">
        <is>
          <t>gemini-3.5-flash</t>
        </is>
      </c>
      <c r="G85" s="7" t="n">
        <v>914</v>
      </c>
      <c r="H85" s="7" t="n">
        <v>221</v>
      </c>
      <c r="I85" s="7" t="n">
        <v>2047</v>
      </c>
      <c r="J85" s="7" t="inlineStr">
        <is>
          <t>sdk_usage_metadata</t>
        </is>
      </c>
      <c r="K85" s="7" t="inlineStr">
        <is>
          <t>success</t>
        </is>
      </c>
      <c r="L85" s="7" t="inlineStr"/>
      <c r="M85" s="7" t="n">
        <v>41</v>
      </c>
    </row>
    <row r="86" ht="34" customHeight="1">
      <c r="A86" s="7" t="n">
        <v>85</v>
      </c>
      <c r="B86" s="7" t="inlineStr">
        <is>
          <t>2026-07-30T19:14:05Z</t>
        </is>
      </c>
      <c r="C86" s="7" t="inlineStr">
        <is>
          <t>vlm_guided</t>
        </is>
      </c>
      <c r="D86" s="7" t="inlineStr">
        <is>
          <t>vlm_guided_scoring</t>
        </is>
      </c>
      <c r="E86" s="7" t="n">
        <v>9</v>
      </c>
      <c r="F86" s="7" t="inlineStr">
        <is>
          <t>gemini-3.5-flash</t>
        </is>
      </c>
      <c r="G86" s="7" t="n">
        <v>1122</v>
      </c>
      <c r="H86" s="7" t="n">
        <v>103</v>
      </c>
      <c r="I86" s="7" t="n">
        <v>2011</v>
      </c>
      <c r="J86" s="7" t="inlineStr">
        <is>
          <t>sdk_usage_metadata</t>
        </is>
      </c>
      <c r="K86" s="7" t="inlineStr">
        <is>
          <t>success</t>
        </is>
      </c>
      <c r="L86" s="7" t="inlineStr"/>
      <c r="M86" s="7" t="n">
        <v>17</v>
      </c>
    </row>
    <row r="87" ht="34" customHeight="1">
      <c r="A87" s="7" t="n">
        <v>86</v>
      </c>
      <c r="B87" s="7" t="inlineStr">
        <is>
          <t>2026-07-30T19:14:10Z</t>
        </is>
      </c>
      <c r="C87" s="7" t="inlineStr">
        <is>
          <t>vlm_guided</t>
        </is>
      </c>
      <c r="D87" s="7" t="inlineStr">
        <is>
          <t>vlm_guided_scoring</t>
        </is>
      </c>
      <c r="E87" s="7" t="n">
        <v>9</v>
      </c>
      <c r="F87" s="7" t="inlineStr">
        <is>
          <t>gemini-3.5-flash</t>
        </is>
      </c>
      <c r="G87" s="7" t="n">
        <v>1122</v>
      </c>
      <c r="H87" s="7" t="n">
        <v>104</v>
      </c>
      <c r="I87" s="7" t="n">
        <v>1988</v>
      </c>
      <c r="J87" s="7" t="inlineStr">
        <is>
          <t>sdk_usage_metadata</t>
        </is>
      </c>
      <c r="K87" s="7" t="inlineStr">
        <is>
          <t>success</t>
        </is>
      </c>
      <c r="L87" s="7" t="inlineStr"/>
      <c r="M87" s="7" t="n">
        <v>18</v>
      </c>
    </row>
    <row r="88" ht="34" customHeight="1">
      <c r="A88" s="7" t="n">
        <v>87</v>
      </c>
      <c r="B88" s="7" t="inlineStr">
        <is>
          <t>2026-07-30T19:14:30Z</t>
        </is>
      </c>
      <c r="C88" s="7" t="inlineStr">
        <is>
          <t>vlm_free</t>
        </is>
      </c>
      <c r="D88" s="7" t="inlineStr">
        <is>
          <t>vlm_free_descriptive_causal</t>
        </is>
      </c>
      <c r="E88" s="7" t="n">
        <v>10</v>
      </c>
      <c r="F88" s="7" t="inlineStr">
        <is>
          <t>gemini-3.5-flash</t>
        </is>
      </c>
      <c r="G88" s="7" t="n">
        <v>738</v>
      </c>
      <c r="H88" s="7" t="n">
        <v>553</v>
      </c>
      <c r="I88" s="7" t="n">
        <v>2756</v>
      </c>
      <c r="J88" s="7" t="inlineStr">
        <is>
          <t>sdk_usage_metadata</t>
        </is>
      </c>
      <c r="K88" s="7" t="inlineStr">
        <is>
          <t>success</t>
        </is>
      </c>
      <c r="L88" s="7" t="inlineStr"/>
      <c r="M88" s="7" t="n">
        <v>28</v>
      </c>
    </row>
    <row r="89" ht="34" customHeight="1">
      <c r="A89" s="7" t="n">
        <v>88</v>
      </c>
      <c r="B89" s="7" t="inlineStr">
        <is>
          <t>2026-07-30T19:14:34Z</t>
        </is>
      </c>
      <c r="C89" s="7" t="inlineStr">
        <is>
          <t>vlm_free</t>
        </is>
      </c>
      <c r="D89" s="7" t="inlineStr">
        <is>
          <t>vlm_free_scoring</t>
        </is>
      </c>
      <c r="E89" s="7" t="n">
        <v>10</v>
      </c>
      <c r="F89" s="7" t="inlineStr">
        <is>
          <t>gemini-3.5-flash</t>
        </is>
      </c>
      <c r="G89" s="7" t="n">
        <v>849</v>
      </c>
      <c r="H89" s="7" t="n">
        <v>118</v>
      </c>
      <c r="I89" s="7" t="n">
        <v>1658</v>
      </c>
      <c r="J89" s="7" t="inlineStr">
        <is>
          <t>sdk_usage_metadata</t>
        </is>
      </c>
      <c r="K89" s="7" t="inlineStr">
        <is>
          <t>success</t>
        </is>
      </c>
      <c r="L89" s="7" t="inlineStr"/>
      <c r="M89" s="7" t="n">
        <v>29</v>
      </c>
    </row>
    <row r="90" ht="34" customHeight="1">
      <c r="A90" s="7" t="n">
        <v>89</v>
      </c>
      <c r="B90" s="7" t="inlineStr">
        <is>
          <t>2026-07-30T19:14:42Z</t>
        </is>
      </c>
      <c r="C90" s="7" t="inlineStr">
        <is>
          <t>common</t>
        </is>
      </c>
      <c r="D90" s="7" t="inlineStr">
        <is>
          <t>guided_descriptive_prompt</t>
        </is>
      </c>
      <c r="E90" s="7" t="n">
        <v>10</v>
      </c>
      <c r="F90" s="7" t="inlineStr">
        <is>
          <t>gemini-3.5-flash</t>
        </is>
      </c>
      <c r="G90" s="7" t="n">
        <v>578</v>
      </c>
      <c r="H90" s="7" t="n">
        <v>306</v>
      </c>
      <c r="I90" s="7" t="n">
        <v>1934</v>
      </c>
      <c r="J90" s="7" t="inlineStr">
        <is>
          <t>sdk_usage_metadata</t>
        </is>
      </c>
      <c r="K90" s="7" t="inlineStr">
        <is>
          <t>success</t>
        </is>
      </c>
      <c r="L90" s="7" t="inlineStr"/>
      <c r="M90" s="7" t="n">
        <v>42</v>
      </c>
    </row>
    <row r="91" ht="34" customHeight="1">
      <c r="A91" s="7" t="n">
        <v>90</v>
      </c>
      <c r="B91" s="7" t="inlineStr">
        <is>
          <t>2026-07-30T19:14:49Z</t>
        </is>
      </c>
      <c r="C91" s="7" t="inlineStr">
        <is>
          <t>common</t>
        </is>
      </c>
      <c r="D91" s="7" t="inlineStr">
        <is>
          <t>guided_question_set</t>
        </is>
      </c>
      <c r="E91" s="7" t="n">
        <v>10</v>
      </c>
      <c r="F91" s="7" t="inlineStr">
        <is>
          <t>gemini-3.5-flash</t>
        </is>
      </c>
      <c r="G91" s="7" t="n">
        <v>1786</v>
      </c>
      <c r="H91" s="7" t="n">
        <v>328</v>
      </c>
      <c r="I91" s="7" t="n">
        <v>3253</v>
      </c>
      <c r="J91" s="7" t="inlineStr">
        <is>
          <t>sdk_usage_metadata</t>
        </is>
      </c>
      <c r="K91" s="7" t="inlineStr">
        <is>
          <t>success</t>
        </is>
      </c>
      <c r="L91" s="7" t="inlineStr"/>
      <c r="M91" s="7" t="n">
        <v>43</v>
      </c>
    </row>
    <row r="92" ht="34" customHeight="1">
      <c r="A92" s="7" t="n">
        <v>91</v>
      </c>
      <c r="B92" s="7" t="inlineStr">
        <is>
          <t>2026-07-30T19:14:56Z</t>
        </is>
      </c>
      <c r="C92" s="7" t="inlineStr">
        <is>
          <t>common</t>
        </is>
      </c>
      <c r="D92" s="7" t="inlineStr">
        <is>
          <t>guided_causal_engine</t>
        </is>
      </c>
      <c r="E92" s="7" t="n">
        <v>10</v>
      </c>
      <c r="F92" s="7" t="inlineStr">
        <is>
          <t>gemini-3.5-flash</t>
        </is>
      </c>
      <c r="G92" s="7" t="n">
        <v>919</v>
      </c>
      <c r="H92" s="7" t="n">
        <v>220</v>
      </c>
      <c r="I92" s="7" t="n">
        <v>2176</v>
      </c>
      <c r="J92" s="7" t="inlineStr">
        <is>
          <t>sdk_usage_metadata</t>
        </is>
      </c>
      <c r="K92" s="7" t="inlineStr">
        <is>
          <t>success</t>
        </is>
      </c>
      <c r="L92" s="7" t="inlineStr"/>
      <c r="M92" s="7" t="n">
        <v>44</v>
      </c>
    </row>
    <row r="93" ht="34" customHeight="1">
      <c r="A93" s="7" t="n">
        <v>92</v>
      </c>
      <c r="B93" s="7" t="inlineStr">
        <is>
          <t>2026-07-30T19:15:01Z</t>
        </is>
      </c>
      <c r="C93" s="7" t="inlineStr">
        <is>
          <t>vlm_guided</t>
        </is>
      </c>
      <c r="D93" s="7" t="inlineStr">
        <is>
          <t>vlm_guided_scoring</t>
        </is>
      </c>
      <c r="E93" s="7" t="n">
        <v>10</v>
      </c>
      <c r="F93" s="7" t="inlineStr">
        <is>
          <t>gemini-3.5-flash</t>
        </is>
      </c>
      <c r="G93" s="7" t="n">
        <v>1126</v>
      </c>
      <c r="H93" s="7" t="n">
        <v>90</v>
      </c>
      <c r="I93" s="7" t="n">
        <v>2014</v>
      </c>
      <c r="J93" s="7" t="inlineStr">
        <is>
          <t>sdk_usage_metadata</t>
        </is>
      </c>
      <c r="K93" s="7" t="inlineStr">
        <is>
          <t>success</t>
        </is>
      </c>
      <c r="L93" s="7" t="inlineStr"/>
      <c r="M93" s="7" t="n">
        <v>19</v>
      </c>
    </row>
    <row r="94" ht="34" customHeight="1">
      <c r="A94" s="7" t="n">
        <v>93</v>
      </c>
      <c r="B94" s="7" t="inlineStr">
        <is>
          <t>2026-07-30T19:15:06Z</t>
        </is>
      </c>
      <c r="C94" s="7" t="inlineStr">
        <is>
          <t>vlm_guided</t>
        </is>
      </c>
      <c r="D94" s="7" t="inlineStr">
        <is>
          <t>vlm_guided_scoring</t>
        </is>
      </c>
      <c r="E94" s="7" t="n">
        <v>10</v>
      </c>
      <c r="F94" s="7" t="inlineStr">
        <is>
          <t>gemini-3.5-flash</t>
        </is>
      </c>
      <c r="G94" s="7" t="n">
        <v>1126</v>
      </c>
      <c r="H94" s="7" t="n">
        <v>101</v>
      </c>
      <c r="I94" s="7" t="n">
        <v>1968</v>
      </c>
      <c r="J94" s="7" t="inlineStr">
        <is>
          <t>sdk_usage_metadata</t>
        </is>
      </c>
      <c r="K94" s="7" t="inlineStr">
        <is>
          <t>success</t>
        </is>
      </c>
      <c r="L94" s="7" t="inlineStr"/>
      <c r="M94" s="7" t="n">
        <v>20</v>
      </c>
    </row>
    <row r="95" ht="34" customHeight="1">
      <c r="A95" s="7" t="n">
        <v>94</v>
      </c>
      <c r="B95" s="7" t="inlineStr">
        <is>
          <t>2026-07-30T19:15:23Z</t>
        </is>
      </c>
      <c r="C95" s="7" t="inlineStr">
        <is>
          <t>vlm_free</t>
        </is>
      </c>
      <c r="D95" s="7" t="inlineStr">
        <is>
          <t>vlm_free_descriptive_causal</t>
        </is>
      </c>
      <c r="E95" s="7" t="n">
        <v>11</v>
      </c>
      <c r="F95" s="7" t="inlineStr">
        <is>
          <t>gemini-3.5-flash</t>
        </is>
      </c>
      <c r="G95" s="7" t="n">
        <v>738</v>
      </c>
      <c r="H95" s="7" t="n">
        <v>384</v>
      </c>
      <c r="I95" s="7" t="n">
        <v>2269</v>
      </c>
      <c r="J95" s="7" t="inlineStr">
        <is>
          <t>sdk_usage_metadata</t>
        </is>
      </c>
      <c r="K95" s="7" t="inlineStr">
        <is>
          <t>success</t>
        </is>
      </c>
      <c r="L95" s="7" t="inlineStr"/>
      <c r="M95" s="7" t="n">
        <v>30</v>
      </c>
    </row>
    <row r="96" ht="34" customHeight="1">
      <c r="A96" s="7" t="n">
        <v>95</v>
      </c>
      <c r="B96" s="7" t="inlineStr">
        <is>
          <t>2026-07-30T19:15:26Z</t>
        </is>
      </c>
      <c r="C96" s="7" t="inlineStr">
        <is>
          <t>vlm_free</t>
        </is>
      </c>
      <c r="D96" s="7" t="inlineStr">
        <is>
          <t>vlm_free_scoring</t>
        </is>
      </c>
      <c r="E96" s="7" t="n">
        <v>11</v>
      </c>
      <c r="F96" s="7" t="inlineStr">
        <is>
          <t>gemini-3.5-flash</t>
        </is>
      </c>
      <c r="G96" s="7" t="n">
        <v>680</v>
      </c>
      <c r="H96" s="7" t="n">
        <v>130</v>
      </c>
      <c r="I96" s="7" t="n">
        <v>1279</v>
      </c>
      <c r="J96" s="7" t="inlineStr">
        <is>
          <t>sdk_usage_metadata</t>
        </is>
      </c>
      <c r="K96" s="7" t="inlineStr">
        <is>
          <t>success</t>
        </is>
      </c>
      <c r="L96" s="7" t="inlineStr"/>
      <c r="M96" s="7" t="n">
        <v>31</v>
      </c>
    </row>
    <row r="97" ht="34" customHeight="1">
      <c r="A97" s="7" t="n">
        <v>96</v>
      </c>
      <c r="B97" s="7" t="inlineStr">
        <is>
          <t>2026-07-30T19:15:31Z</t>
        </is>
      </c>
      <c r="C97" s="7" t="inlineStr">
        <is>
          <t>vlm_free</t>
        </is>
      </c>
      <c r="D97" s="7" t="inlineStr">
        <is>
          <t>vlm_free_scoring</t>
        </is>
      </c>
      <c r="E97" s="7" t="n">
        <v>11</v>
      </c>
      <c r="F97" s="7" t="inlineStr">
        <is>
          <t>gemini-3.5-flash</t>
        </is>
      </c>
      <c r="G97" s="7" t="n">
        <v>680</v>
      </c>
      <c r="H97" s="7" t="n">
        <v>155</v>
      </c>
      <c r="I97" s="7" t="n">
        <v>1325</v>
      </c>
      <c r="J97" s="7" t="inlineStr">
        <is>
          <t>sdk_usage_metadata</t>
        </is>
      </c>
      <c r="K97" s="7" t="inlineStr">
        <is>
          <t>success</t>
        </is>
      </c>
      <c r="L97" s="7" t="inlineStr"/>
      <c r="M97" s="7" t="n">
        <v>32</v>
      </c>
    </row>
    <row r="98" ht="34" customHeight="1">
      <c r="A98" s="7" t="n">
        <v>97</v>
      </c>
      <c r="B98" s="7" t="inlineStr">
        <is>
          <t>2026-07-30T19:15:37Z</t>
        </is>
      </c>
      <c r="C98" s="7" t="inlineStr">
        <is>
          <t>vlm_free</t>
        </is>
      </c>
      <c r="D98" s="7" t="inlineStr">
        <is>
          <t>vlm_free_scoring</t>
        </is>
      </c>
      <c r="E98" s="7" t="n">
        <v>11</v>
      </c>
      <c r="F98" s="7" t="inlineStr">
        <is>
          <t>gemini-3.5-flash</t>
        </is>
      </c>
      <c r="G98" s="7" t="n">
        <v>680</v>
      </c>
      <c r="H98" s="7" t="n">
        <v>154</v>
      </c>
      <c r="I98" s="7" t="n">
        <v>1553</v>
      </c>
      <c r="J98" s="7" t="inlineStr">
        <is>
          <t>sdk_usage_metadata</t>
        </is>
      </c>
      <c r="K98" s="7" t="inlineStr">
        <is>
          <t>success</t>
        </is>
      </c>
      <c r="L98" s="7" t="inlineStr"/>
      <c r="M98" s="7" t="n">
        <v>33</v>
      </c>
    </row>
    <row r="99" ht="34" customHeight="1">
      <c r="A99" s="7" t="n">
        <v>98</v>
      </c>
      <c r="B99" s="7" t="inlineStr">
        <is>
          <t>2026-07-30T19:15:42Z</t>
        </is>
      </c>
      <c r="C99" s="7" t="inlineStr">
        <is>
          <t>vlm_free</t>
        </is>
      </c>
      <c r="D99" s="7" t="inlineStr">
        <is>
          <t>vlm_free_scoring</t>
        </is>
      </c>
      <c r="E99" s="7" t="n">
        <v>11</v>
      </c>
      <c r="F99" s="7" t="inlineStr">
        <is>
          <t>gemini-3.5-flash</t>
        </is>
      </c>
      <c r="G99" s="7" t="n">
        <v>680</v>
      </c>
      <c r="H99" s="7" t="n">
        <v>145</v>
      </c>
      <c r="I99" s="7" t="n">
        <v>1364</v>
      </c>
      <c r="J99" s="7" t="inlineStr">
        <is>
          <t>sdk_usage_metadata</t>
        </is>
      </c>
      <c r="K99" s="7" t="inlineStr">
        <is>
          <t>success</t>
        </is>
      </c>
      <c r="L99" s="7" t="inlineStr"/>
      <c r="M99" s="7" t="n">
        <v>34</v>
      </c>
    </row>
    <row r="100" ht="34" customHeight="1">
      <c r="A100" s="7" t="n">
        <v>99</v>
      </c>
      <c r="B100" s="7" t="inlineStr">
        <is>
          <t>2026-07-30T19:15:48Z</t>
        </is>
      </c>
      <c r="C100" s="7" t="inlineStr">
        <is>
          <t>common</t>
        </is>
      </c>
      <c r="D100" s="7" t="inlineStr">
        <is>
          <t>guided_descriptive_prompt</t>
        </is>
      </c>
      <c r="E100" s="7" t="n">
        <v>11</v>
      </c>
      <c r="F100" s="7" t="inlineStr">
        <is>
          <t>gemini-3.5-flash</t>
        </is>
      </c>
      <c r="G100" s="7" t="n">
        <v>578</v>
      </c>
      <c r="H100" s="7" t="n">
        <v>306</v>
      </c>
      <c r="I100" s="7" t="n">
        <v>1831</v>
      </c>
      <c r="J100" s="7" t="inlineStr">
        <is>
          <t>sdk_usage_metadata</t>
        </is>
      </c>
      <c r="K100" s="7" t="inlineStr">
        <is>
          <t>success</t>
        </is>
      </c>
      <c r="L100" s="7" t="inlineStr"/>
      <c r="M100" s="7" t="n">
        <v>45</v>
      </c>
    </row>
    <row r="101" ht="34" customHeight="1">
      <c r="A101" s="7" t="n">
        <v>100</v>
      </c>
      <c r="B101" s="7" t="inlineStr">
        <is>
          <t>2026-07-30T19:15:56Z</t>
        </is>
      </c>
      <c r="C101" s="7" t="inlineStr">
        <is>
          <t>common</t>
        </is>
      </c>
      <c r="D101" s="7" t="inlineStr">
        <is>
          <t>guided_question_set</t>
        </is>
      </c>
      <c r="E101" s="7" t="n">
        <v>11</v>
      </c>
      <c r="F101" s="7" t="inlineStr">
        <is>
          <t>gemini-3.5-flash</t>
        </is>
      </c>
      <c r="G101" s="7" t="n">
        <v>1786</v>
      </c>
      <c r="H101" s="7" t="n">
        <v>340</v>
      </c>
      <c r="I101" s="7" t="n">
        <v>3278</v>
      </c>
      <c r="J101" s="7" t="inlineStr">
        <is>
          <t>sdk_usage_metadata</t>
        </is>
      </c>
      <c r="K101" s="7" t="inlineStr">
        <is>
          <t>success</t>
        </is>
      </c>
      <c r="L101" s="7" t="inlineStr"/>
      <c r="M101" s="7" t="n">
        <v>46</v>
      </c>
    </row>
    <row r="102" ht="34" customHeight="1">
      <c r="A102" s="7" t="n">
        <v>101</v>
      </c>
      <c r="B102" s="7" t="inlineStr">
        <is>
          <t>2026-07-30T19:16:03Z</t>
        </is>
      </c>
      <c r="C102" s="7" t="inlineStr">
        <is>
          <t>common</t>
        </is>
      </c>
      <c r="D102" s="7" t="inlineStr">
        <is>
          <t>guided_question_set</t>
        </is>
      </c>
      <c r="E102" s="7" t="n">
        <v>11</v>
      </c>
      <c r="F102" s="7" t="inlineStr">
        <is>
          <t>gemini-3.5-flash</t>
        </is>
      </c>
      <c r="G102" s="7" t="n">
        <v>1786</v>
      </c>
      <c r="H102" s="7" t="n">
        <v>355</v>
      </c>
      <c r="I102" s="7" t="n">
        <v>3187</v>
      </c>
      <c r="J102" s="7" t="inlineStr">
        <is>
          <t>sdk_usage_metadata</t>
        </is>
      </c>
      <c r="K102" s="7" t="inlineStr">
        <is>
          <t>success</t>
        </is>
      </c>
      <c r="L102" s="7" t="inlineStr"/>
      <c r="M102" s="7" t="n">
        <v>47</v>
      </c>
    </row>
    <row r="103" ht="34" customHeight="1">
      <c r="A103" s="7" t="n">
        <v>102</v>
      </c>
      <c r="B103" s="7" t="inlineStr">
        <is>
          <t>2026-07-30T19:16:10Z</t>
        </is>
      </c>
      <c r="C103" s="7" t="inlineStr">
        <is>
          <t>common</t>
        </is>
      </c>
      <c r="D103" s="7" t="inlineStr">
        <is>
          <t>guided_causal_engine</t>
        </is>
      </c>
      <c r="E103" s="7" t="n">
        <v>11</v>
      </c>
      <c r="F103" s="7" t="inlineStr">
        <is>
          <t>gemini-3.5-flash</t>
        </is>
      </c>
      <c r="G103" s="7" t="n">
        <v>945</v>
      </c>
      <c r="H103" s="7" t="n">
        <v>275</v>
      </c>
      <c r="I103" s="7" t="n">
        <v>2274</v>
      </c>
      <c r="J103" s="7" t="inlineStr">
        <is>
          <t>sdk_usage_metadata</t>
        </is>
      </c>
      <c r="K103" s="7" t="inlineStr">
        <is>
          <t>success</t>
        </is>
      </c>
      <c r="L103" s="7" t="inlineStr"/>
      <c r="M103" s="7" t="n">
        <v>48</v>
      </c>
    </row>
    <row r="104" ht="34" customHeight="1">
      <c r="A104" s="7" t="n">
        <v>103</v>
      </c>
      <c r="B104" s="7" t="inlineStr">
        <is>
          <t>2026-07-30T19:16:15Z</t>
        </is>
      </c>
      <c r="C104" s="7" t="inlineStr">
        <is>
          <t>vlm_guided</t>
        </is>
      </c>
      <c r="D104" s="7" t="inlineStr">
        <is>
          <t>vlm_guided_scoring</t>
        </is>
      </c>
      <c r="E104" s="7" t="n">
        <v>11</v>
      </c>
      <c r="F104" s="7" t="inlineStr">
        <is>
          <t>gemini-3.5-flash</t>
        </is>
      </c>
      <c r="G104" s="7" t="n">
        <v>1207</v>
      </c>
      <c r="H104" s="7" t="n">
        <v>105</v>
      </c>
      <c r="I104" s="7" t="n">
        <v>2065</v>
      </c>
      <c r="J104" s="7" t="inlineStr">
        <is>
          <t>sdk_usage_metadata</t>
        </is>
      </c>
      <c r="K104" s="7" t="inlineStr">
        <is>
          <t>success</t>
        </is>
      </c>
      <c r="L104" s="7" t="inlineStr"/>
      <c r="M104" s="7" t="n">
        <v>21</v>
      </c>
    </row>
    <row r="105" ht="34" customHeight="1">
      <c r="A105" s="7" t="n">
        <v>104</v>
      </c>
      <c r="B105" s="7" t="inlineStr">
        <is>
          <t>2026-07-30T19:16:35Z</t>
        </is>
      </c>
      <c r="C105" s="7" t="inlineStr">
        <is>
          <t>vlm_free</t>
        </is>
      </c>
      <c r="D105" s="7" t="inlineStr">
        <is>
          <t>vlm_free_descriptive_causal</t>
        </is>
      </c>
      <c r="E105" s="7" t="n">
        <v>12</v>
      </c>
      <c r="F105" s="7" t="inlineStr">
        <is>
          <t>gemini-3.5-flash</t>
        </is>
      </c>
      <c r="G105" s="7" t="n">
        <v>738</v>
      </c>
      <c r="H105" s="7" t="n">
        <v>545</v>
      </c>
      <c r="I105" s="7" t="n">
        <v>3076</v>
      </c>
      <c r="J105" s="7" t="inlineStr">
        <is>
          <t>sdk_usage_metadata</t>
        </is>
      </c>
      <c r="K105" s="7" t="inlineStr">
        <is>
          <t>success</t>
        </is>
      </c>
      <c r="L105" s="7" t="inlineStr"/>
      <c r="M105" s="7" t="n">
        <v>35</v>
      </c>
    </row>
    <row r="106" ht="34" customHeight="1">
      <c r="A106" s="7" t="n">
        <v>105</v>
      </c>
      <c r="B106" s="7" t="inlineStr">
        <is>
          <t>2026-07-30T19:16:41Z</t>
        </is>
      </c>
      <c r="C106" s="7" t="inlineStr">
        <is>
          <t>vlm_free</t>
        </is>
      </c>
      <c r="D106" s="7" t="inlineStr">
        <is>
          <t>vlm_free_scoring</t>
        </is>
      </c>
      <c r="E106" s="7" t="n">
        <v>12</v>
      </c>
      <c r="F106" s="7" t="inlineStr">
        <is>
          <t>gemini-3.5-flash</t>
        </is>
      </c>
      <c r="G106" s="7" t="n">
        <v>841</v>
      </c>
      <c r="H106" s="7" t="n">
        <v>131</v>
      </c>
      <c r="I106" s="7" t="n">
        <v>1860</v>
      </c>
      <c r="J106" s="7" t="inlineStr">
        <is>
          <t>sdk_usage_metadata</t>
        </is>
      </c>
      <c r="K106" s="7" t="inlineStr">
        <is>
          <t>success</t>
        </is>
      </c>
      <c r="L106" s="7" t="inlineStr"/>
      <c r="M106" s="7" t="n">
        <v>36</v>
      </c>
    </row>
    <row r="107" ht="34" customHeight="1">
      <c r="A107" s="7" t="n">
        <v>106</v>
      </c>
      <c r="B107" s="7" t="inlineStr">
        <is>
          <t>2026-07-30T19:16:48Z</t>
        </is>
      </c>
      <c r="C107" s="7" t="inlineStr">
        <is>
          <t>common</t>
        </is>
      </c>
      <c r="D107" s="7" t="inlineStr">
        <is>
          <t>guided_descriptive_prompt</t>
        </is>
      </c>
      <c r="E107" s="7" t="n">
        <v>12</v>
      </c>
      <c r="F107" s="7" t="inlineStr">
        <is>
          <t>gemini-3.5-flash</t>
        </is>
      </c>
      <c r="G107" s="7" t="n">
        <v>578</v>
      </c>
      <c r="H107" s="7" t="n">
        <v>342</v>
      </c>
      <c r="I107" s="7" t="n">
        <v>1911</v>
      </c>
      <c r="J107" s="7" t="inlineStr">
        <is>
          <t>sdk_usage_metadata</t>
        </is>
      </c>
      <c r="K107" s="7" t="inlineStr">
        <is>
          <t>success</t>
        </is>
      </c>
      <c r="L107" s="7" t="inlineStr"/>
      <c r="M107" s="7" t="n">
        <v>49</v>
      </c>
    </row>
    <row r="108" ht="34" customHeight="1">
      <c r="A108" s="7" t="n">
        <v>107</v>
      </c>
      <c r="B108" s="7" t="inlineStr">
        <is>
          <t>2026-07-30T19:16:56Z</t>
        </is>
      </c>
      <c r="C108" s="7" t="inlineStr">
        <is>
          <t>common</t>
        </is>
      </c>
      <c r="D108" s="7" t="inlineStr">
        <is>
          <t>guided_descriptive_prompt</t>
        </is>
      </c>
      <c r="E108" s="7" t="n">
        <v>12</v>
      </c>
      <c r="F108" s="7" t="inlineStr">
        <is>
          <t>gemini-3.5-flash</t>
        </is>
      </c>
      <c r="G108" s="7" t="n">
        <v>578</v>
      </c>
      <c r="H108" s="7" t="n">
        <v>368</v>
      </c>
      <c r="I108" s="7" t="n">
        <v>1946</v>
      </c>
      <c r="J108" s="7" t="inlineStr">
        <is>
          <t>sdk_usage_metadata</t>
        </is>
      </c>
      <c r="K108" s="7" t="inlineStr">
        <is>
          <t>success</t>
        </is>
      </c>
      <c r="L108" s="7" t="inlineStr"/>
      <c r="M108" s="7" t="n">
        <v>50</v>
      </c>
    </row>
    <row r="109" ht="34" customHeight="1">
      <c r="A109" s="7" t="n">
        <v>108</v>
      </c>
      <c r="B109" s="7" t="inlineStr">
        <is>
          <t>2026-07-30T19:17:04Z</t>
        </is>
      </c>
      <c r="C109" s="7" t="inlineStr">
        <is>
          <t>common</t>
        </is>
      </c>
      <c r="D109" s="7" t="inlineStr">
        <is>
          <t>guided_descriptive_prompt</t>
        </is>
      </c>
      <c r="E109" s="7" t="n">
        <v>12</v>
      </c>
      <c r="F109" s="7" t="inlineStr">
        <is>
          <t>gemini-3.5-flash</t>
        </is>
      </c>
      <c r="G109" s="7" t="n">
        <v>578</v>
      </c>
      <c r="H109" s="7" t="n">
        <v>307</v>
      </c>
      <c r="I109" s="7" t="n">
        <v>1778</v>
      </c>
      <c r="J109" s="7" t="inlineStr">
        <is>
          <t>sdk_usage_metadata</t>
        </is>
      </c>
      <c r="K109" s="7" t="inlineStr">
        <is>
          <t>success</t>
        </is>
      </c>
      <c r="L109" s="7" t="inlineStr"/>
      <c r="M109" s="7" t="n">
        <v>51</v>
      </c>
    </row>
    <row r="110" ht="34" customHeight="1">
      <c r="A110" s="7" t="n">
        <v>109</v>
      </c>
      <c r="B110" s="7" t="inlineStr">
        <is>
          <t>2026-07-30T19:17:13Z</t>
        </is>
      </c>
      <c r="C110" s="7" t="inlineStr">
        <is>
          <t>common</t>
        </is>
      </c>
      <c r="D110" s="7" t="inlineStr">
        <is>
          <t>guided_question_set</t>
        </is>
      </c>
      <c r="E110" s="7" t="n">
        <v>12</v>
      </c>
      <c r="F110" s="7" t="inlineStr">
        <is>
          <t>gemini-3.5-flash</t>
        </is>
      </c>
      <c r="G110" s="7" t="n">
        <v>1787</v>
      </c>
      <c r="H110" s="7" t="n">
        <v>369</v>
      </c>
      <c r="I110" s="7" t="n">
        <v>3454</v>
      </c>
      <c r="J110" s="7" t="inlineStr">
        <is>
          <t>sdk_usage_metadata</t>
        </is>
      </c>
      <c r="K110" s="7" t="inlineStr">
        <is>
          <t>success</t>
        </is>
      </c>
      <c r="L110" s="7" t="inlineStr"/>
      <c r="M110" s="7" t="n">
        <v>52</v>
      </c>
    </row>
    <row r="111" ht="34" customHeight="1">
      <c r="A111" s="7" t="n">
        <v>110</v>
      </c>
      <c r="B111" s="7" t="inlineStr">
        <is>
          <t>2026-07-30T19:17:18Z</t>
        </is>
      </c>
      <c r="C111" s="7" t="inlineStr">
        <is>
          <t>common</t>
        </is>
      </c>
      <c r="D111" s="7" t="inlineStr">
        <is>
          <t>guided_causal_engine</t>
        </is>
      </c>
      <c r="E111" s="7" t="n">
        <v>12</v>
      </c>
      <c r="F111" s="7" t="inlineStr">
        <is>
          <t>gemini-3.5-flash</t>
        </is>
      </c>
      <c r="G111" s="7" t="n">
        <v>961</v>
      </c>
      <c r="H111" s="7" t="n">
        <v>228</v>
      </c>
      <c r="I111" s="7" t="n">
        <v>1967</v>
      </c>
      <c r="J111" s="7" t="inlineStr">
        <is>
          <t>sdk_usage_metadata</t>
        </is>
      </c>
      <c r="K111" s="7" t="inlineStr">
        <is>
          <t>success</t>
        </is>
      </c>
      <c r="L111" s="7" t="inlineStr"/>
      <c r="M111" s="7" t="n">
        <v>53</v>
      </c>
    </row>
    <row r="112" ht="34" customHeight="1">
      <c r="A112" s="7" t="n">
        <v>111</v>
      </c>
      <c r="B112" s="7" t="inlineStr">
        <is>
          <t>2026-07-30T19:17:23Z</t>
        </is>
      </c>
      <c r="C112" s="7" t="inlineStr">
        <is>
          <t>vlm_guided</t>
        </is>
      </c>
      <c r="D112" s="7" t="inlineStr">
        <is>
          <t>vlm_guided_scoring</t>
        </is>
      </c>
      <c r="E112" s="7" t="n">
        <v>12</v>
      </c>
      <c r="F112" s="7" t="inlineStr">
        <is>
          <t>gemini-3.5-flash</t>
        </is>
      </c>
      <c r="G112" s="7" t="n">
        <v>1176</v>
      </c>
      <c r="H112" s="7" t="n">
        <v>90</v>
      </c>
      <c r="I112" s="7" t="n">
        <v>2095</v>
      </c>
      <c r="J112" s="7" t="inlineStr">
        <is>
          <t>sdk_usage_metadata</t>
        </is>
      </c>
      <c r="K112" s="7" t="inlineStr">
        <is>
          <t>success</t>
        </is>
      </c>
      <c r="L112" s="7" t="inlineStr"/>
      <c r="M112" s="7" t="n">
        <v>22</v>
      </c>
    </row>
    <row r="113" ht="34" customHeight="1">
      <c r="A113" s="7" t="n">
        <v>112</v>
      </c>
      <c r="B113" s="7" t="inlineStr">
        <is>
          <t>2026-07-30T19:17:40Z</t>
        </is>
      </c>
      <c r="C113" s="7" t="inlineStr">
        <is>
          <t>vlm_free</t>
        </is>
      </c>
      <c r="D113" s="7" t="inlineStr">
        <is>
          <t>vlm_free_descriptive_causal</t>
        </is>
      </c>
      <c r="E113" s="7" t="n">
        <v>13</v>
      </c>
      <c r="F113" s="7" t="inlineStr">
        <is>
          <t>gemini-3.5-flash</t>
        </is>
      </c>
      <c r="G113" s="7" t="n">
        <v>738</v>
      </c>
      <c r="H113" s="7" t="n">
        <v>468</v>
      </c>
      <c r="I113" s="7" t="n">
        <v>2435</v>
      </c>
      <c r="J113" s="7" t="inlineStr">
        <is>
          <t>sdk_usage_metadata</t>
        </is>
      </c>
      <c r="K113" s="7" t="inlineStr">
        <is>
          <t>success</t>
        </is>
      </c>
      <c r="L113" s="7" t="inlineStr"/>
      <c r="M113" s="7" t="n">
        <v>37</v>
      </c>
    </row>
    <row r="114" ht="34" customHeight="1">
      <c r="A114" s="7" t="n">
        <v>113</v>
      </c>
      <c r="B114" s="7" t="inlineStr">
        <is>
          <t>2026-07-30T19:17:45Z</t>
        </is>
      </c>
      <c r="C114" s="7" t="inlineStr">
        <is>
          <t>vlm_free</t>
        </is>
      </c>
      <c r="D114" s="7" t="inlineStr">
        <is>
          <t>vlm_free_scoring</t>
        </is>
      </c>
      <c r="E114" s="7" t="n">
        <v>13</v>
      </c>
      <c r="F114" s="7" t="inlineStr">
        <is>
          <t>gemini-3.5-flash</t>
        </is>
      </c>
      <c r="G114" s="7" t="n">
        <v>763</v>
      </c>
      <c r="H114" s="7" t="n">
        <v>117</v>
      </c>
      <c r="I114" s="7" t="n">
        <v>1562</v>
      </c>
      <c r="J114" s="7" t="inlineStr">
        <is>
          <t>sdk_usage_metadata</t>
        </is>
      </c>
      <c r="K114" s="7" t="inlineStr">
        <is>
          <t>success</t>
        </is>
      </c>
      <c r="L114" s="7" t="inlineStr"/>
      <c r="M114" s="7" t="n">
        <v>38</v>
      </c>
    </row>
    <row r="115" ht="34" customHeight="1">
      <c r="A115" s="7" t="n">
        <v>114</v>
      </c>
      <c r="B115" s="7" t="inlineStr">
        <is>
          <t>2026-07-30T19:17:52Z</t>
        </is>
      </c>
      <c r="C115" s="7" t="inlineStr">
        <is>
          <t>common</t>
        </is>
      </c>
      <c r="D115" s="7" t="inlineStr">
        <is>
          <t>guided_descriptive_prompt</t>
        </is>
      </c>
      <c r="E115" s="7" t="n">
        <v>13</v>
      </c>
      <c r="F115" s="7" t="inlineStr">
        <is>
          <t>gemini-3.5-flash</t>
        </is>
      </c>
      <c r="G115" s="7" t="n">
        <v>578</v>
      </c>
      <c r="H115" s="7" t="n">
        <v>353</v>
      </c>
      <c r="I115" s="7" t="n">
        <v>1904</v>
      </c>
      <c r="J115" s="7" t="inlineStr">
        <is>
          <t>sdk_usage_metadata</t>
        </is>
      </c>
      <c r="K115" s="7" t="inlineStr">
        <is>
          <t>success</t>
        </is>
      </c>
      <c r="L115" s="7" t="inlineStr"/>
      <c r="M115" s="7" t="n">
        <v>54</v>
      </c>
    </row>
    <row r="116" ht="34" customHeight="1">
      <c r="A116" s="7" t="n">
        <v>115</v>
      </c>
      <c r="B116" s="7" t="inlineStr">
        <is>
          <t>2026-07-30T19:17:59Z</t>
        </is>
      </c>
      <c r="C116" s="7" t="inlineStr">
        <is>
          <t>common</t>
        </is>
      </c>
      <c r="D116" s="7" t="inlineStr">
        <is>
          <t>guided_descriptive_prompt</t>
        </is>
      </c>
      <c r="E116" s="7" t="n">
        <v>13</v>
      </c>
      <c r="F116" s="7" t="inlineStr">
        <is>
          <t>gemini-3.5-flash</t>
        </is>
      </c>
      <c r="G116" s="7" t="n">
        <v>578</v>
      </c>
      <c r="H116" s="7" t="n">
        <v>319</v>
      </c>
      <c r="I116" s="7" t="n">
        <v>1843</v>
      </c>
      <c r="J116" s="7" t="inlineStr">
        <is>
          <t>sdk_usage_metadata</t>
        </is>
      </c>
      <c r="K116" s="7" t="inlineStr">
        <is>
          <t>success</t>
        </is>
      </c>
      <c r="L116" s="7" t="inlineStr"/>
      <c r="M116" s="7" t="n">
        <v>55</v>
      </c>
    </row>
    <row r="117" ht="34" customHeight="1">
      <c r="A117" s="7" t="n">
        <v>116</v>
      </c>
      <c r="B117" s="7" t="inlineStr">
        <is>
          <t>2026-07-30T19:18:06Z</t>
        </is>
      </c>
      <c r="C117" s="7" t="inlineStr">
        <is>
          <t>common</t>
        </is>
      </c>
      <c r="D117" s="7" t="inlineStr">
        <is>
          <t>guided_question_set</t>
        </is>
      </c>
      <c r="E117" s="7" t="n">
        <v>13</v>
      </c>
      <c r="F117" s="7" t="inlineStr">
        <is>
          <t>gemini-3.5-flash</t>
        </is>
      </c>
      <c r="G117" s="7" t="n">
        <v>1799</v>
      </c>
      <c r="H117" s="7" t="n">
        <v>354</v>
      </c>
      <c r="I117" s="7" t="n">
        <v>3245</v>
      </c>
      <c r="J117" s="7" t="inlineStr">
        <is>
          <t>sdk_usage_metadata</t>
        </is>
      </c>
      <c r="K117" s="7" t="inlineStr">
        <is>
          <t>success</t>
        </is>
      </c>
      <c r="L117" s="7" t="inlineStr"/>
      <c r="M117" s="7" t="n">
        <v>56</v>
      </c>
    </row>
    <row r="118" ht="34" customHeight="1">
      <c r="A118" s="7" t="n">
        <v>117</v>
      </c>
      <c r="B118" s="7" t="inlineStr">
        <is>
          <t>2026-07-30T19:18:11Z</t>
        </is>
      </c>
      <c r="C118" s="7" t="inlineStr">
        <is>
          <t>common</t>
        </is>
      </c>
      <c r="D118" s="7" t="inlineStr">
        <is>
          <t>guided_causal_engine</t>
        </is>
      </c>
      <c r="E118" s="7" t="n">
        <v>13</v>
      </c>
      <c r="F118" s="7" t="inlineStr">
        <is>
          <t>gemini-3.5-flash</t>
        </is>
      </c>
      <c r="G118" s="7" t="n">
        <v>957</v>
      </c>
      <c r="H118" s="7" t="n">
        <v>209</v>
      </c>
      <c r="I118" s="7" t="n">
        <v>1934</v>
      </c>
      <c r="J118" s="7" t="inlineStr">
        <is>
          <t>sdk_usage_metadata</t>
        </is>
      </c>
      <c r="K118" s="7" t="inlineStr">
        <is>
          <t>success</t>
        </is>
      </c>
      <c r="L118" s="7" t="inlineStr"/>
      <c r="M118" s="7" t="n">
        <v>57</v>
      </c>
    </row>
    <row r="119" ht="34" customHeight="1">
      <c r="A119" s="7" t="n">
        <v>118</v>
      </c>
      <c r="B119" s="7" t="inlineStr">
        <is>
          <t>2026-07-30T19:18:16Z</t>
        </is>
      </c>
      <c r="C119" s="7" t="inlineStr">
        <is>
          <t>vlm_guided</t>
        </is>
      </c>
      <c r="D119" s="7" t="inlineStr">
        <is>
          <t>vlm_guided_scoring</t>
        </is>
      </c>
      <c r="E119" s="7" t="n">
        <v>13</v>
      </c>
      <c r="F119" s="7" t="inlineStr">
        <is>
          <t>gemini-3.5-flash</t>
        </is>
      </c>
      <c r="G119" s="7" t="n">
        <v>1153</v>
      </c>
      <c r="H119" s="7" t="n">
        <v>95</v>
      </c>
      <c r="I119" s="7" t="n">
        <v>2076</v>
      </c>
      <c r="J119" s="7" t="inlineStr">
        <is>
          <t>sdk_usage_metadata</t>
        </is>
      </c>
      <c r="K119" s="7" t="inlineStr">
        <is>
          <t>success</t>
        </is>
      </c>
      <c r="L119" s="7" t="inlineStr"/>
      <c r="M119" s="7" t="n">
        <v>23</v>
      </c>
    </row>
    <row r="120" ht="34" customHeight="1">
      <c r="A120" s="7" t="n">
        <v>119</v>
      </c>
      <c r="B120" s="7" t="inlineStr">
        <is>
          <t>2026-07-30T19:18:33Z</t>
        </is>
      </c>
      <c r="C120" s="7" t="inlineStr">
        <is>
          <t>vlm_free</t>
        </is>
      </c>
      <c r="D120" s="7" t="inlineStr">
        <is>
          <t>vlm_free_descriptive_causal</t>
        </is>
      </c>
      <c r="E120" s="7" t="n">
        <v>14</v>
      </c>
      <c r="F120" s="7" t="inlineStr">
        <is>
          <t>gemini-3.5-flash</t>
        </is>
      </c>
      <c r="G120" s="7" t="n">
        <v>738</v>
      </c>
      <c r="H120" s="7" t="n">
        <v>571</v>
      </c>
      <c r="I120" s="7" t="n">
        <v>2720</v>
      </c>
      <c r="J120" s="7" t="inlineStr">
        <is>
          <t>sdk_usage_metadata</t>
        </is>
      </c>
      <c r="K120" s="7" t="inlineStr">
        <is>
          <t>success</t>
        </is>
      </c>
      <c r="L120" s="7" t="inlineStr"/>
      <c r="M120" s="7" t="n">
        <v>39</v>
      </c>
    </row>
    <row r="121" ht="34" customHeight="1">
      <c r="A121" s="7" t="n">
        <v>120</v>
      </c>
      <c r="B121" s="7" t="inlineStr">
        <is>
          <t>2026-07-30T19:18:38Z</t>
        </is>
      </c>
      <c r="C121" s="7" t="inlineStr">
        <is>
          <t>vlm_free</t>
        </is>
      </c>
      <c r="D121" s="7" t="inlineStr">
        <is>
          <t>vlm_free_scoring</t>
        </is>
      </c>
      <c r="E121" s="7" t="n">
        <v>14</v>
      </c>
      <c r="F121" s="7" t="inlineStr">
        <is>
          <t>gemini-3.5-flash</t>
        </is>
      </c>
      <c r="G121" s="7" t="n">
        <v>866</v>
      </c>
      <c r="H121" s="7" t="n">
        <v>124</v>
      </c>
      <c r="I121" s="7" t="n">
        <v>1839</v>
      </c>
      <c r="J121" s="7" t="inlineStr">
        <is>
          <t>sdk_usage_metadata</t>
        </is>
      </c>
      <c r="K121" s="7" t="inlineStr">
        <is>
          <t>success</t>
        </is>
      </c>
      <c r="L121" s="7" t="inlineStr"/>
      <c r="M121" s="7" t="n">
        <v>40</v>
      </c>
    </row>
    <row r="122" ht="34" customHeight="1">
      <c r="A122" s="7" t="n">
        <v>121</v>
      </c>
      <c r="B122" s="7" t="inlineStr">
        <is>
          <t>2026-07-30T19:18:46Z</t>
        </is>
      </c>
      <c r="C122" s="7" t="inlineStr">
        <is>
          <t>common</t>
        </is>
      </c>
      <c r="D122" s="7" t="inlineStr">
        <is>
          <t>guided_descriptive_prompt</t>
        </is>
      </c>
      <c r="E122" s="7" t="n">
        <v>14</v>
      </c>
      <c r="F122" s="7" t="inlineStr">
        <is>
          <t>gemini-3.5-flash</t>
        </is>
      </c>
      <c r="G122" s="7" t="n">
        <v>578</v>
      </c>
      <c r="H122" s="7" t="n">
        <v>288</v>
      </c>
      <c r="I122" s="7" t="n">
        <v>2196</v>
      </c>
      <c r="J122" s="7" t="inlineStr">
        <is>
          <t>sdk_usage_metadata</t>
        </is>
      </c>
      <c r="K122" s="7" t="inlineStr">
        <is>
          <t>success</t>
        </is>
      </c>
      <c r="L122" s="7" t="inlineStr"/>
      <c r="M122" s="7" t="n">
        <v>58</v>
      </c>
    </row>
    <row r="123" ht="34" customHeight="1">
      <c r="A123" s="7" t="n">
        <v>122</v>
      </c>
      <c r="B123" s="7" t="inlineStr">
        <is>
          <t>2026-07-30T19:18:54Z</t>
        </is>
      </c>
      <c r="C123" s="7" t="inlineStr">
        <is>
          <t>common</t>
        </is>
      </c>
      <c r="D123" s="7" t="inlineStr">
        <is>
          <t>guided_descriptive_prompt</t>
        </is>
      </c>
      <c r="E123" s="7" t="n">
        <v>14</v>
      </c>
      <c r="F123" s="7" t="inlineStr">
        <is>
          <t>gemini-3.5-flash</t>
        </is>
      </c>
      <c r="G123" s="7" t="n">
        <v>578</v>
      </c>
      <c r="H123" s="7" t="n">
        <v>269</v>
      </c>
      <c r="I123" s="7" t="n">
        <v>2020</v>
      </c>
      <c r="J123" s="7" t="inlineStr">
        <is>
          <t>sdk_usage_metadata</t>
        </is>
      </c>
      <c r="K123" s="7" t="inlineStr">
        <is>
          <t>success</t>
        </is>
      </c>
      <c r="L123" s="7" t="inlineStr"/>
      <c r="M123" s="7" t="n">
        <v>59</v>
      </c>
    </row>
    <row r="124" ht="34" customHeight="1">
      <c r="A124" s="7" t="n">
        <v>123</v>
      </c>
      <c r="B124" s="7" t="inlineStr">
        <is>
          <t>2026-07-30T19:19:01Z</t>
        </is>
      </c>
      <c r="C124" s="7" t="inlineStr">
        <is>
          <t>common</t>
        </is>
      </c>
      <c r="D124" s="7" t="inlineStr">
        <is>
          <t>guided_descriptive_prompt</t>
        </is>
      </c>
      <c r="E124" s="7" t="n">
        <v>14</v>
      </c>
      <c r="F124" s="7" t="inlineStr">
        <is>
          <t>gemini-3.5-flash</t>
        </is>
      </c>
      <c r="G124" s="7" t="n">
        <v>578</v>
      </c>
      <c r="H124" s="7" t="n">
        <v>361</v>
      </c>
      <c r="I124" s="7" t="n">
        <v>1848</v>
      </c>
      <c r="J124" s="7" t="inlineStr">
        <is>
          <t>sdk_usage_metadata</t>
        </is>
      </c>
      <c r="K124" s="7" t="inlineStr">
        <is>
          <t>success</t>
        </is>
      </c>
      <c r="L124" s="7" t="inlineStr"/>
      <c r="M124" s="7" t="n">
        <v>60</v>
      </c>
    </row>
    <row r="125" ht="34" customHeight="1">
      <c r="A125" s="7" t="n">
        <v>124</v>
      </c>
      <c r="B125" s="7" t="inlineStr">
        <is>
          <t>2026-07-30T19:19:11Z</t>
        </is>
      </c>
      <c r="C125" s="7" t="inlineStr">
        <is>
          <t>common</t>
        </is>
      </c>
      <c r="D125" s="7" t="inlineStr">
        <is>
          <t>guided_question_set</t>
        </is>
      </c>
      <c r="E125" s="7" t="n">
        <v>14</v>
      </c>
      <c r="F125" s="7" t="inlineStr">
        <is>
          <t>gemini-3.5-flash</t>
        </is>
      </c>
      <c r="G125" s="7" t="n">
        <v>1841</v>
      </c>
      <c r="H125" s="7" t="n">
        <v>342</v>
      </c>
      <c r="I125" s="7" t="n">
        <v>3802</v>
      </c>
      <c r="J125" s="7" t="inlineStr">
        <is>
          <t>sdk_usage_metadata</t>
        </is>
      </c>
      <c r="K125" s="7" t="inlineStr">
        <is>
          <t>success</t>
        </is>
      </c>
      <c r="L125" s="7" t="inlineStr"/>
      <c r="M125" s="7" t="n">
        <v>61</v>
      </c>
    </row>
    <row r="126" ht="34" customHeight="1">
      <c r="A126" s="7" t="n">
        <v>125</v>
      </c>
      <c r="B126" s="7" t="inlineStr">
        <is>
          <t>2026-07-30T19:19:21Z</t>
        </is>
      </c>
      <c r="C126" s="7" t="inlineStr">
        <is>
          <t>common</t>
        </is>
      </c>
      <c r="D126" s="7" t="inlineStr">
        <is>
          <t>guided_question_set</t>
        </is>
      </c>
      <c r="E126" s="7" t="n">
        <v>14</v>
      </c>
      <c r="F126" s="7" t="inlineStr">
        <is>
          <t>gemini-3.5-flash</t>
        </is>
      </c>
      <c r="G126" s="7" t="n">
        <v>1841</v>
      </c>
      <c r="H126" s="7" t="n">
        <v>391</v>
      </c>
      <c r="I126" s="7" t="n">
        <v>3451</v>
      </c>
      <c r="J126" s="7" t="inlineStr">
        <is>
          <t>sdk_usage_metadata</t>
        </is>
      </c>
      <c r="K126" s="7" t="inlineStr">
        <is>
          <t>success</t>
        </is>
      </c>
      <c r="L126" s="7" t="inlineStr"/>
      <c r="M126" s="7" t="n">
        <v>62</v>
      </c>
    </row>
    <row r="127" ht="34" customHeight="1">
      <c r="A127" s="7" t="n">
        <v>126</v>
      </c>
      <c r="B127" s="7" t="inlineStr">
        <is>
          <t>2026-07-30T19:19:28Z</t>
        </is>
      </c>
      <c r="C127" s="7" t="inlineStr">
        <is>
          <t>common</t>
        </is>
      </c>
      <c r="D127" s="7" t="inlineStr">
        <is>
          <t>guided_causal_engine</t>
        </is>
      </c>
      <c r="E127" s="7" t="n">
        <v>14</v>
      </c>
      <c r="F127" s="7" t="inlineStr">
        <is>
          <t>gemini-3.5-flash</t>
        </is>
      </c>
      <c r="G127" s="7" t="n">
        <v>1036</v>
      </c>
      <c r="H127" s="7" t="n">
        <v>247</v>
      </c>
      <c r="I127" s="7" t="n">
        <v>2246</v>
      </c>
      <c r="J127" s="7" t="inlineStr">
        <is>
          <t>sdk_usage_metadata</t>
        </is>
      </c>
      <c r="K127" s="7" t="inlineStr">
        <is>
          <t>success</t>
        </is>
      </c>
      <c r="L127" s="7" t="inlineStr"/>
      <c r="M127" s="7" t="n">
        <v>63</v>
      </c>
    </row>
    <row r="128" ht="34" customHeight="1">
      <c r="A128" s="7" t="n">
        <v>127</v>
      </c>
      <c r="B128" s="7" t="inlineStr">
        <is>
          <t>2026-07-30T19:19:33Z</t>
        </is>
      </c>
      <c r="C128" s="7" t="inlineStr">
        <is>
          <t>vlm_guided</t>
        </is>
      </c>
      <c r="D128" s="7" t="inlineStr">
        <is>
          <t>vlm_guided_scoring</t>
        </is>
      </c>
      <c r="E128" s="7" t="n">
        <v>14</v>
      </c>
      <c r="F128" s="7" t="inlineStr">
        <is>
          <t>gemini-3.5-flash</t>
        </is>
      </c>
      <c r="G128" s="7" t="n">
        <v>1269</v>
      </c>
      <c r="H128" s="7" t="n">
        <v>99</v>
      </c>
      <c r="I128" s="7" t="n">
        <v>2184</v>
      </c>
      <c r="J128" s="7" t="inlineStr">
        <is>
          <t>sdk_usage_metadata</t>
        </is>
      </c>
      <c r="K128" s="7" t="inlineStr">
        <is>
          <t>success</t>
        </is>
      </c>
      <c r="L128" s="7" t="inlineStr"/>
      <c r="M128" s="7" t="n">
        <v>24</v>
      </c>
    </row>
    <row r="129" ht="34" customHeight="1">
      <c r="A129" s="7" t="n">
        <v>128</v>
      </c>
      <c r="B129" s="7" t="inlineStr">
        <is>
          <t>2026-07-30T19:19:50Z</t>
        </is>
      </c>
      <c r="C129" s="7" t="inlineStr">
        <is>
          <t>vlm_free</t>
        </is>
      </c>
      <c r="D129" s="7" t="inlineStr">
        <is>
          <t>vlm_free_descriptive_causal</t>
        </is>
      </c>
      <c r="E129" s="7" t="n">
        <v>15</v>
      </c>
      <c r="F129" s="7" t="inlineStr">
        <is>
          <t>gemini-3.5-flash</t>
        </is>
      </c>
      <c r="G129" s="7" t="n">
        <v>738</v>
      </c>
      <c r="H129" s="7" t="n">
        <v>884</v>
      </c>
      <c r="I129" s="7" t="n">
        <v>2356</v>
      </c>
      <c r="J129" s="7" t="inlineStr">
        <is>
          <t>sdk_usage_metadata</t>
        </is>
      </c>
      <c r="K129" s="7" t="inlineStr">
        <is>
          <t>success</t>
        </is>
      </c>
      <c r="L129" s="7" t="inlineStr"/>
      <c r="M129" s="7" t="n">
        <v>41</v>
      </c>
    </row>
    <row r="130" ht="34" customHeight="1">
      <c r="A130" s="7" t="n">
        <v>129</v>
      </c>
      <c r="B130" s="7" t="inlineStr">
        <is>
          <t>2026-07-30T19:19:55Z</t>
        </is>
      </c>
      <c r="C130" s="7" t="inlineStr">
        <is>
          <t>vlm_free</t>
        </is>
      </c>
      <c r="D130" s="7" t="inlineStr">
        <is>
          <t>vlm_free_scoring</t>
        </is>
      </c>
      <c r="E130" s="7" t="n">
        <v>15</v>
      </c>
      <c r="F130" s="7" t="inlineStr">
        <is>
          <t>gemini-3.5-flash</t>
        </is>
      </c>
      <c r="G130" s="7" t="n">
        <v>1179</v>
      </c>
      <c r="H130" s="7" t="n">
        <v>122</v>
      </c>
      <c r="I130" s="7" t="n">
        <v>2163</v>
      </c>
      <c r="J130" s="7" t="inlineStr">
        <is>
          <t>sdk_usage_metadata</t>
        </is>
      </c>
      <c r="K130" s="7" t="inlineStr">
        <is>
          <t>success</t>
        </is>
      </c>
      <c r="L130" s="7" t="inlineStr"/>
      <c r="M130" s="7" t="n">
        <v>42</v>
      </c>
    </row>
    <row r="131" ht="34" customHeight="1">
      <c r="A131" s="7" t="n">
        <v>130</v>
      </c>
      <c r="B131" s="7" t="inlineStr">
        <is>
          <t>2026-07-30T19:20:02Z</t>
        </is>
      </c>
      <c r="C131" s="7" t="inlineStr">
        <is>
          <t>common</t>
        </is>
      </c>
      <c r="D131" s="7" t="inlineStr">
        <is>
          <t>guided_descriptive_prompt</t>
        </is>
      </c>
      <c r="E131" s="7" t="n">
        <v>15</v>
      </c>
      <c r="F131" s="7" t="inlineStr">
        <is>
          <t>gemini-3.5-flash</t>
        </is>
      </c>
      <c r="G131" s="7" t="n">
        <v>578</v>
      </c>
      <c r="H131" s="7" t="n">
        <v>257</v>
      </c>
      <c r="I131" s="7" t="n">
        <v>1986</v>
      </c>
      <c r="J131" s="7" t="inlineStr">
        <is>
          <t>sdk_usage_metadata</t>
        </is>
      </c>
      <c r="K131" s="7" t="inlineStr">
        <is>
          <t>success</t>
        </is>
      </c>
      <c r="L131" s="7" t="inlineStr"/>
      <c r="M131" s="7" t="n">
        <v>64</v>
      </c>
    </row>
    <row r="132" ht="34" customHeight="1">
      <c r="A132" s="7" t="n">
        <v>131</v>
      </c>
      <c r="B132" s="7" t="inlineStr">
        <is>
          <t>2026-07-30T19:20:10Z</t>
        </is>
      </c>
      <c r="C132" s="7" t="inlineStr">
        <is>
          <t>common</t>
        </is>
      </c>
      <c r="D132" s="7" t="inlineStr">
        <is>
          <t>guided_question_set</t>
        </is>
      </c>
      <c r="E132" s="7" t="n">
        <v>15</v>
      </c>
      <c r="F132" s="7" t="inlineStr">
        <is>
          <t>gemini-3.5-flash</t>
        </is>
      </c>
      <c r="G132" s="7" t="n">
        <v>1737</v>
      </c>
      <c r="H132" s="7" t="n">
        <v>362</v>
      </c>
      <c r="I132" s="7" t="n">
        <v>3185</v>
      </c>
      <c r="J132" s="7" t="inlineStr">
        <is>
          <t>sdk_usage_metadata</t>
        </is>
      </c>
      <c r="K132" s="7" t="inlineStr">
        <is>
          <t>success</t>
        </is>
      </c>
      <c r="L132" s="7" t="inlineStr"/>
      <c r="M132" s="7" t="n">
        <v>65</v>
      </c>
    </row>
    <row r="133" ht="34" customHeight="1">
      <c r="A133" s="7" t="n">
        <v>132</v>
      </c>
      <c r="B133" s="7" t="inlineStr">
        <is>
          <t>2026-07-30T19:20:15Z</t>
        </is>
      </c>
      <c r="C133" s="7" t="inlineStr">
        <is>
          <t>common</t>
        </is>
      </c>
      <c r="D133" s="7" t="inlineStr">
        <is>
          <t>guided_causal_engine</t>
        </is>
      </c>
      <c r="E133" s="7" t="n">
        <v>15</v>
      </c>
      <c r="F133" s="7" t="inlineStr">
        <is>
          <t>gemini-3.5-flash</t>
        </is>
      </c>
      <c r="G133" s="7" t="n">
        <v>903</v>
      </c>
      <c r="H133" s="7" t="n">
        <v>240</v>
      </c>
      <c r="I133" s="7" t="n">
        <v>1994</v>
      </c>
      <c r="J133" s="7" t="inlineStr">
        <is>
          <t>sdk_usage_metadata</t>
        </is>
      </c>
      <c r="K133" s="7" t="inlineStr">
        <is>
          <t>success</t>
        </is>
      </c>
      <c r="L133" s="7" t="inlineStr"/>
      <c r="M133" s="7" t="n">
        <v>66</v>
      </c>
    </row>
    <row r="134" ht="34" customHeight="1">
      <c r="A134" s="7" t="n">
        <v>133</v>
      </c>
      <c r="B134" s="7" t="inlineStr">
        <is>
          <t>2026-07-30T19:20:20Z</t>
        </is>
      </c>
      <c r="C134" s="7" t="inlineStr">
        <is>
          <t>vlm_guided</t>
        </is>
      </c>
      <c r="D134" s="7" t="inlineStr">
        <is>
          <t>vlm_guided_scoring</t>
        </is>
      </c>
      <c r="E134" s="7" t="n">
        <v>15</v>
      </c>
      <c r="F134" s="7" t="inlineStr">
        <is>
          <t>gemini-3.5-flash</t>
        </is>
      </c>
      <c r="G134" s="7" t="n">
        <v>1130</v>
      </c>
      <c r="H134" s="7" t="n">
        <v>99</v>
      </c>
      <c r="I134" s="7" t="n">
        <v>2137</v>
      </c>
      <c r="J134" s="7" t="inlineStr">
        <is>
          <t>sdk_usage_metadata</t>
        </is>
      </c>
      <c r="K134" s="7" t="inlineStr">
        <is>
          <t>success</t>
        </is>
      </c>
      <c r="L134" s="7" t="inlineStr"/>
      <c r="M134" s="7" t="n">
        <v>25</v>
      </c>
    </row>
    <row r="135" ht="34" customHeight="1">
      <c r="A135" s="7" t="n">
        <v>134</v>
      </c>
      <c r="B135" s="7" t="inlineStr">
        <is>
          <t>2026-07-30T19:20:39Z</t>
        </is>
      </c>
      <c r="C135" s="7" t="inlineStr">
        <is>
          <t>vlm_free</t>
        </is>
      </c>
      <c r="D135" s="7" t="inlineStr">
        <is>
          <t>vlm_free_descriptive_causal</t>
        </is>
      </c>
      <c r="E135" s="7" t="n">
        <v>16</v>
      </c>
      <c r="F135" s="7" t="inlineStr">
        <is>
          <t>gemini-3.5-flash</t>
        </is>
      </c>
      <c r="G135" s="7" t="n">
        <v>738</v>
      </c>
      <c r="H135" s="7" t="n">
        <v>436</v>
      </c>
      <c r="I135" s="7" t="n">
        <v>2738</v>
      </c>
      <c r="J135" s="7" t="inlineStr">
        <is>
          <t>sdk_usage_metadata</t>
        </is>
      </c>
      <c r="K135" s="7" t="inlineStr">
        <is>
          <t>success</t>
        </is>
      </c>
      <c r="L135" s="7" t="inlineStr"/>
      <c r="M135" s="7" t="n">
        <v>43</v>
      </c>
    </row>
    <row r="136" ht="34" customHeight="1">
      <c r="A136" s="7" t="n">
        <v>135</v>
      </c>
      <c r="B136" s="7" t="inlineStr">
        <is>
          <t>2026-07-30T19:20:44Z</t>
        </is>
      </c>
      <c r="C136" s="7" t="inlineStr">
        <is>
          <t>vlm_free</t>
        </is>
      </c>
      <c r="D136" s="7" t="inlineStr">
        <is>
          <t>vlm_free_scoring</t>
        </is>
      </c>
      <c r="E136" s="7" t="n">
        <v>16</v>
      </c>
      <c r="F136" s="7" t="inlineStr">
        <is>
          <t>gemini-3.5-flash</t>
        </is>
      </c>
      <c r="G136" s="7" t="n">
        <v>731</v>
      </c>
      <c r="H136" s="7" t="n">
        <v>137</v>
      </c>
      <c r="I136" s="7" t="n">
        <v>1740</v>
      </c>
      <c r="J136" s="7" t="inlineStr">
        <is>
          <t>sdk_usage_metadata</t>
        </is>
      </c>
      <c r="K136" s="7" t="inlineStr">
        <is>
          <t>success</t>
        </is>
      </c>
      <c r="L136" s="7" t="inlineStr"/>
      <c r="M136" s="7" t="n">
        <v>44</v>
      </c>
    </row>
    <row r="137" ht="34" customHeight="1">
      <c r="A137" s="7" t="n">
        <v>136</v>
      </c>
      <c r="B137" s="7" t="inlineStr">
        <is>
          <t>2026-07-30T19:20:51Z</t>
        </is>
      </c>
      <c r="C137" s="7" t="inlineStr">
        <is>
          <t>common</t>
        </is>
      </c>
      <c r="D137" s="7" t="inlineStr">
        <is>
          <t>guided_descriptive_prompt</t>
        </is>
      </c>
      <c r="E137" s="7" t="n">
        <v>16</v>
      </c>
      <c r="F137" s="7" t="inlineStr">
        <is>
          <t>gemini-3.5-flash</t>
        </is>
      </c>
      <c r="G137" s="7" t="n">
        <v>578</v>
      </c>
      <c r="H137" s="7" t="n">
        <v>320</v>
      </c>
      <c r="I137" s="7" t="n">
        <v>1971</v>
      </c>
      <c r="J137" s="7" t="inlineStr">
        <is>
          <t>sdk_usage_metadata</t>
        </is>
      </c>
      <c r="K137" s="7" t="inlineStr">
        <is>
          <t>success</t>
        </is>
      </c>
      <c r="L137" s="7" t="inlineStr"/>
      <c r="M137" s="7" t="n">
        <v>67</v>
      </c>
    </row>
    <row r="138" ht="34" customHeight="1">
      <c r="A138" s="7" t="n">
        <v>137</v>
      </c>
      <c r="B138" s="7" t="inlineStr">
        <is>
          <t>2026-07-30T19:20:58Z</t>
        </is>
      </c>
      <c r="C138" s="7" t="inlineStr">
        <is>
          <t>common</t>
        </is>
      </c>
      <c r="D138" s="7" t="inlineStr">
        <is>
          <t>guided_descriptive_prompt</t>
        </is>
      </c>
      <c r="E138" s="7" t="n">
        <v>16</v>
      </c>
      <c r="F138" s="7" t="inlineStr">
        <is>
          <t>gemini-3.5-flash</t>
        </is>
      </c>
      <c r="G138" s="7" t="n">
        <v>578</v>
      </c>
      <c r="H138" s="7" t="n">
        <v>300</v>
      </c>
      <c r="I138" s="7" t="n">
        <v>1725</v>
      </c>
      <c r="J138" s="7" t="inlineStr">
        <is>
          <t>sdk_usage_metadata</t>
        </is>
      </c>
      <c r="K138" s="7" t="inlineStr">
        <is>
          <t>success</t>
        </is>
      </c>
      <c r="L138" s="7" t="inlineStr"/>
      <c r="M138" s="7" t="n">
        <v>68</v>
      </c>
    </row>
    <row r="139" ht="34" customHeight="1">
      <c r="A139" s="7" t="n">
        <v>138</v>
      </c>
      <c r="B139" s="7" t="inlineStr">
        <is>
          <t>2026-07-30T19:21:05Z</t>
        </is>
      </c>
      <c r="C139" s="7" t="inlineStr">
        <is>
          <t>common</t>
        </is>
      </c>
      <c r="D139" s="7" t="inlineStr">
        <is>
          <t>guided_question_set</t>
        </is>
      </c>
      <c r="E139" s="7" t="n">
        <v>16</v>
      </c>
      <c r="F139" s="7" t="inlineStr">
        <is>
          <t>gemini-3.5-flash</t>
        </is>
      </c>
      <c r="G139" s="7" t="n">
        <v>1780</v>
      </c>
      <c r="H139" s="7" t="n">
        <v>388</v>
      </c>
      <c r="I139" s="7" t="n">
        <v>3325</v>
      </c>
      <c r="J139" s="7" t="inlineStr">
        <is>
          <t>sdk_usage_metadata</t>
        </is>
      </c>
      <c r="K139" s="7" t="inlineStr">
        <is>
          <t>success</t>
        </is>
      </c>
      <c r="L139" s="7" t="inlineStr"/>
      <c r="M139" s="7" t="n">
        <v>69</v>
      </c>
    </row>
    <row r="140" ht="34" customHeight="1">
      <c r="A140" s="7" t="n">
        <v>139</v>
      </c>
      <c r="B140" s="7" t="inlineStr">
        <is>
          <t>2026-07-30T19:21:12Z</t>
        </is>
      </c>
      <c r="C140" s="7" t="inlineStr">
        <is>
          <t>common</t>
        </is>
      </c>
      <c r="D140" s="7" t="inlineStr">
        <is>
          <t>guided_causal_engine</t>
        </is>
      </c>
      <c r="E140" s="7" t="n">
        <v>16</v>
      </c>
      <c r="F140" s="7" t="inlineStr">
        <is>
          <t>gemini-3.5-flash</t>
        </is>
      </c>
      <c r="G140" s="7" t="n">
        <v>973</v>
      </c>
      <c r="H140" s="7" t="n">
        <v>258</v>
      </c>
      <c r="I140" s="7" t="n">
        <v>2296</v>
      </c>
      <c r="J140" s="7" t="inlineStr">
        <is>
          <t>sdk_usage_metadata</t>
        </is>
      </c>
      <c r="K140" s="7" t="inlineStr">
        <is>
          <t>success</t>
        </is>
      </c>
      <c r="L140" s="7" t="inlineStr"/>
      <c r="M140" s="7" t="n">
        <v>70</v>
      </c>
    </row>
    <row r="141" ht="34" customHeight="1">
      <c r="A141" s="7" t="n">
        <v>140</v>
      </c>
      <c r="B141" s="7" t="inlineStr">
        <is>
          <t>2026-07-30T19:21:19Z</t>
        </is>
      </c>
      <c r="C141" s="7" t="inlineStr">
        <is>
          <t>common</t>
        </is>
      </c>
      <c r="D141" s="7" t="inlineStr">
        <is>
          <t>guided_causal_engine</t>
        </is>
      </c>
      <c r="E141" s="7" t="n">
        <v>16</v>
      </c>
      <c r="F141" s="7" t="inlineStr">
        <is>
          <t>gemini-3.5-flash</t>
        </is>
      </c>
      <c r="G141" s="7" t="n">
        <v>973</v>
      </c>
      <c r="H141" s="7" t="n">
        <v>193</v>
      </c>
      <c r="I141" s="7" t="n">
        <v>2425</v>
      </c>
      <c r="J141" s="7" t="inlineStr">
        <is>
          <t>sdk_usage_metadata</t>
        </is>
      </c>
      <c r="K141" s="7" t="inlineStr">
        <is>
          <t>success</t>
        </is>
      </c>
      <c r="L141" s="7" t="inlineStr"/>
      <c r="M141" s="7" t="n">
        <v>71</v>
      </c>
    </row>
    <row r="142" ht="34" customHeight="1">
      <c r="A142" s="7" t="n">
        <v>141</v>
      </c>
      <c r="B142" s="7" t="inlineStr">
        <is>
          <t>2026-07-30T19:21:24Z</t>
        </is>
      </c>
      <c r="C142" s="7" t="inlineStr">
        <is>
          <t>vlm_guided</t>
        </is>
      </c>
      <c r="D142" s="7" t="inlineStr">
        <is>
          <t>vlm_guided_scoring</t>
        </is>
      </c>
      <c r="E142" s="7" t="n">
        <v>16</v>
      </c>
      <c r="F142" s="7" t="inlineStr">
        <is>
          <t>gemini-3.5-flash</t>
        </is>
      </c>
      <c r="G142" s="7" t="n">
        <v>1153</v>
      </c>
      <c r="H142" s="7" t="n">
        <v>104</v>
      </c>
      <c r="I142" s="7" t="n">
        <v>2110</v>
      </c>
      <c r="J142" s="7" t="inlineStr">
        <is>
          <t>sdk_usage_metadata</t>
        </is>
      </c>
      <c r="K142" s="7" t="inlineStr">
        <is>
          <t>success</t>
        </is>
      </c>
      <c r="L142" s="7" t="inlineStr"/>
      <c r="M142" s="7" t="n">
        <v>26</v>
      </c>
    </row>
    <row r="143" ht="34" customHeight="1">
      <c r="A143" s="7" t="n">
        <v>142</v>
      </c>
      <c r="B143" s="7" t="inlineStr">
        <is>
          <t>2026-07-30T19:21:40Z</t>
        </is>
      </c>
      <c r="C143" s="7" t="inlineStr">
        <is>
          <t>vlm_free</t>
        </is>
      </c>
      <c r="D143" s="7" t="inlineStr">
        <is>
          <t>vlm_free_descriptive_causal</t>
        </is>
      </c>
      <c r="E143" s="7" t="n">
        <v>17</v>
      </c>
      <c r="F143" s="7" t="inlineStr">
        <is>
          <t>gemini-3.5-flash</t>
        </is>
      </c>
      <c r="G143" s="7" t="n">
        <v>676</v>
      </c>
      <c r="H143" s="7" t="n">
        <v>388</v>
      </c>
      <c r="I143" s="7" t="n">
        <v>2276</v>
      </c>
      <c r="J143" s="7" t="inlineStr">
        <is>
          <t>sdk_usage_metadata</t>
        </is>
      </c>
      <c r="K143" s="7" t="inlineStr">
        <is>
          <t>success</t>
        </is>
      </c>
      <c r="L143" s="7" t="inlineStr"/>
      <c r="M143" s="7" t="n">
        <v>45</v>
      </c>
    </row>
    <row r="144" ht="34" customHeight="1">
      <c r="A144" s="7" t="n">
        <v>143</v>
      </c>
      <c r="B144" s="7" t="inlineStr">
        <is>
          <t>2026-07-30T19:21:44Z</t>
        </is>
      </c>
      <c r="C144" s="7" t="inlineStr">
        <is>
          <t>vlm_free</t>
        </is>
      </c>
      <c r="D144" s="7" t="inlineStr">
        <is>
          <t>vlm_free_scoring</t>
        </is>
      </c>
      <c r="E144" s="7" t="n">
        <v>17</v>
      </c>
      <c r="F144" s="7" t="inlineStr">
        <is>
          <t>gemini-3.5-flash</t>
        </is>
      </c>
      <c r="G144" s="7" t="n">
        <v>686</v>
      </c>
      <c r="H144" s="7" t="n">
        <v>108</v>
      </c>
      <c r="I144" s="7" t="n">
        <v>1447</v>
      </c>
      <c r="J144" s="7" t="inlineStr">
        <is>
          <t>sdk_usage_metadata</t>
        </is>
      </c>
      <c r="K144" s="7" t="inlineStr">
        <is>
          <t>success</t>
        </is>
      </c>
      <c r="L144" s="7" t="inlineStr"/>
      <c r="M144" s="7" t="n">
        <v>46</v>
      </c>
    </row>
    <row r="145" ht="34" customHeight="1">
      <c r="A145" s="7" t="n">
        <v>144</v>
      </c>
      <c r="B145" s="7" t="inlineStr">
        <is>
          <t>2026-07-30T19:21:51Z</t>
        </is>
      </c>
      <c r="C145" s="7" t="inlineStr">
        <is>
          <t>common</t>
        </is>
      </c>
      <c r="D145" s="7" t="inlineStr">
        <is>
          <t>guided_descriptive_prompt</t>
        </is>
      </c>
      <c r="E145" s="7" t="n">
        <v>17</v>
      </c>
      <c r="F145" s="7" t="inlineStr">
        <is>
          <t>gemini-3.5-flash</t>
        </is>
      </c>
      <c r="G145" s="7" t="n">
        <v>516</v>
      </c>
      <c r="H145" s="7" t="n">
        <v>258</v>
      </c>
      <c r="I145" s="7" t="n">
        <v>1943</v>
      </c>
      <c r="J145" s="7" t="inlineStr">
        <is>
          <t>sdk_usage_metadata</t>
        </is>
      </c>
      <c r="K145" s="7" t="inlineStr">
        <is>
          <t>success</t>
        </is>
      </c>
      <c r="L145" s="7" t="inlineStr"/>
      <c r="M145" s="7" t="n">
        <v>72</v>
      </c>
    </row>
    <row r="146" ht="34" customHeight="1">
      <c r="A146" s="7" t="n">
        <v>145</v>
      </c>
      <c r="B146" s="7" t="inlineStr">
        <is>
          <t>2026-07-30T19:21:58Z</t>
        </is>
      </c>
      <c r="C146" s="7" t="inlineStr">
        <is>
          <t>common</t>
        </is>
      </c>
      <c r="D146" s="7" t="inlineStr">
        <is>
          <t>guided_descriptive_prompt</t>
        </is>
      </c>
      <c r="E146" s="7" t="n">
        <v>17</v>
      </c>
      <c r="F146" s="7" t="inlineStr">
        <is>
          <t>gemini-3.5-flash</t>
        </is>
      </c>
      <c r="G146" s="7" t="n">
        <v>516</v>
      </c>
      <c r="H146" s="7" t="n">
        <v>234</v>
      </c>
      <c r="I146" s="7" t="n">
        <v>1706</v>
      </c>
      <c r="J146" s="7" t="inlineStr">
        <is>
          <t>sdk_usage_metadata</t>
        </is>
      </c>
      <c r="K146" s="7" t="inlineStr">
        <is>
          <t>success</t>
        </is>
      </c>
      <c r="L146" s="7" t="inlineStr"/>
      <c r="M146" s="7" t="n">
        <v>73</v>
      </c>
    </row>
    <row r="147" ht="34" customHeight="1">
      <c r="A147" s="7" t="n">
        <v>146</v>
      </c>
      <c r="B147" s="7" t="inlineStr">
        <is>
          <t>2026-07-30T19:22:05Z</t>
        </is>
      </c>
      <c r="C147" s="7" t="inlineStr">
        <is>
          <t>common</t>
        </is>
      </c>
      <c r="D147" s="7" t="inlineStr">
        <is>
          <t>guided_question_set</t>
        </is>
      </c>
      <c r="E147" s="7" t="n">
        <v>17</v>
      </c>
      <c r="F147" s="7" t="inlineStr">
        <is>
          <t>gemini-3.5-flash</t>
        </is>
      </c>
      <c r="G147" s="7" t="n">
        <v>1716</v>
      </c>
      <c r="H147" s="7" t="n">
        <v>324</v>
      </c>
      <c r="I147" s="7" t="n">
        <v>3097</v>
      </c>
      <c r="J147" s="7" t="inlineStr">
        <is>
          <t>sdk_usage_metadata</t>
        </is>
      </c>
      <c r="K147" s="7" t="inlineStr">
        <is>
          <t>success</t>
        </is>
      </c>
      <c r="L147" s="7" t="inlineStr"/>
      <c r="M147" s="7" t="n">
        <v>74</v>
      </c>
    </row>
    <row r="148" ht="34" customHeight="1">
      <c r="A148" s="7" t="n">
        <v>147</v>
      </c>
      <c r="B148" s="7" t="inlineStr">
        <is>
          <t>2026-07-30T19:22:11Z</t>
        </is>
      </c>
      <c r="C148" s="7" t="inlineStr">
        <is>
          <t>common</t>
        </is>
      </c>
      <c r="D148" s="7" t="inlineStr">
        <is>
          <t>guided_causal_engine</t>
        </is>
      </c>
      <c r="E148" s="7" t="n">
        <v>17</v>
      </c>
      <c r="F148" s="7" t="inlineStr">
        <is>
          <t>gemini-3.5-flash</t>
        </is>
      </c>
      <c r="G148" s="7" t="n">
        <v>844</v>
      </c>
      <c r="H148" s="7" t="n">
        <v>233</v>
      </c>
      <c r="I148" s="7" t="n">
        <v>2124</v>
      </c>
      <c r="J148" s="7" t="inlineStr">
        <is>
          <t>sdk_usage_metadata</t>
        </is>
      </c>
      <c r="K148" s="7" t="inlineStr">
        <is>
          <t>success</t>
        </is>
      </c>
      <c r="L148" s="7" t="inlineStr"/>
      <c r="M148" s="7" t="n">
        <v>75</v>
      </c>
    </row>
    <row r="149" ht="34" customHeight="1">
      <c r="A149" s="7" t="n">
        <v>148</v>
      </c>
      <c r="B149" s="7" t="inlineStr">
        <is>
          <t>2026-07-30T19:22:16Z</t>
        </is>
      </c>
      <c r="C149" s="7" t="inlineStr">
        <is>
          <t>vlm_guided</t>
        </is>
      </c>
      <c r="D149" s="7" t="inlineStr">
        <is>
          <t>vlm_guided_scoring</t>
        </is>
      </c>
      <c r="E149" s="7" t="n">
        <v>17</v>
      </c>
      <c r="F149" s="7" t="inlineStr">
        <is>
          <t>gemini-3.5-flash</t>
        </is>
      </c>
      <c r="G149" s="7" t="n">
        <v>1064</v>
      </c>
      <c r="H149" s="7" t="n">
        <v>94</v>
      </c>
      <c r="I149" s="7" t="n">
        <v>1988</v>
      </c>
      <c r="J149" s="7" t="inlineStr">
        <is>
          <t>sdk_usage_metadata</t>
        </is>
      </c>
      <c r="K149" s="7" t="inlineStr">
        <is>
          <t>success</t>
        </is>
      </c>
      <c r="L149" s="7" t="inlineStr"/>
      <c r="M149" s="7" t="n">
        <v>27</v>
      </c>
    </row>
    <row r="150" ht="34" customHeight="1">
      <c r="A150" s="7" t="n">
        <v>149</v>
      </c>
      <c r="B150" s="7" t="inlineStr">
        <is>
          <t>2026-07-30T19:22:31Z</t>
        </is>
      </c>
      <c r="C150" s="7" t="inlineStr">
        <is>
          <t>vlm_free</t>
        </is>
      </c>
      <c r="D150" s="7" t="inlineStr">
        <is>
          <t>vlm_free_descriptive_causal</t>
        </is>
      </c>
      <c r="E150" s="7" t="n">
        <v>18</v>
      </c>
      <c r="F150" s="7" t="inlineStr">
        <is>
          <t>gemini-3.5-flash</t>
        </is>
      </c>
      <c r="G150" s="7" t="n">
        <v>544</v>
      </c>
      <c r="H150" s="7" t="n">
        <v>485</v>
      </c>
      <c r="I150" s="7" t="n">
        <v>2386</v>
      </c>
      <c r="J150" s="7" t="inlineStr">
        <is>
          <t>sdk_usage_metadata</t>
        </is>
      </c>
      <c r="K150" s="7" t="inlineStr">
        <is>
          <t>success</t>
        </is>
      </c>
      <c r="L150" s="7" t="inlineStr"/>
      <c r="M150" s="7" t="n">
        <v>47</v>
      </c>
    </row>
    <row r="151" ht="34" customHeight="1">
      <c r="A151" s="7" t="n">
        <v>150</v>
      </c>
      <c r="B151" s="7" t="inlineStr">
        <is>
          <t>2026-07-30T19:22:36Z</t>
        </is>
      </c>
      <c r="C151" s="7" t="inlineStr">
        <is>
          <t>vlm_free</t>
        </is>
      </c>
      <c r="D151" s="7" t="inlineStr">
        <is>
          <t>vlm_free_scoring</t>
        </is>
      </c>
      <c r="E151" s="7" t="n">
        <v>18</v>
      </c>
      <c r="F151" s="7" t="inlineStr">
        <is>
          <t>gemini-3.5-flash</t>
        </is>
      </c>
      <c r="G151" s="7" t="n">
        <v>783</v>
      </c>
      <c r="H151" s="7" t="n">
        <v>138</v>
      </c>
      <c r="I151" s="7" t="n">
        <v>1786</v>
      </c>
      <c r="J151" s="7" t="inlineStr">
        <is>
          <t>sdk_usage_metadata</t>
        </is>
      </c>
      <c r="K151" s="7" t="inlineStr">
        <is>
          <t>success</t>
        </is>
      </c>
      <c r="L151" s="7" t="inlineStr"/>
      <c r="M151" s="7" t="n">
        <v>48</v>
      </c>
    </row>
    <row r="152" ht="34" customHeight="1">
      <c r="A152" s="7" t="n">
        <v>151</v>
      </c>
      <c r="B152" s="7" t="inlineStr">
        <is>
          <t>2026-07-30T19:22:42Z</t>
        </is>
      </c>
      <c r="C152" s="7" t="inlineStr">
        <is>
          <t>vlm_free</t>
        </is>
      </c>
      <c r="D152" s="7" t="inlineStr">
        <is>
          <t>vlm_free_scoring</t>
        </is>
      </c>
      <c r="E152" s="7" t="n">
        <v>18</v>
      </c>
      <c r="F152" s="7" t="inlineStr">
        <is>
          <t>gemini-3.5-flash</t>
        </is>
      </c>
      <c r="G152" s="7" t="n">
        <v>783</v>
      </c>
      <c r="H152" s="7" t="n">
        <v>125</v>
      </c>
      <c r="I152" s="7" t="n">
        <v>1503</v>
      </c>
      <c r="J152" s="7" t="inlineStr">
        <is>
          <t>sdk_usage_metadata</t>
        </is>
      </c>
      <c r="K152" s="7" t="inlineStr">
        <is>
          <t>success</t>
        </is>
      </c>
      <c r="L152" s="7" t="inlineStr"/>
      <c r="M152" s="7" t="n">
        <v>49</v>
      </c>
    </row>
    <row r="153" ht="34" customHeight="1">
      <c r="A153" s="7" t="n">
        <v>152</v>
      </c>
      <c r="B153" s="7" t="inlineStr">
        <is>
          <t>2026-07-30T19:22:48Z</t>
        </is>
      </c>
      <c r="C153" s="7" t="inlineStr">
        <is>
          <t>common</t>
        </is>
      </c>
      <c r="D153" s="7" t="inlineStr">
        <is>
          <t>guided_descriptive_prompt</t>
        </is>
      </c>
      <c r="E153" s="7" t="n">
        <v>18</v>
      </c>
      <c r="F153" s="7" t="inlineStr">
        <is>
          <t>gemini-3.5-flash</t>
        </is>
      </c>
      <c r="G153" s="7" t="n">
        <v>384</v>
      </c>
      <c r="H153" s="7" t="n">
        <v>272</v>
      </c>
      <c r="I153" s="7" t="n">
        <v>1819</v>
      </c>
      <c r="J153" s="7" t="inlineStr">
        <is>
          <t>sdk_usage_metadata</t>
        </is>
      </c>
      <c r="K153" s="7" t="inlineStr">
        <is>
          <t>success</t>
        </is>
      </c>
      <c r="L153" s="7" t="inlineStr"/>
      <c r="M153" s="7" t="n">
        <v>76</v>
      </c>
    </row>
    <row r="154" ht="34" customHeight="1">
      <c r="A154" s="7" t="n">
        <v>153</v>
      </c>
      <c r="B154" s="7" t="inlineStr">
        <is>
          <t>2026-07-30T19:22:56Z</t>
        </is>
      </c>
      <c r="C154" s="7" t="inlineStr">
        <is>
          <t>common</t>
        </is>
      </c>
      <c r="D154" s="7" t="inlineStr">
        <is>
          <t>guided_descriptive_prompt</t>
        </is>
      </c>
      <c r="E154" s="7" t="n">
        <v>18</v>
      </c>
      <c r="F154" s="7" t="inlineStr">
        <is>
          <t>gemini-3.5-flash</t>
        </is>
      </c>
      <c r="G154" s="7" t="n">
        <v>384</v>
      </c>
      <c r="H154" s="7" t="n">
        <v>261</v>
      </c>
      <c r="I154" s="7" t="n">
        <v>1819</v>
      </c>
      <c r="J154" s="7" t="inlineStr">
        <is>
          <t>sdk_usage_metadata</t>
        </is>
      </c>
      <c r="K154" s="7" t="inlineStr">
        <is>
          <t>success</t>
        </is>
      </c>
      <c r="L154" s="7" t="inlineStr"/>
      <c r="M154" s="7" t="n">
        <v>77</v>
      </c>
    </row>
    <row r="155" ht="34" customHeight="1">
      <c r="A155" s="7" t="n">
        <v>154</v>
      </c>
      <c r="B155" s="7" t="inlineStr">
        <is>
          <t>2026-07-30T19:23:03Z</t>
        </is>
      </c>
      <c r="C155" s="7" t="inlineStr">
        <is>
          <t>common</t>
        </is>
      </c>
      <c r="D155" s="7" t="inlineStr">
        <is>
          <t>guided_descriptive_prompt</t>
        </is>
      </c>
      <c r="E155" s="7" t="n">
        <v>18</v>
      </c>
      <c r="F155" s="7" t="inlineStr">
        <is>
          <t>gemini-3.5-flash</t>
        </is>
      </c>
      <c r="G155" s="7" t="n">
        <v>384</v>
      </c>
      <c r="H155" s="7" t="n">
        <v>281</v>
      </c>
      <c r="I155" s="7" t="n">
        <v>1428</v>
      </c>
      <c r="J155" s="7" t="inlineStr">
        <is>
          <t>sdk_usage_metadata</t>
        </is>
      </c>
      <c r="K155" s="7" t="inlineStr">
        <is>
          <t>success</t>
        </is>
      </c>
      <c r="L155" s="7" t="inlineStr"/>
      <c r="M155" s="7" t="n">
        <v>78</v>
      </c>
    </row>
    <row r="156" ht="34" customHeight="1">
      <c r="A156" s="7" t="n">
        <v>155</v>
      </c>
      <c r="B156" s="7" t="inlineStr">
        <is>
          <t>2026-07-30T19:23:09Z</t>
        </is>
      </c>
      <c r="C156" s="7" t="inlineStr">
        <is>
          <t>common</t>
        </is>
      </c>
      <c r="D156" s="7" t="inlineStr">
        <is>
          <t>guided_question_set</t>
        </is>
      </c>
      <c r="E156" s="7" t="n">
        <v>18</v>
      </c>
      <c r="F156" s="7" t="inlineStr">
        <is>
          <t>gemini-3.5-flash</t>
        </is>
      </c>
      <c r="G156" s="7" t="n">
        <v>1763</v>
      </c>
      <c r="H156" s="7" t="n">
        <v>275</v>
      </c>
      <c r="I156" s="7" t="n">
        <v>3216</v>
      </c>
      <c r="J156" s="7" t="inlineStr">
        <is>
          <t>sdk_usage_metadata</t>
        </is>
      </c>
      <c r="K156" s="7" t="inlineStr">
        <is>
          <t>success</t>
        </is>
      </c>
      <c r="L156" s="7" t="inlineStr"/>
      <c r="M156" s="7" t="n">
        <v>79</v>
      </c>
    </row>
    <row r="157" ht="34" customHeight="1">
      <c r="A157" s="7" t="n">
        <v>156</v>
      </c>
      <c r="B157" s="7" t="inlineStr">
        <is>
          <t>2026-07-30T19:23:15Z</t>
        </is>
      </c>
      <c r="C157" s="7" t="inlineStr">
        <is>
          <t>common</t>
        </is>
      </c>
      <c r="D157" s="7" t="inlineStr">
        <is>
          <t>guided_causal_engine</t>
        </is>
      </c>
      <c r="E157" s="7" t="n">
        <v>18</v>
      </c>
      <c r="F157" s="7" t="inlineStr">
        <is>
          <t>gemini-3.5-flash</t>
        </is>
      </c>
      <c r="G157" s="7" t="n">
        <v>843</v>
      </c>
      <c r="H157" s="7" t="n">
        <v>146</v>
      </c>
      <c r="I157" s="7" t="n">
        <v>1900</v>
      </c>
      <c r="J157" s="7" t="inlineStr">
        <is>
          <t>sdk_usage_metadata</t>
        </is>
      </c>
      <c r="K157" s="7" t="inlineStr">
        <is>
          <t>success</t>
        </is>
      </c>
      <c r="L157" s="7" t="inlineStr"/>
      <c r="M157" s="7" t="n">
        <v>80</v>
      </c>
    </row>
    <row r="158" ht="34" customHeight="1">
      <c r="A158" s="7" t="n">
        <v>157</v>
      </c>
      <c r="B158" s="7" t="inlineStr">
        <is>
          <t>2026-07-30T19:23:21Z</t>
        </is>
      </c>
      <c r="C158" s="7" t="inlineStr">
        <is>
          <t>common</t>
        </is>
      </c>
      <c r="D158" s="7" t="inlineStr">
        <is>
          <t>guided_causal_engine</t>
        </is>
      </c>
      <c r="E158" s="7" t="n">
        <v>18</v>
      </c>
      <c r="F158" s="7" t="inlineStr">
        <is>
          <t>gemini-3.5-flash</t>
        </is>
      </c>
      <c r="G158" s="7" t="n">
        <v>843</v>
      </c>
      <c r="H158" s="7" t="n">
        <v>119</v>
      </c>
      <c r="I158" s="7" t="n">
        <v>1727</v>
      </c>
      <c r="J158" s="7" t="inlineStr">
        <is>
          <t>sdk_usage_metadata</t>
        </is>
      </c>
      <c r="K158" s="7" t="inlineStr">
        <is>
          <t>success</t>
        </is>
      </c>
      <c r="L158" s="7" t="inlineStr"/>
      <c r="M158" s="7" t="n">
        <v>81</v>
      </c>
    </row>
    <row r="159" ht="34" customHeight="1">
      <c r="A159" s="7" t="n">
        <v>158</v>
      </c>
      <c r="B159" s="7" t="inlineStr">
        <is>
          <t>2026-07-30T19:23:26Z</t>
        </is>
      </c>
      <c r="C159" s="7" t="inlineStr">
        <is>
          <t>common</t>
        </is>
      </c>
      <c r="D159" s="7" t="inlineStr">
        <is>
          <t>guided_causal_engine</t>
        </is>
      </c>
      <c r="E159" s="7" t="n">
        <v>18</v>
      </c>
      <c r="F159" s="7" t="inlineStr">
        <is>
          <t>gemini-3.5-flash</t>
        </is>
      </c>
      <c r="G159" s="7" t="n">
        <v>843</v>
      </c>
      <c r="H159" s="7" t="n">
        <v>124</v>
      </c>
      <c r="I159" s="7" t="n">
        <v>1654</v>
      </c>
      <c r="J159" s="7" t="inlineStr">
        <is>
          <t>sdk_usage_metadata</t>
        </is>
      </c>
      <c r="K159" s="7" t="inlineStr">
        <is>
          <t>success</t>
        </is>
      </c>
      <c r="L159" s="7" t="inlineStr"/>
      <c r="M159" s="7" t="n">
        <v>82</v>
      </c>
    </row>
    <row r="160" ht="34" customHeight="1">
      <c r="A160" s="7" t="n">
        <v>159</v>
      </c>
      <c r="B160" s="7" t="inlineStr">
        <is>
          <t>2026-07-30T19:23:30Z</t>
        </is>
      </c>
      <c r="C160" s="7" t="inlineStr">
        <is>
          <t>vlm_guided</t>
        </is>
      </c>
      <c r="D160" s="7" t="inlineStr">
        <is>
          <t>vlm_guided_scoring</t>
        </is>
      </c>
      <c r="E160" s="7" t="n">
        <v>18</v>
      </c>
      <c r="F160" s="7" t="inlineStr">
        <is>
          <t>gemini-3.5-flash</t>
        </is>
      </c>
      <c r="G160" s="7" t="n">
        <v>954</v>
      </c>
      <c r="H160" s="7" t="n">
        <v>71</v>
      </c>
      <c r="I160" s="7" t="n">
        <v>1792</v>
      </c>
      <c r="J160" s="7" t="inlineStr">
        <is>
          <t>sdk_usage_metadata</t>
        </is>
      </c>
      <c r="K160" s="7" t="inlineStr">
        <is>
          <t>success</t>
        </is>
      </c>
      <c r="L160" s="7" t="inlineStr"/>
      <c r="M160" s="7" t="n">
        <v>28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20"/>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s>
  <sheetData>
    <row r="1" ht="16" customHeight="1">
      <c r="A1" s="6" t="inlineStr">
        <is>
          <t>window_id</t>
        </is>
      </c>
      <c r="B1" s="6" t="inlineStr">
        <is>
          <t>start_time_s</t>
        </is>
      </c>
      <c r="C1" s="6" t="inlineStr">
        <is>
          <t>end_time_s</t>
        </is>
      </c>
      <c r="D1" s="6" t="inlineStr">
        <is>
          <t>S1_contribution</t>
        </is>
      </c>
      <c r="E1" s="6" t="inlineStr">
        <is>
          <t>S2_contribution</t>
        </is>
      </c>
      <c r="F1" s="6" t="inlineStr">
        <is>
          <t>S3_contribution</t>
        </is>
      </c>
      <c r="G1" s="6" t="inlineStr">
        <is>
          <t>S4_contribution</t>
        </is>
      </c>
      <c r="H1" s="6" t="inlineStr">
        <is>
          <t>S5_contribution</t>
        </is>
      </c>
      <c r="I1" s="6" t="inlineStr">
        <is>
          <t>S6_contribution</t>
        </is>
      </c>
      <c r="J1" s="6" t="inlineStr">
        <is>
          <t>S7_contribution</t>
        </is>
      </c>
      <c r="K1" s="6" t="inlineStr">
        <is>
          <t>S1_contribution_pct</t>
        </is>
      </c>
      <c r="L1" s="6" t="inlineStr">
        <is>
          <t>S2_contribution_pct</t>
        </is>
      </c>
      <c r="M1" s="6" t="inlineStr">
        <is>
          <t>S3_contribution_pct</t>
        </is>
      </c>
      <c r="N1" s="6" t="inlineStr">
        <is>
          <t>S4_contribution_pct</t>
        </is>
      </c>
      <c r="O1" s="6" t="inlineStr">
        <is>
          <t>S5_contribution_pct</t>
        </is>
      </c>
      <c r="P1" s="6" t="inlineStr">
        <is>
          <t>S6_contribution_pct</t>
        </is>
      </c>
      <c r="Q1" s="6" t="inlineStr">
        <is>
          <t>S7_contribution_pct</t>
        </is>
      </c>
      <c r="R1" s="6" t="inlineStr">
        <is>
          <t>instantaneous_risk_score_ahp</t>
        </is>
      </c>
    </row>
    <row r="2" ht="34" customHeight="1">
      <c r="A2" s="7" t="n">
        <v>0</v>
      </c>
      <c r="B2" s="7" t="n">
        <v>0</v>
      </c>
      <c r="C2" s="7" t="n">
        <v>4</v>
      </c>
      <c r="D2" s="7" t="n">
        <v>0</v>
      </c>
      <c r="E2" s="7" t="n">
        <v>2.0546</v>
      </c>
      <c r="F2" s="7" t="n">
        <v>1.4763</v>
      </c>
      <c r="G2" s="7" t="n">
        <v>0.1261</v>
      </c>
      <c r="H2" s="7" t="n">
        <v>0.7999000000000001</v>
      </c>
      <c r="I2" s="7" t="n">
        <v>31.6021</v>
      </c>
      <c r="J2" s="7" t="n">
        <v>0</v>
      </c>
      <c r="K2" s="7" t="n">
        <v>0</v>
      </c>
      <c r="L2" s="7" t="n">
        <v>5.7</v>
      </c>
      <c r="M2" s="7" t="n">
        <v>4.09</v>
      </c>
      <c r="N2" s="7" t="n">
        <v>0.35</v>
      </c>
      <c r="O2" s="7" t="n">
        <v>2.22</v>
      </c>
      <c r="P2" s="7" t="n">
        <v>87.64</v>
      </c>
      <c r="Q2" s="7" t="n">
        <v>0</v>
      </c>
      <c r="R2" s="7" t="n">
        <v>36.06</v>
      </c>
    </row>
    <row r="3" ht="34" customHeight="1">
      <c r="A3" s="7" t="n">
        <v>1</v>
      </c>
      <c r="B3" s="7" t="n">
        <v>2</v>
      </c>
      <c r="C3" s="7" t="n">
        <v>6</v>
      </c>
      <c r="D3" s="7" t="n">
        <v>0</v>
      </c>
      <c r="E3" s="7" t="n">
        <v>3.0251</v>
      </c>
      <c r="F3" s="7" t="n">
        <v>1.4763</v>
      </c>
      <c r="G3" s="7" t="n">
        <v>0.1261</v>
      </c>
      <c r="H3" s="7" t="n">
        <v>0</v>
      </c>
      <c r="I3" s="7" t="n">
        <v>31.6021</v>
      </c>
      <c r="J3" s="7" t="n">
        <v>0</v>
      </c>
      <c r="K3" s="7" t="n">
        <v>0</v>
      </c>
      <c r="L3" s="7" t="n">
        <v>8.35</v>
      </c>
      <c r="M3" s="7" t="n">
        <v>4.07</v>
      </c>
      <c r="N3" s="7" t="n">
        <v>0.35</v>
      </c>
      <c r="O3" s="7" t="n">
        <v>0</v>
      </c>
      <c r="P3" s="7" t="n">
        <v>87.23</v>
      </c>
      <c r="Q3" s="7" t="n">
        <v>0</v>
      </c>
      <c r="R3" s="7" t="n">
        <v>36.23</v>
      </c>
    </row>
    <row r="4" ht="34" customHeight="1">
      <c r="A4" s="7" t="n">
        <v>2</v>
      </c>
      <c r="B4" s="7" t="n">
        <v>4</v>
      </c>
      <c r="C4" s="7" t="n">
        <v>8</v>
      </c>
      <c r="D4" s="7" t="n">
        <v>0</v>
      </c>
      <c r="E4" s="7" t="n">
        <v>3.0251</v>
      </c>
      <c r="F4" s="7" t="n">
        <v>1.4763</v>
      </c>
      <c r="G4" s="7" t="n">
        <v>0.1261</v>
      </c>
      <c r="H4" s="7" t="n">
        <v>0.7999000000000001</v>
      </c>
      <c r="I4" s="7" t="n">
        <v>31.6021</v>
      </c>
      <c r="J4" s="7" t="n">
        <v>0</v>
      </c>
      <c r="K4" s="7" t="n">
        <v>0</v>
      </c>
      <c r="L4" s="7" t="n">
        <v>8.17</v>
      </c>
      <c r="M4" s="7" t="n">
        <v>3.99</v>
      </c>
      <c r="N4" s="7" t="n">
        <v>0.34</v>
      </c>
      <c r="O4" s="7" t="n">
        <v>2.16</v>
      </c>
      <c r="P4" s="7" t="n">
        <v>85.34</v>
      </c>
      <c r="Q4" s="7" t="n">
        <v>0</v>
      </c>
      <c r="R4" s="7" t="n">
        <v>37.03</v>
      </c>
    </row>
    <row r="5" ht="34" customHeight="1">
      <c r="A5" s="7" t="n">
        <v>3</v>
      </c>
      <c r="B5" s="7" t="n">
        <v>6</v>
      </c>
      <c r="C5" s="7" t="n">
        <v>10</v>
      </c>
      <c r="D5" s="7" t="n">
        <v>0</v>
      </c>
      <c r="E5" s="7" t="n">
        <v>3.0251</v>
      </c>
      <c r="F5" s="7" t="n">
        <v>1.4763</v>
      </c>
      <c r="G5" s="7" t="n">
        <v>0.1261</v>
      </c>
      <c r="H5" s="7" t="n">
        <v>0.7999000000000001</v>
      </c>
      <c r="I5" s="7" t="n">
        <v>34.3149</v>
      </c>
      <c r="J5" s="7" t="n">
        <v>0</v>
      </c>
      <c r="K5" s="7" t="n">
        <v>0</v>
      </c>
      <c r="L5" s="7" t="n">
        <v>7.61</v>
      </c>
      <c r="M5" s="7" t="n">
        <v>3.71</v>
      </c>
      <c r="N5" s="7" t="n">
        <v>0.32</v>
      </c>
      <c r="O5" s="7" t="n">
        <v>2.01</v>
      </c>
      <c r="P5" s="7" t="n">
        <v>86.34999999999999</v>
      </c>
      <c r="Q5" s="7" t="n">
        <v>0</v>
      </c>
      <c r="R5" s="7" t="n">
        <v>39.74</v>
      </c>
    </row>
    <row r="6" ht="34" customHeight="1">
      <c r="A6" s="7" t="n">
        <v>4</v>
      </c>
      <c r="B6" s="7" t="n">
        <v>8</v>
      </c>
      <c r="C6" s="7" t="n">
        <v>12</v>
      </c>
      <c r="D6" s="7" t="n">
        <v>0</v>
      </c>
      <c r="E6" s="7" t="n">
        <v>3.0251</v>
      </c>
      <c r="F6" s="7" t="n">
        <v>1.4763</v>
      </c>
      <c r="G6" s="7" t="n">
        <v>0.1261</v>
      </c>
      <c r="H6" s="7" t="n">
        <v>0</v>
      </c>
      <c r="I6" s="7" t="n">
        <v>31.6021</v>
      </c>
      <c r="J6" s="7" t="n">
        <v>0</v>
      </c>
      <c r="K6" s="7" t="n">
        <v>0</v>
      </c>
      <c r="L6" s="7" t="n">
        <v>8.35</v>
      </c>
      <c r="M6" s="7" t="n">
        <v>4.07</v>
      </c>
      <c r="N6" s="7" t="n">
        <v>0.35</v>
      </c>
      <c r="O6" s="7" t="n">
        <v>0</v>
      </c>
      <c r="P6" s="7" t="n">
        <v>87.23</v>
      </c>
      <c r="Q6" s="7" t="n">
        <v>0</v>
      </c>
      <c r="R6" s="7" t="n">
        <v>36.23</v>
      </c>
    </row>
    <row r="7" ht="34" customHeight="1">
      <c r="A7" s="7" t="n">
        <v>5</v>
      </c>
      <c r="B7" s="7" t="n">
        <v>10</v>
      </c>
      <c r="C7" s="7" t="n">
        <v>14</v>
      </c>
      <c r="D7" s="7" t="n">
        <v>0</v>
      </c>
      <c r="E7" s="7" t="n">
        <v>3.0251</v>
      </c>
      <c r="F7" s="7" t="n">
        <v>1.4763</v>
      </c>
      <c r="G7" s="7" t="n">
        <v>0.1261</v>
      </c>
      <c r="H7" s="7" t="n">
        <v>0</v>
      </c>
      <c r="I7" s="7" t="n">
        <v>31.6021</v>
      </c>
      <c r="J7" s="7" t="n">
        <v>0.3598</v>
      </c>
      <c r="K7" s="7" t="n">
        <v>0</v>
      </c>
      <c r="L7" s="7" t="n">
        <v>8.27</v>
      </c>
      <c r="M7" s="7" t="n">
        <v>4.03</v>
      </c>
      <c r="N7" s="7" t="n">
        <v>0.34</v>
      </c>
      <c r="O7" s="7" t="n">
        <v>0</v>
      </c>
      <c r="P7" s="7" t="n">
        <v>86.37</v>
      </c>
      <c r="Q7" s="7" t="n">
        <v>0.98</v>
      </c>
      <c r="R7" s="7" t="n">
        <v>36.59</v>
      </c>
    </row>
    <row r="8" ht="34" customHeight="1">
      <c r="A8" s="7" t="n">
        <v>6</v>
      </c>
      <c r="B8" s="7" t="n">
        <v>12</v>
      </c>
      <c r="C8" s="7" t="n">
        <v>16</v>
      </c>
      <c r="D8" s="7" t="n">
        <v>0</v>
      </c>
      <c r="E8" s="7" t="n">
        <v>3.0251</v>
      </c>
      <c r="F8" s="7" t="n">
        <v>1.4763</v>
      </c>
      <c r="G8" s="7" t="n">
        <v>0.1261</v>
      </c>
      <c r="H8" s="7" t="n">
        <v>0.7999000000000001</v>
      </c>
      <c r="I8" s="7" t="n">
        <v>31.6021</v>
      </c>
      <c r="J8" s="7" t="n">
        <v>4.0303</v>
      </c>
      <c r="K8" s="7" t="n">
        <v>0</v>
      </c>
      <c r="L8" s="7" t="n">
        <v>7.37</v>
      </c>
      <c r="M8" s="7" t="n">
        <v>3.6</v>
      </c>
      <c r="N8" s="7" t="n">
        <v>0.31</v>
      </c>
      <c r="O8" s="7" t="n">
        <v>1.95</v>
      </c>
      <c r="P8" s="7" t="n">
        <v>76.97</v>
      </c>
      <c r="Q8" s="7" t="n">
        <v>9.82</v>
      </c>
      <c r="R8" s="7" t="n">
        <v>41.06</v>
      </c>
    </row>
    <row r="9" ht="34" customHeight="1">
      <c r="A9" s="7" t="n">
        <v>7</v>
      </c>
      <c r="B9" s="7" t="n">
        <v>14</v>
      </c>
      <c r="C9" s="7" t="n">
        <v>18</v>
      </c>
      <c r="D9" s="7" t="n">
        <v>0</v>
      </c>
      <c r="E9" s="7" t="n">
        <v>3.0251</v>
      </c>
      <c r="F9" s="7" t="n">
        <v>1.4763</v>
      </c>
      <c r="G9" s="7" t="n">
        <v>0.1261</v>
      </c>
      <c r="H9" s="7" t="n">
        <v>0.7999000000000001</v>
      </c>
      <c r="I9" s="7" t="n">
        <v>34.3149</v>
      </c>
      <c r="J9" s="7" t="n">
        <v>1.6516</v>
      </c>
      <c r="K9" s="7" t="n">
        <v>0</v>
      </c>
      <c r="L9" s="7" t="n">
        <v>7.31</v>
      </c>
      <c r="M9" s="7" t="n">
        <v>3.57</v>
      </c>
      <c r="N9" s="7" t="n">
        <v>0.3</v>
      </c>
      <c r="O9" s="7" t="n">
        <v>1.93</v>
      </c>
      <c r="P9" s="7" t="n">
        <v>82.91</v>
      </c>
      <c r="Q9" s="7" t="n">
        <v>3.99</v>
      </c>
      <c r="R9" s="7" t="n">
        <v>41.39</v>
      </c>
    </row>
    <row r="10" ht="34" customHeight="1">
      <c r="A10" s="7" t="n">
        <v>8</v>
      </c>
      <c r="B10" s="7" t="n">
        <v>16</v>
      </c>
      <c r="C10" s="7" t="n">
        <v>20</v>
      </c>
      <c r="D10" s="7" t="n">
        <v>0</v>
      </c>
      <c r="E10" s="7" t="n">
        <v>3.0251</v>
      </c>
      <c r="F10" s="7" t="n">
        <v>4.4886</v>
      </c>
      <c r="G10" s="7" t="n">
        <v>0.1261</v>
      </c>
      <c r="H10" s="7" t="n">
        <v>0</v>
      </c>
      <c r="I10" s="7" t="n">
        <v>12.2127</v>
      </c>
      <c r="J10" s="7" t="n">
        <v>0</v>
      </c>
      <c r="K10" s="7" t="n">
        <v>0</v>
      </c>
      <c r="L10" s="7" t="n">
        <v>15.24</v>
      </c>
      <c r="M10" s="7" t="n">
        <v>22.61</v>
      </c>
      <c r="N10" s="7" t="n">
        <v>0.64</v>
      </c>
      <c r="O10" s="7" t="n">
        <v>0</v>
      </c>
      <c r="P10" s="7" t="n">
        <v>61.52</v>
      </c>
      <c r="Q10" s="7" t="n">
        <v>0</v>
      </c>
      <c r="R10" s="7" t="n">
        <v>19.85</v>
      </c>
    </row>
    <row r="11" ht="34" customHeight="1">
      <c r="A11" s="7" t="n">
        <v>9</v>
      </c>
      <c r="B11" s="7" t="n">
        <v>18</v>
      </c>
      <c r="C11" s="7" t="n">
        <v>22</v>
      </c>
      <c r="D11" s="7" t="n">
        <v>0</v>
      </c>
      <c r="E11" s="7" t="n">
        <v>3.0251</v>
      </c>
      <c r="F11" s="7" t="n">
        <v>4.4886</v>
      </c>
      <c r="G11" s="7" t="n">
        <v>0.1261</v>
      </c>
      <c r="H11" s="7" t="n">
        <v>0.7999000000000001</v>
      </c>
      <c r="I11" s="7" t="n">
        <v>0.9169</v>
      </c>
      <c r="J11" s="7" t="n">
        <v>0</v>
      </c>
      <c r="K11" s="7" t="n">
        <v>0</v>
      </c>
      <c r="L11" s="7" t="n">
        <v>32.32</v>
      </c>
      <c r="M11" s="7" t="n">
        <v>47.96</v>
      </c>
      <c r="N11" s="7" t="n">
        <v>1.35</v>
      </c>
      <c r="O11" s="7" t="n">
        <v>8.550000000000001</v>
      </c>
      <c r="P11" s="7" t="n">
        <v>9.800000000000001</v>
      </c>
      <c r="Q11" s="7" t="n">
        <v>0</v>
      </c>
      <c r="R11" s="7" t="n">
        <v>9.359999999999999</v>
      </c>
    </row>
    <row r="12" ht="34" customHeight="1">
      <c r="A12" s="7" t="n">
        <v>10</v>
      </c>
      <c r="B12" s="7" t="n">
        <v>20</v>
      </c>
      <c r="C12" s="7" t="n">
        <v>24</v>
      </c>
      <c r="D12" s="7" t="n">
        <v>0</v>
      </c>
      <c r="E12" s="7" t="n">
        <v>2.0546</v>
      </c>
      <c r="F12" s="7" t="n">
        <v>4.4886</v>
      </c>
      <c r="G12" s="7" t="n">
        <v>0.1261</v>
      </c>
      <c r="H12" s="7" t="n">
        <v>0</v>
      </c>
      <c r="I12" s="7" t="n">
        <v>12.2127</v>
      </c>
      <c r="J12" s="7" t="n">
        <v>0</v>
      </c>
      <c r="K12" s="7" t="n">
        <v>0</v>
      </c>
      <c r="L12" s="7" t="n">
        <v>10.88</v>
      </c>
      <c r="M12" s="7" t="n">
        <v>23.77</v>
      </c>
      <c r="N12" s="7" t="n">
        <v>0.67</v>
      </c>
      <c r="O12" s="7" t="n">
        <v>0</v>
      </c>
      <c r="P12" s="7" t="n">
        <v>64.69</v>
      </c>
      <c r="Q12" s="7" t="n">
        <v>0</v>
      </c>
      <c r="R12" s="7" t="n">
        <v>18.88</v>
      </c>
    </row>
    <row r="13" ht="34" customHeight="1">
      <c r="A13" s="7" t="n">
        <v>11</v>
      </c>
      <c r="B13" s="7" t="n">
        <v>22</v>
      </c>
      <c r="C13" s="7" t="n">
        <v>26</v>
      </c>
      <c r="D13" s="7" t="n">
        <v>8.317500000000001</v>
      </c>
      <c r="E13" s="7" t="n">
        <v>3.0251</v>
      </c>
      <c r="F13" s="7" t="n">
        <v>5.3912</v>
      </c>
      <c r="G13" s="7" t="n">
        <v>2.1824</v>
      </c>
      <c r="H13" s="7" t="n">
        <v>0</v>
      </c>
      <c r="I13" s="7" t="n">
        <v>0.9169</v>
      </c>
      <c r="J13" s="7" t="n">
        <v>0</v>
      </c>
      <c r="K13" s="7" t="n">
        <v>41.94</v>
      </c>
      <c r="L13" s="7" t="n">
        <v>15.26</v>
      </c>
      <c r="M13" s="7" t="n">
        <v>27.19</v>
      </c>
      <c r="N13" s="7" t="n">
        <v>11.01</v>
      </c>
      <c r="O13" s="7" t="n">
        <v>0</v>
      </c>
      <c r="P13" s="7" t="n">
        <v>4.62</v>
      </c>
      <c r="Q13" s="7" t="n">
        <v>0</v>
      </c>
      <c r="R13" s="7" t="n">
        <v>19.83</v>
      </c>
    </row>
    <row r="14" ht="34" customHeight="1">
      <c r="A14" s="7" t="n">
        <v>12</v>
      </c>
      <c r="B14" s="7" t="n">
        <v>24</v>
      </c>
      <c r="C14" s="7" t="n">
        <v>28</v>
      </c>
      <c r="D14" s="7" t="n">
        <v>0</v>
      </c>
      <c r="E14" s="7" t="n">
        <v>2.0546</v>
      </c>
      <c r="F14" s="7" t="n">
        <v>1.4763</v>
      </c>
      <c r="G14" s="7" t="n">
        <v>0.1261</v>
      </c>
      <c r="H14" s="7" t="n">
        <v>0</v>
      </c>
      <c r="I14" s="7" t="n">
        <v>12.2127</v>
      </c>
      <c r="J14" s="7" t="n">
        <v>0</v>
      </c>
      <c r="K14" s="7" t="n">
        <v>0</v>
      </c>
      <c r="L14" s="7" t="n">
        <v>12.95</v>
      </c>
      <c r="M14" s="7" t="n">
        <v>9.300000000000001</v>
      </c>
      <c r="N14" s="7" t="n">
        <v>0.79</v>
      </c>
      <c r="O14" s="7" t="n">
        <v>0</v>
      </c>
      <c r="P14" s="7" t="n">
        <v>76.95</v>
      </c>
      <c r="Q14" s="7" t="n">
        <v>0</v>
      </c>
      <c r="R14" s="7" t="n">
        <v>15.87</v>
      </c>
    </row>
    <row r="15" ht="34" customHeight="1">
      <c r="A15" s="7" t="n">
        <v>13</v>
      </c>
      <c r="B15" s="7" t="n">
        <v>26</v>
      </c>
      <c r="C15" s="7" t="n">
        <v>30</v>
      </c>
      <c r="D15" s="7" t="n">
        <v>0</v>
      </c>
      <c r="E15" s="7" t="n">
        <v>2.0546</v>
      </c>
      <c r="F15" s="7" t="n">
        <v>4.4886</v>
      </c>
      <c r="G15" s="7" t="n">
        <v>0.1261</v>
      </c>
      <c r="H15" s="7" t="n">
        <v>0.7999000000000001</v>
      </c>
      <c r="I15" s="7" t="n">
        <v>0.9169</v>
      </c>
      <c r="J15" s="7" t="n">
        <v>0</v>
      </c>
      <c r="K15" s="7" t="n">
        <v>0</v>
      </c>
      <c r="L15" s="7" t="n">
        <v>24.49</v>
      </c>
      <c r="M15" s="7" t="n">
        <v>53.5</v>
      </c>
      <c r="N15" s="7" t="n">
        <v>1.5</v>
      </c>
      <c r="O15" s="7" t="n">
        <v>9.529999999999999</v>
      </c>
      <c r="P15" s="7" t="n">
        <v>10.93</v>
      </c>
      <c r="Q15" s="7" t="n">
        <v>0</v>
      </c>
      <c r="R15" s="7" t="n">
        <v>8.390000000000001</v>
      </c>
    </row>
    <row r="16" ht="34" customHeight="1">
      <c r="A16" s="7" t="n">
        <v>14</v>
      </c>
      <c r="B16" s="7" t="n">
        <v>28</v>
      </c>
      <c r="C16" s="7" t="n">
        <v>32</v>
      </c>
      <c r="D16" s="7" t="n">
        <v>0</v>
      </c>
      <c r="E16" s="7" t="n">
        <v>2.0546</v>
      </c>
      <c r="F16" s="7" t="n">
        <v>1.4763</v>
      </c>
      <c r="G16" s="7" t="n">
        <v>0.1261</v>
      </c>
      <c r="H16" s="7" t="n">
        <v>0.7999000000000001</v>
      </c>
      <c r="I16" s="7" t="n">
        <v>12.2127</v>
      </c>
      <c r="J16" s="7" t="n">
        <v>0</v>
      </c>
      <c r="K16" s="7" t="n">
        <v>0</v>
      </c>
      <c r="L16" s="7" t="n">
        <v>12.33</v>
      </c>
      <c r="M16" s="7" t="n">
        <v>8.859999999999999</v>
      </c>
      <c r="N16" s="7" t="n">
        <v>0.76</v>
      </c>
      <c r="O16" s="7" t="n">
        <v>4.8</v>
      </c>
      <c r="P16" s="7" t="n">
        <v>73.26000000000001</v>
      </c>
      <c r="Q16" s="7" t="n">
        <v>0</v>
      </c>
      <c r="R16" s="7" t="n">
        <v>16.67</v>
      </c>
    </row>
    <row r="17" ht="34" customHeight="1">
      <c r="A17" s="7" t="n">
        <v>15</v>
      </c>
      <c r="B17" s="7" t="n">
        <v>30</v>
      </c>
      <c r="C17" s="7" t="n">
        <v>34</v>
      </c>
      <c r="D17" s="7" t="n">
        <v>0</v>
      </c>
      <c r="E17" s="7" t="n">
        <v>2.0546</v>
      </c>
      <c r="F17" s="7" t="n">
        <v>1.4763</v>
      </c>
      <c r="G17" s="7" t="n">
        <v>0.1261</v>
      </c>
      <c r="H17" s="7" t="n">
        <v>0.7999000000000001</v>
      </c>
      <c r="I17" s="7" t="n">
        <v>0.9169</v>
      </c>
      <c r="J17" s="7" t="n">
        <v>0</v>
      </c>
      <c r="K17" s="7" t="n">
        <v>0</v>
      </c>
      <c r="L17" s="7" t="n">
        <v>38.26</v>
      </c>
      <c r="M17" s="7" t="n">
        <v>27.49</v>
      </c>
      <c r="N17" s="7" t="n">
        <v>2.35</v>
      </c>
      <c r="O17" s="7" t="n">
        <v>14.9</v>
      </c>
      <c r="P17" s="7" t="n">
        <v>17.07</v>
      </c>
      <c r="Q17" s="7" t="n">
        <v>0</v>
      </c>
      <c r="R17" s="7" t="n">
        <v>5.37</v>
      </c>
    </row>
    <row r="18" ht="34" customHeight="1">
      <c r="A18" s="7" t="n">
        <v>16</v>
      </c>
      <c r="B18" s="7" t="n">
        <v>32</v>
      </c>
      <c r="C18" s="7" t="n">
        <v>36</v>
      </c>
      <c r="D18" s="7" t="n">
        <v>2.7725</v>
      </c>
      <c r="E18" s="7" t="n">
        <v>3.4835</v>
      </c>
      <c r="F18" s="7" t="n">
        <v>4.4886</v>
      </c>
      <c r="G18" s="7" t="n">
        <v>0.1261</v>
      </c>
      <c r="H18" s="7" t="n">
        <v>0.7999000000000001</v>
      </c>
      <c r="I18" s="7" t="n">
        <v>0.9169</v>
      </c>
      <c r="J18" s="7" t="n">
        <v>0</v>
      </c>
      <c r="K18" s="7" t="n">
        <v>22.02</v>
      </c>
      <c r="L18" s="7" t="n">
        <v>27.67</v>
      </c>
      <c r="M18" s="7" t="n">
        <v>35.65</v>
      </c>
      <c r="N18" s="7" t="n">
        <v>1</v>
      </c>
      <c r="O18" s="7" t="n">
        <v>6.35</v>
      </c>
      <c r="P18" s="7" t="n">
        <v>7.28</v>
      </c>
      <c r="Q18" s="7" t="n">
        <v>0</v>
      </c>
      <c r="R18" s="7" t="n">
        <v>12.59</v>
      </c>
    </row>
    <row r="19" ht="34" customHeight="1">
      <c r="A19" s="7" t="n">
        <v>17</v>
      </c>
      <c r="B19" s="7" t="n">
        <v>34</v>
      </c>
      <c r="C19" s="7" t="n">
        <v>36.689</v>
      </c>
      <c r="D19" s="7" t="n">
        <v>0</v>
      </c>
      <c r="E19" s="7" t="n">
        <v>2.0546</v>
      </c>
      <c r="F19" s="7" t="n">
        <v>1.4763</v>
      </c>
      <c r="G19" s="7" t="n">
        <v>0.1261</v>
      </c>
      <c r="H19" s="7" t="n">
        <v>0</v>
      </c>
      <c r="I19" s="7" t="n">
        <v>0.9169</v>
      </c>
      <c r="J19" s="7" t="n">
        <v>0</v>
      </c>
      <c r="K19" s="7" t="n">
        <v>0</v>
      </c>
      <c r="L19" s="7" t="n">
        <v>44.96</v>
      </c>
      <c r="M19" s="7" t="n">
        <v>32.3</v>
      </c>
      <c r="N19" s="7" t="n">
        <v>2.76</v>
      </c>
      <c r="O19" s="7" t="n">
        <v>0</v>
      </c>
      <c r="P19" s="7" t="n">
        <v>20.06</v>
      </c>
      <c r="Q19" s="7" t="n">
        <v>0</v>
      </c>
      <c r="R19" s="7" t="n">
        <v>4.57</v>
      </c>
    </row>
    <row r="20" ht="34" customHeight="1">
      <c r="A20" s="7" t="n">
        <v>18</v>
      </c>
      <c r="B20" s="7" t="n">
        <v>36</v>
      </c>
      <c r="C20" s="7" t="n">
        <v>36.689</v>
      </c>
      <c r="D20" s="7" t="n">
        <v>0</v>
      </c>
      <c r="E20" s="7" t="n">
        <v>0</v>
      </c>
      <c r="F20" s="7" t="n">
        <v>0.1609</v>
      </c>
      <c r="G20" s="7" t="n">
        <v>0.1261</v>
      </c>
      <c r="H20" s="7" t="n">
        <v>0</v>
      </c>
      <c r="I20" s="7" t="n">
        <v>0.9169</v>
      </c>
      <c r="J20" s="7" t="n">
        <v>0</v>
      </c>
      <c r="K20" s="7" t="n">
        <v>0</v>
      </c>
      <c r="L20" s="7" t="n">
        <v>0</v>
      </c>
      <c r="M20" s="7" t="n">
        <v>13.41</v>
      </c>
      <c r="N20" s="7" t="n">
        <v>10.51</v>
      </c>
      <c r="O20" s="7" t="n">
        <v>0</v>
      </c>
      <c r="P20" s="7" t="n">
        <v>76.41</v>
      </c>
      <c r="Q20" s="7" t="n">
        <v>0</v>
      </c>
      <c r="R20" s="7" t="n">
        <v>1.2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34"/>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0" customWidth="1" min="4" max="4"/>
    <col width="12" customWidth="1" min="5" max="5"/>
    <col width="6" customWidth="1" min="6" max="6"/>
    <col width="12" customWidth="1" min="7" max="7"/>
    <col width="7" customWidth="1" min="8" max="8"/>
    <col width="12" customWidth="1" min="9" max="9"/>
    <col width="12" customWidth="1" min="10" max="10"/>
  </cols>
  <sheetData>
    <row r="1" ht="16" customHeight="1">
      <c r="A1" s="6" t="inlineStr">
        <is>
          <t>window_id</t>
        </is>
      </c>
      <c r="B1" s="6" t="inlineStr">
        <is>
          <t>start_time_s</t>
        </is>
      </c>
      <c r="C1" s="6" t="inlineStr">
        <is>
          <t>end_time_s</t>
        </is>
      </c>
      <c r="D1" s="6" t="inlineStr">
        <is>
          <t>risk_code</t>
        </is>
      </c>
      <c r="E1" s="6" t="inlineStr">
        <is>
          <t>risk_label</t>
        </is>
      </c>
      <c r="F1" s="6" t="inlineStr">
        <is>
          <t>raw</t>
        </is>
      </c>
      <c r="G1" s="6" t="inlineStr">
        <is>
          <t>transformed</t>
        </is>
      </c>
      <c r="H1" s="6" t="inlineStr">
        <is>
          <t>weight</t>
        </is>
      </c>
      <c r="I1" s="6" t="inlineStr">
        <is>
          <t>contribution</t>
        </is>
      </c>
      <c r="J1" s="6" t="inlineStr">
        <is>
          <t>contribution_pct</t>
        </is>
      </c>
    </row>
    <row r="2" ht="34" customHeight="1">
      <c r="A2" s="7" t="n">
        <v>0</v>
      </c>
      <c r="B2" s="7" t="n">
        <v>0</v>
      </c>
      <c r="C2" s="7" t="n">
        <v>4</v>
      </c>
      <c r="D2" s="7" t="inlineStr">
        <is>
          <t>S1</t>
        </is>
      </c>
      <c r="E2" s="7" t="inlineStr">
        <is>
          <t>Interferenza tra persone e mezzi di movimentazione negli spazi comuni</t>
        </is>
      </c>
      <c r="F2" s="7" t="n">
        <v>0</v>
      </c>
      <c r="G2" s="7" t="n">
        <v>0</v>
      </c>
      <c r="H2" s="7" t="n">
        <v>0.1109</v>
      </c>
      <c r="I2" s="7" t="n">
        <v>0</v>
      </c>
      <c r="J2" s="7" t="n">
        <v>0</v>
      </c>
    </row>
    <row r="3" ht="34" customHeight="1">
      <c r="A3" s="7" t="n">
        <v>0</v>
      </c>
      <c r="B3" s="7" t="n">
        <v>0</v>
      </c>
      <c r="C3" s="7" t="n">
        <v>4</v>
      </c>
      <c r="D3" s="7" t="inlineStr">
        <is>
          <t>S2</t>
        </is>
      </c>
      <c r="E3" s="7" t="inlineStr">
        <is>
          <t>Riduzione della visibilità durante lo svolgimento di un'attività</t>
        </is>
      </c>
      <c r="F3" s="7" t="n">
        <v>0.25</v>
      </c>
      <c r="G3" s="7" t="n">
        <v>0.5553</v>
      </c>
      <c r="H3" s="7" t="n">
        <v>0.037</v>
      </c>
      <c r="I3" s="7" t="n">
        <v>2.0546</v>
      </c>
      <c r="J3" s="7" t="n">
        <v>5.7</v>
      </c>
    </row>
    <row r="4" ht="34" customHeight="1">
      <c r="A4" s="7" t="n">
        <v>0</v>
      </c>
      <c r="B4" s="7" t="n">
        <v>0</v>
      </c>
      <c r="C4" s="7" t="n">
        <v>4</v>
      </c>
      <c r="D4" s="7" t="inlineStr">
        <is>
          <t>S3</t>
        </is>
      </c>
      <c r="E4" s="7" t="inlineStr">
        <is>
          <t>Comportamenti non conformi durante lo svolgimento di un'attività</t>
        </is>
      </c>
      <c r="F4" s="7" t="n">
        <v>0.25</v>
      </c>
      <c r="G4" s="7" t="n">
        <v>0.2689</v>
      </c>
      <c r="H4" s="7" t="n">
        <v>0.0549</v>
      </c>
      <c r="I4" s="7" t="n">
        <v>1.4763</v>
      </c>
      <c r="J4" s="7" t="n">
        <v>4.09</v>
      </c>
    </row>
    <row r="5" ht="34" customHeight="1">
      <c r="A5" s="7" t="n">
        <v>0</v>
      </c>
      <c r="B5" s="7" t="n">
        <v>0</v>
      </c>
      <c r="C5" s="7" t="n">
        <v>4</v>
      </c>
      <c r="D5" s="7" t="inlineStr">
        <is>
          <t>S4</t>
        </is>
      </c>
      <c r="E5" s="7" t="inlineStr">
        <is>
          <t>Interferenza tra mezzo e infrastrutture interne all'impianto</t>
        </is>
      </c>
      <c r="F5" s="7" t="n">
        <v>0</v>
      </c>
      <c r="G5" s="7" t="n">
        <v>0.008200000000000001</v>
      </c>
      <c r="H5" s="7" t="n">
        <v>0.1538</v>
      </c>
      <c r="I5" s="7" t="n">
        <v>0.1261</v>
      </c>
      <c r="J5" s="7" t="n">
        <v>0.35</v>
      </c>
    </row>
    <row r="6" ht="34" customHeight="1">
      <c r="A6" s="7" t="n">
        <v>0</v>
      </c>
      <c r="B6" s="7" t="n">
        <v>0</v>
      </c>
      <c r="C6" s="7" t="n">
        <v>4</v>
      </c>
      <c r="D6" s="7" t="inlineStr">
        <is>
          <t>S5</t>
        </is>
      </c>
      <c r="E6" s="7" t="inlineStr">
        <is>
          <t>Instabilità di elementi strutturali o di stoccaggio soggetti a urto o sovraccarico</t>
        </is>
      </c>
      <c r="F6" s="7" t="n">
        <v>0.25</v>
      </c>
      <c r="G6" s="7" t="n">
        <v>0.0359</v>
      </c>
      <c r="H6" s="7" t="n">
        <v>0.2228</v>
      </c>
      <c r="I6" s="7" t="n">
        <v>0.7999000000000001</v>
      </c>
      <c r="J6" s="7" t="n">
        <v>2.22</v>
      </c>
    </row>
    <row r="7" ht="34" customHeight="1">
      <c r="A7" s="7" t="n">
        <v>0</v>
      </c>
      <c r="B7" s="7" t="n">
        <v>0</v>
      </c>
      <c r="C7" s="7" t="n">
        <v>4</v>
      </c>
      <c r="D7" s="7" t="inlineStr">
        <is>
          <t>S6</t>
        </is>
      </c>
      <c r="E7" s="7" t="inlineStr">
        <is>
          <t>Accesso a organi meccanici in movimento durante operazioni manuali</t>
        </is>
      </c>
      <c r="F7" s="7" t="n">
        <v>0.5</v>
      </c>
      <c r="G7" s="7" t="n">
        <v>0.9167999999999999</v>
      </c>
      <c r="H7" s="7" t="n">
        <v>0.3447</v>
      </c>
      <c r="I7" s="7" t="n">
        <v>31.6021</v>
      </c>
      <c r="J7" s="7" t="n">
        <v>87.64</v>
      </c>
    </row>
    <row r="8" ht="34" customHeight="1">
      <c r="A8" s="7" t="n">
        <v>0</v>
      </c>
      <c r="B8" s="7" t="n">
        <v>0</v>
      </c>
      <c r="C8" s="7" t="n">
        <v>4</v>
      </c>
      <c r="D8" s="7" t="inlineStr">
        <is>
          <t>S7</t>
        </is>
      </c>
      <c r="E8" s="7" t="inlineStr">
        <is>
          <t>Movimentazione manuale di carichi pesanti o instabili senza ausili meccanici adeguati</t>
        </is>
      </c>
      <c r="F8" s="7" t="n">
        <v>0</v>
      </c>
      <c r="G8" s="7" t="n">
        <v>0</v>
      </c>
      <c r="H8" s="7" t="n">
        <v>0.0759</v>
      </c>
      <c r="I8" s="7" t="n">
        <v>0</v>
      </c>
      <c r="J8" s="7" t="n">
        <v>0</v>
      </c>
    </row>
    <row r="9" ht="34" customHeight="1">
      <c r="A9" s="7" t="n">
        <v>1</v>
      </c>
      <c r="B9" s="7" t="n">
        <v>2</v>
      </c>
      <c r="C9" s="7" t="n">
        <v>6</v>
      </c>
      <c r="D9" s="7" t="inlineStr">
        <is>
          <t>S1</t>
        </is>
      </c>
      <c r="E9" s="7" t="inlineStr">
        <is>
          <t>Interferenza tra persone e mezzi di movimentazione negli spazi comuni</t>
        </is>
      </c>
      <c r="F9" s="7" t="n">
        <v>0</v>
      </c>
      <c r="G9" s="7" t="n">
        <v>0</v>
      </c>
      <c r="H9" s="7" t="n">
        <v>0.1109</v>
      </c>
      <c r="I9" s="7" t="n">
        <v>0</v>
      </c>
      <c r="J9" s="7" t="n">
        <v>0</v>
      </c>
    </row>
    <row r="10" ht="34" customHeight="1">
      <c r="A10" s="7" t="n">
        <v>1</v>
      </c>
      <c r="B10" s="7" t="n">
        <v>2</v>
      </c>
      <c r="C10" s="7" t="n">
        <v>6</v>
      </c>
      <c r="D10" s="7" t="inlineStr">
        <is>
          <t>S2</t>
        </is>
      </c>
      <c r="E10" s="7" t="inlineStr">
        <is>
          <t>Riduzione della visibilità durante lo svolgimento di un'attività</t>
        </is>
      </c>
      <c r="F10" s="7" t="n">
        <v>0.5</v>
      </c>
      <c r="G10" s="7" t="n">
        <v>0.8176</v>
      </c>
      <c r="H10" s="7" t="n">
        <v>0.037</v>
      </c>
      <c r="I10" s="7" t="n">
        <v>3.0251</v>
      </c>
      <c r="J10" s="7" t="n">
        <v>8.35</v>
      </c>
    </row>
    <row r="11" ht="34" customHeight="1">
      <c r="A11" s="7" t="n">
        <v>1</v>
      </c>
      <c r="B11" s="7" t="n">
        <v>2</v>
      </c>
      <c r="C11" s="7" t="n">
        <v>6</v>
      </c>
      <c r="D11" s="7" t="inlineStr">
        <is>
          <t>S3</t>
        </is>
      </c>
      <c r="E11" s="7" t="inlineStr">
        <is>
          <t>Comportamenti non conformi durante lo svolgimento di un'attività</t>
        </is>
      </c>
      <c r="F11" s="7" t="n">
        <v>0.25</v>
      </c>
      <c r="G11" s="7" t="n">
        <v>0.2689</v>
      </c>
      <c r="H11" s="7" t="n">
        <v>0.0549</v>
      </c>
      <c r="I11" s="7" t="n">
        <v>1.4763</v>
      </c>
      <c r="J11" s="7" t="n">
        <v>4.07</v>
      </c>
    </row>
    <row r="12" ht="34" customHeight="1">
      <c r="A12" s="7" t="n">
        <v>1</v>
      </c>
      <c r="B12" s="7" t="n">
        <v>2</v>
      </c>
      <c r="C12" s="7" t="n">
        <v>6</v>
      </c>
      <c r="D12" s="7" t="inlineStr">
        <is>
          <t>S4</t>
        </is>
      </c>
      <c r="E12" s="7" t="inlineStr">
        <is>
          <t>Interferenza tra mezzo e infrastrutture interne all'impianto</t>
        </is>
      </c>
      <c r="F12" s="7" t="n">
        <v>0</v>
      </c>
      <c r="G12" s="7" t="n">
        <v>0.008200000000000001</v>
      </c>
      <c r="H12" s="7" t="n">
        <v>0.1538</v>
      </c>
      <c r="I12" s="7" t="n">
        <v>0.1261</v>
      </c>
      <c r="J12" s="7" t="n">
        <v>0.35</v>
      </c>
    </row>
    <row r="13" ht="34" customHeight="1">
      <c r="A13" s="7" t="n">
        <v>1</v>
      </c>
      <c r="B13" s="7" t="n">
        <v>2</v>
      </c>
      <c r="C13" s="7" t="n">
        <v>6</v>
      </c>
      <c r="D13" s="7" t="inlineStr">
        <is>
          <t>S5</t>
        </is>
      </c>
      <c r="E13" s="7" t="inlineStr">
        <is>
          <t>Instabilità di elementi strutturali o di stoccaggio soggetti a urto o sovraccarico</t>
        </is>
      </c>
      <c r="F13" s="7" t="n">
        <v>0</v>
      </c>
      <c r="G13" s="7" t="n">
        <v>0</v>
      </c>
      <c r="H13" s="7" t="n">
        <v>0.2228</v>
      </c>
      <c r="I13" s="7" t="n">
        <v>0</v>
      </c>
      <c r="J13" s="7" t="n">
        <v>0</v>
      </c>
    </row>
    <row r="14" ht="34" customHeight="1">
      <c r="A14" s="7" t="n">
        <v>1</v>
      </c>
      <c r="B14" s="7" t="n">
        <v>2</v>
      </c>
      <c r="C14" s="7" t="n">
        <v>6</v>
      </c>
      <c r="D14" s="7" t="inlineStr">
        <is>
          <t>S6</t>
        </is>
      </c>
      <c r="E14" s="7" t="inlineStr">
        <is>
          <t>Accesso a organi meccanici in movimento durante operazioni manuali</t>
        </is>
      </c>
      <c r="F14" s="7" t="n">
        <v>0.5</v>
      </c>
      <c r="G14" s="7" t="n">
        <v>0.9167999999999999</v>
      </c>
      <c r="H14" s="7" t="n">
        <v>0.3447</v>
      </c>
      <c r="I14" s="7" t="n">
        <v>31.6021</v>
      </c>
      <c r="J14" s="7" t="n">
        <v>87.23</v>
      </c>
    </row>
    <row r="15" ht="34" customHeight="1">
      <c r="A15" s="7" t="n">
        <v>1</v>
      </c>
      <c r="B15" s="7" t="n">
        <v>2</v>
      </c>
      <c r="C15" s="7" t="n">
        <v>6</v>
      </c>
      <c r="D15" s="7" t="inlineStr">
        <is>
          <t>S7</t>
        </is>
      </c>
      <c r="E15" s="7" t="inlineStr">
        <is>
          <t>Movimentazione manuale di carichi pesanti o instabili senza ausili meccanici adeguati</t>
        </is>
      </c>
      <c r="F15" s="7" t="n">
        <v>0</v>
      </c>
      <c r="G15" s="7" t="n">
        <v>0</v>
      </c>
      <c r="H15" s="7" t="n">
        <v>0.0759</v>
      </c>
      <c r="I15" s="7" t="n">
        <v>0</v>
      </c>
      <c r="J15" s="7" t="n">
        <v>0</v>
      </c>
    </row>
    <row r="16" ht="34" customHeight="1">
      <c r="A16" s="7" t="n">
        <v>2</v>
      </c>
      <c r="B16" s="7" t="n">
        <v>4</v>
      </c>
      <c r="C16" s="7" t="n">
        <v>8</v>
      </c>
      <c r="D16" s="7" t="inlineStr">
        <is>
          <t>S1</t>
        </is>
      </c>
      <c r="E16" s="7" t="inlineStr">
        <is>
          <t>Interferenza tra persone e mezzi di movimentazione negli spazi comuni</t>
        </is>
      </c>
      <c r="F16" s="7" t="n">
        <v>0</v>
      </c>
      <c r="G16" s="7" t="n">
        <v>0</v>
      </c>
      <c r="H16" s="7" t="n">
        <v>0.1109</v>
      </c>
      <c r="I16" s="7" t="n">
        <v>0</v>
      </c>
      <c r="J16" s="7" t="n">
        <v>0</v>
      </c>
    </row>
    <row r="17" ht="34" customHeight="1">
      <c r="A17" s="7" t="n">
        <v>2</v>
      </c>
      <c r="B17" s="7" t="n">
        <v>4</v>
      </c>
      <c r="C17" s="7" t="n">
        <v>8</v>
      </c>
      <c r="D17" s="7" t="inlineStr">
        <is>
          <t>S2</t>
        </is>
      </c>
      <c r="E17" s="7" t="inlineStr">
        <is>
          <t>Riduzione della visibilità durante lo svolgimento di un'attività</t>
        </is>
      </c>
      <c r="F17" s="7" t="n">
        <v>0.5</v>
      </c>
      <c r="G17" s="7" t="n">
        <v>0.8176</v>
      </c>
      <c r="H17" s="7" t="n">
        <v>0.037</v>
      </c>
      <c r="I17" s="7" t="n">
        <v>3.0251</v>
      </c>
      <c r="J17" s="7" t="n">
        <v>8.17</v>
      </c>
    </row>
    <row r="18" ht="34" customHeight="1">
      <c r="A18" s="7" t="n">
        <v>2</v>
      </c>
      <c r="B18" s="7" t="n">
        <v>4</v>
      </c>
      <c r="C18" s="7" t="n">
        <v>8</v>
      </c>
      <c r="D18" s="7" t="inlineStr">
        <is>
          <t>S3</t>
        </is>
      </c>
      <c r="E18" s="7" t="inlineStr">
        <is>
          <t>Comportamenti non conformi durante lo svolgimento di un'attività</t>
        </is>
      </c>
      <c r="F18" s="7" t="n">
        <v>0.25</v>
      </c>
      <c r="G18" s="7" t="n">
        <v>0.2689</v>
      </c>
      <c r="H18" s="7" t="n">
        <v>0.0549</v>
      </c>
      <c r="I18" s="7" t="n">
        <v>1.4763</v>
      </c>
      <c r="J18" s="7" t="n">
        <v>3.99</v>
      </c>
    </row>
    <row r="19" ht="34" customHeight="1">
      <c r="A19" s="7" t="n">
        <v>2</v>
      </c>
      <c r="B19" s="7" t="n">
        <v>4</v>
      </c>
      <c r="C19" s="7" t="n">
        <v>8</v>
      </c>
      <c r="D19" s="7" t="inlineStr">
        <is>
          <t>S4</t>
        </is>
      </c>
      <c r="E19" s="7" t="inlineStr">
        <is>
          <t>Interferenza tra mezzo e infrastrutture interne all'impianto</t>
        </is>
      </c>
      <c r="F19" s="7" t="n">
        <v>0</v>
      </c>
      <c r="G19" s="7" t="n">
        <v>0.008200000000000001</v>
      </c>
      <c r="H19" s="7" t="n">
        <v>0.1538</v>
      </c>
      <c r="I19" s="7" t="n">
        <v>0.1261</v>
      </c>
      <c r="J19" s="7" t="n">
        <v>0.34</v>
      </c>
    </row>
    <row r="20" ht="34" customHeight="1">
      <c r="A20" s="7" t="n">
        <v>2</v>
      </c>
      <c r="B20" s="7" t="n">
        <v>4</v>
      </c>
      <c r="C20" s="7" t="n">
        <v>8</v>
      </c>
      <c r="D20" s="7" t="inlineStr">
        <is>
          <t>S5</t>
        </is>
      </c>
      <c r="E20" s="7" t="inlineStr">
        <is>
          <t>Instabilità di elementi strutturali o di stoccaggio soggetti a urto o sovraccarico</t>
        </is>
      </c>
      <c r="F20" s="7" t="n">
        <v>0.25</v>
      </c>
      <c r="G20" s="7" t="n">
        <v>0.0359</v>
      </c>
      <c r="H20" s="7" t="n">
        <v>0.2228</v>
      </c>
      <c r="I20" s="7" t="n">
        <v>0.7999000000000001</v>
      </c>
      <c r="J20" s="7" t="n">
        <v>2.16</v>
      </c>
    </row>
    <row r="21" ht="34" customHeight="1">
      <c r="A21" s="7" t="n">
        <v>2</v>
      </c>
      <c r="B21" s="7" t="n">
        <v>4</v>
      </c>
      <c r="C21" s="7" t="n">
        <v>8</v>
      </c>
      <c r="D21" s="7" t="inlineStr">
        <is>
          <t>S6</t>
        </is>
      </c>
      <c r="E21" s="7" t="inlineStr">
        <is>
          <t>Accesso a organi meccanici in movimento durante operazioni manuali</t>
        </is>
      </c>
      <c r="F21" s="7" t="n">
        <v>0.5</v>
      </c>
      <c r="G21" s="7" t="n">
        <v>0.9167999999999999</v>
      </c>
      <c r="H21" s="7" t="n">
        <v>0.3447</v>
      </c>
      <c r="I21" s="7" t="n">
        <v>31.6021</v>
      </c>
      <c r="J21" s="7" t="n">
        <v>85.34</v>
      </c>
    </row>
    <row r="22" ht="34" customHeight="1">
      <c r="A22" s="7" t="n">
        <v>2</v>
      </c>
      <c r="B22" s="7" t="n">
        <v>4</v>
      </c>
      <c r="C22" s="7" t="n">
        <v>8</v>
      </c>
      <c r="D22" s="7" t="inlineStr">
        <is>
          <t>S7</t>
        </is>
      </c>
      <c r="E22" s="7" t="inlineStr">
        <is>
          <t>Movimentazione manuale di carichi pesanti o instabili senza ausili meccanici adeguati</t>
        </is>
      </c>
      <c r="F22" s="7" t="n">
        <v>0</v>
      </c>
      <c r="G22" s="7" t="n">
        <v>0</v>
      </c>
      <c r="H22" s="7" t="n">
        <v>0.0759</v>
      </c>
      <c r="I22" s="7" t="n">
        <v>0</v>
      </c>
      <c r="J22" s="7" t="n">
        <v>0</v>
      </c>
    </row>
    <row r="23" ht="34" customHeight="1">
      <c r="A23" s="7" t="n">
        <v>3</v>
      </c>
      <c r="B23" s="7" t="n">
        <v>6</v>
      </c>
      <c r="C23" s="7" t="n">
        <v>10</v>
      </c>
      <c r="D23" s="7" t="inlineStr">
        <is>
          <t>S1</t>
        </is>
      </c>
      <c r="E23" s="7" t="inlineStr">
        <is>
          <t>Interferenza tra persone e mezzi di movimentazione negli spazi comuni</t>
        </is>
      </c>
      <c r="F23" s="7" t="n">
        <v>0</v>
      </c>
      <c r="G23" s="7" t="n">
        <v>0</v>
      </c>
      <c r="H23" s="7" t="n">
        <v>0.1109</v>
      </c>
      <c r="I23" s="7" t="n">
        <v>0</v>
      </c>
      <c r="J23" s="7" t="n">
        <v>0</v>
      </c>
    </row>
    <row r="24" ht="34" customHeight="1">
      <c r="A24" s="7" t="n">
        <v>3</v>
      </c>
      <c r="B24" s="7" t="n">
        <v>6</v>
      </c>
      <c r="C24" s="7" t="n">
        <v>10</v>
      </c>
      <c r="D24" s="7" t="inlineStr">
        <is>
          <t>S2</t>
        </is>
      </c>
      <c r="E24" s="7" t="inlineStr">
        <is>
          <t>Riduzione della visibilità durante lo svolgimento di un'attività</t>
        </is>
      </c>
      <c r="F24" s="7" t="n">
        <v>0.5</v>
      </c>
      <c r="G24" s="7" t="n">
        <v>0.8176</v>
      </c>
      <c r="H24" s="7" t="n">
        <v>0.037</v>
      </c>
      <c r="I24" s="7" t="n">
        <v>3.0251</v>
      </c>
      <c r="J24" s="7" t="n">
        <v>7.61</v>
      </c>
    </row>
    <row r="25" ht="34" customHeight="1">
      <c r="A25" s="7" t="n">
        <v>3</v>
      </c>
      <c r="B25" s="7" t="n">
        <v>6</v>
      </c>
      <c r="C25" s="7" t="n">
        <v>10</v>
      </c>
      <c r="D25" s="7" t="inlineStr">
        <is>
          <t>S3</t>
        </is>
      </c>
      <c r="E25" s="7" t="inlineStr">
        <is>
          <t>Comportamenti non conformi durante lo svolgimento di un'attività</t>
        </is>
      </c>
      <c r="F25" s="7" t="n">
        <v>0.25</v>
      </c>
      <c r="G25" s="7" t="n">
        <v>0.2689</v>
      </c>
      <c r="H25" s="7" t="n">
        <v>0.0549</v>
      </c>
      <c r="I25" s="7" t="n">
        <v>1.4763</v>
      </c>
      <c r="J25" s="7" t="n">
        <v>3.71</v>
      </c>
    </row>
    <row r="26" ht="34" customHeight="1">
      <c r="A26" s="7" t="n">
        <v>3</v>
      </c>
      <c r="B26" s="7" t="n">
        <v>6</v>
      </c>
      <c r="C26" s="7" t="n">
        <v>10</v>
      </c>
      <c r="D26" s="7" t="inlineStr">
        <is>
          <t>S4</t>
        </is>
      </c>
      <c r="E26" s="7" t="inlineStr">
        <is>
          <t>Interferenza tra mezzo e infrastrutture interne all'impianto</t>
        </is>
      </c>
      <c r="F26" s="7" t="n">
        <v>0</v>
      </c>
      <c r="G26" s="7" t="n">
        <v>0.008200000000000001</v>
      </c>
      <c r="H26" s="7" t="n">
        <v>0.1538</v>
      </c>
      <c r="I26" s="7" t="n">
        <v>0.1261</v>
      </c>
      <c r="J26" s="7" t="n">
        <v>0.32</v>
      </c>
    </row>
    <row r="27" ht="34" customHeight="1">
      <c r="A27" s="7" t="n">
        <v>3</v>
      </c>
      <c r="B27" s="7" t="n">
        <v>6</v>
      </c>
      <c r="C27" s="7" t="n">
        <v>10</v>
      </c>
      <c r="D27" s="7" t="inlineStr">
        <is>
          <t>S5</t>
        </is>
      </c>
      <c r="E27" s="7" t="inlineStr">
        <is>
          <t>Instabilità di elementi strutturali o di stoccaggio soggetti a urto o sovraccarico</t>
        </is>
      </c>
      <c r="F27" s="7" t="n">
        <v>0.25</v>
      </c>
      <c r="G27" s="7" t="n">
        <v>0.0359</v>
      </c>
      <c r="H27" s="7" t="n">
        <v>0.2228</v>
      </c>
      <c r="I27" s="7" t="n">
        <v>0.7999000000000001</v>
      </c>
      <c r="J27" s="7" t="n">
        <v>2.01</v>
      </c>
    </row>
    <row r="28" ht="34" customHeight="1">
      <c r="A28" s="7" t="n">
        <v>3</v>
      </c>
      <c r="B28" s="7" t="n">
        <v>6</v>
      </c>
      <c r="C28" s="7" t="n">
        <v>10</v>
      </c>
      <c r="D28" s="7" t="inlineStr">
        <is>
          <t>S6</t>
        </is>
      </c>
      <c r="E28" s="7" t="inlineStr">
        <is>
          <t>Accesso a organi meccanici in movimento durante operazioni manuali</t>
        </is>
      </c>
      <c r="F28" s="7" t="n">
        <v>0.75</v>
      </c>
      <c r="G28" s="7" t="n">
        <v>0.9955000000000001</v>
      </c>
      <c r="H28" s="7" t="n">
        <v>0.3447</v>
      </c>
      <c r="I28" s="7" t="n">
        <v>34.3149</v>
      </c>
      <c r="J28" s="7" t="n">
        <v>86.34999999999999</v>
      </c>
    </row>
    <row r="29" ht="34" customHeight="1">
      <c r="A29" s="7" t="n">
        <v>3</v>
      </c>
      <c r="B29" s="7" t="n">
        <v>6</v>
      </c>
      <c r="C29" s="7" t="n">
        <v>10</v>
      </c>
      <c r="D29" s="7" t="inlineStr">
        <is>
          <t>S7</t>
        </is>
      </c>
      <c r="E29" s="7" t="inlineStr">
        <is>
          <t>Movimentazione manuale di carichi pesanti o instabili senza ausili meccanici adeguati</t>
        </is>
      </c>
      <c r="F29" s="7" t="n">
        <v>0</v>
      </c>
      <c r="G29" s="7" t="n">
        <v>0</v>
      </c>
      <c r="H29" s="7" t="n">
        <v>0.0759</v>
      </c>
      <c r="I29" s="7" t="n">
        <v>0</v>
      </c>
      <c r="J29" s="7" t="n">
        <v>0</v>
      </c>
    </row>
    <row r="30" ht="34" customHeight="1">
      <c r="A30" s="7" t="n">
        <v>4</v>
      </c>
      <c r="B30" s="7" t="n">
        <v>8</v>
      </c>
      <c r="C30" s="7" t="n">
        <v>12</v>
      </c>
      <c r="D30" s="7" t="inlineStr">
        <is>
          <t>S1</t>
        </is>
      </c>
      <c r="E30" s="7" t="inlineStr">
        <is>
          <t>Interferenza tra persone e mezzi di movimentazione negli spazi comuni</t>
        </is>
      </c>
      <c r="F30" s="7" t="n">
        <v>0</v>
      </c>
      <c r="G30" s="7" t="n">
        <v>0</v>
      </c>
      <c r="H30" s="7" t="n">
        <v>0.1109</v>
      </c>
      <c r="I30" s="7" t="n">
        <v>0</v>
      </c>
      <c r="J30" s="7" t="n">
        <v>0</v>
      </c>
    </row>
    <row r="31" ht="34" customHeight="1">
      <c r="A31" s="7" t="n">
        <v>4</v>
      </c>
      <c r="B31" s="7" t="n">
        <v>8</v>
      </c>
      <c r="C31" s="7" t="n">
        <v>12</v>
      </c>
      <c r="D31" s="7" t="inlineStr">
        <is>
          <t>S2</t>
        </is>
      </c>
      <c r="E31" s="7" t="inlineStr">
        <is>
          <t>Riduzione della visibilità durante lo svolgimento di un'attività</t>
        </is>
      </c>
      <c r="F31" s="7" t="n">
        <v>0.5</v>
      </c>
      <c r="G31" s="7" t="n">
        <v>0.8176</v>
      </c>
      <c r="H31" s="7" t="n">
        <v>0.037</v>
      </c>
      <c r="I31" s="7" t="n">
        <v>3.0251</v>
      </c>
      <c r="J31" s="7" t="n">
        <v>8.35</v>
      </c>
    </row>
    <row r="32" ht="34" customHeight="1">
      <c r="A32" s="7" t="n">
        <v>4</v>
      </c>
      <c r="B32" s="7" t="n">
        <v>8</v>
      </c>
      <c r="C32" s="7" t="n">
        <v>12</v>
      </c>
      <c r="D32" s="7" t="inlineStr">
        <is>
          <t>S3</t>
        </is>
      </c>
      <c r="E32" s="7" t="inlineStr">
        <is>
          <t>Comportamenti non conformi durante lo svolgimento di un'attività</t>
        </is>
      </c>
      <c r="F32" s="7" t="n">
        <v>0.25</v>
      </c>
      <c r="G32" s="7" t="n">
        <v>0.2689</v>
      </c>
      <c r="H32" s="7" t="n">
        <v>0.0549</v>
      </c>
      <c r="I32" s="7" t="n">
        <v>1.4763</v>
      </c>
      <c r="J32" s="7" t="n">
        <v>4.07</v>
      </c>
    </row>
    <row r="33" ht="34" customHeight="1">
      <c r="A33" s="7" t="n">
        <v>4</v>
      </c>
      <c r="B33" s="7" t="n">
        <v>8</v>
      </c>
      <c r="C33" s="7" t="n">
        <v>12</v>
      </c>
      <c r="D33" s="7" t="inlineStr">
        <is>
          <t>S4</t>
        </is>
      </c>
      <c r="E33" s="7" t="inlineStr">
        <is>
          <t>Interferenza tra mezzo e infrastrutture interne all'impianto</t>
        </is>
      </c>
      <c r="F33" s="7" t="n">
        <v>0</v>
      </c>
      <c r="G33" s="7" t="n">
        <v>0.008200000000000001</v>
      </c>
      <c r="H33" s="7" t="n">
        <v>0.1538</v>
      </c>
      <c r="I33" s="7" t="n">
        <v>0.1261</v>
      </c>
      <c r="J33" s="7" t="n">
        <v>0.35</v>
      </c>
    </row>
    <row r="34" ht="34" customHeight="1">
      <c r="A34" s="7" t="n">
        <v>4</v>
      </c>
      <c r="B34" s="7" t="n">
        <v>8</v>
      </c>
      <c r="C34" s="7" t="n">
        <v>12</v>
      </c>
      <c r="D34" s="7" t="inlineStr">
        <is>
          <t>S5</t>
        </is>
      </c>
      <c r="E34" s="7" t="inlineStr">
        <is>
          <t>Instabilità di elementi strutturali o di stoccaggio soggetti a urto o sovraccarico</t>
        </is>
      </c>
      <c r="F34" s="7" t="n">
        <v>0</v>
      </c>
      <c r="G34" s="7" t="n">
        <v>0</v>
      </c>
      <c r="H34" s="7" t="n">
        <v>0.2228</v>
      </c>
      <c r="I34" s="7" t="n">
        <v>0</v>
      </c>
      <c r="J34" s="7" t="n">
        <v>0</v>
      </c>
    </row>
    <row r="35" ht="34" customHeight="1">
      <c r="A35" s="7" t="n">
        <v>4</v>
      </c>
      <c r="B35" s="7" t="n">
        <v>8</v>
      </c>
      <c r="C35" s="7" t="n">
        <v>12</v>
      </c>
      <c r="D35" s="7" t="inlineStr">
        <is>
          <t>S6</t>
        </is>
      </c>
      <c r="E35" s="7" t="inlineStr">
        <is>
          <t>Accesso a organi meccanici in movimento durante operazioni manuali</t>
        </is>
      </c>
      <c r="F35" s="7" t="n">
        <v>0.5</v>
      </c>
      <c r="G35" s="7" t="n">
        <v>0.9167999999999999</v>
      </c>
      <c r="H35" s="7" t="n">
        <v>0.3447</v>
      </c>
      <c r="I35" s="7" t="n">
        <v>31.6021</v>
      </c>
      <c r="J35" s="7" t="n">
        <v>87.23</v>
      </c>
    </row>
    <row r="36" ht="34" customHeight="1">
      <c r="A36" s="7" t="n">
        <v>4</v>
      </c>
      <c r="B36" s="7" t="n">
        <v>8</v>
      </c>
      <c r="C36" s="7" t="n">
        <v>12</v>
      </c>
      <c r="D36" s="7" t="inlineStr">
        <is>
          <t>S7</t>
        </is>
      </c>
      <c r="E36" s="7" t="inlineStr">
        <is>
          <t>Movimentazione manuale di carichi pesanti o instabili senza ausili meccanici adeguati</t>
        </is>
      </c>
      <c r="F36" s="7" t="n">
        <v>0</v>
      </c>
      <c r="G36" s="7" t="n">
        <v>0</v>
      </c>
      <c r="H36" s="7" t="n">
        <v>0.0759</v>
      </c>
      <c r="I36" s="7" t="n">
        <v>0</v>
      </c>
      <c r="J36" s="7" t="n">
        <v>0</v>
      </c>
    </row>
    <row r="37" ht="34" customHeight="1">
      <c r="A37" s="7" t="n">
        <v>5</v>
      </c>
      <c r="B37" s="7" t="n">
        <v>10</v>
      </c>
      <c r="C37" s="7" t="n">
        <v>14</v>
      </c>
      <c r="D37" s="7" t="inlineStr">
        <is>
          <t>S1</t>
        </is>
      </c>
      <c r="E37" s="7" t="inlineStr">
        <is>
          <t>Interferenza tra persone e mezzi di movimentazione negli spazi comuni</t>
        </is>
      </c>
      <c r="F37" s="7" t="n">
        <v>0</v>
      </c>
      <c r="G37" s="7" t="n">
        <v>0</v>
      </c>
      <c r="H37" s="7" t="n">
        <v>0.1109</v>
      </c>
      <c r="I37" s="7" t="n">
        <v>0</v>
      </c>
      <c r="J37" s="7" t="n">
        <v>0</v>
      </c>
    </row>
    <row r="38" ht="34" customHeight="1">
      <c r="A38" s="7" t="n">
        <v>5</v>
      </c>
      <c r="B38" s="7" t="n">
        <v>10</v>
      </c>
      <c r="C38" s="7" t="n">
        <v>14</v>
      </c>
      <c r="D38" s="7" t="inlineStr">
        <is>
          <t>S2</t>
        </is>
      </c>
      <c r="E38" s="7" t="inlineStr">
        <is>
          <t>Riduzione della visibilità durante lo svolgimento di un'attività</t>
        </is>
      </c>
      <c r="F38" s="7" t="n">
        <v>0.5</v>
      </c>
      <c r="G38" s="7" t="n">
        <v>0.8176</v>
      </c>
      <c r="H38" s="7" t="n">
        <v>0.037</v>
      </c>
      <c r="I38" s="7" t="n">
        <v>3.0251</v>
      </c>
      <c r="J38" s="7" t="n">
        <v>8.27</v>
      </c>
    </row>
    <row r="39" ht="34" customHeight="1">
      <c r="A39" s="7" t="n">
        <v>5</v>
      </c>
      <c r="B39" s="7" t="n">
        <v>10</v>
      </c>
      <c r="C39" s="7" t="n">
        <v>14</v>
      </c>
      <c r="D39" s="7" t="inlineStr">
        <is>
          <t>S3</t>
        </is>
      </c>
      <c r="E39" s="7" t="inlineStr">
        <is>
          <t>Comportamenti non conformi durante lo svolgimento di un'attività</t>
        </is>
      </c>
      <c r="F39" s="7" t="n">
        <v>0.25</v>
      </c>
      <c r="G39" s="7" t="n">
        <v>0.2689</v>
      </c>
      <c r="H39" s="7" t="n">
        <v>0.0549</v>
      </c>
      <c r="I39" s="7" t="n">
        <v>1.4763</v>
      </c>
      <c r="J39" s="7" t="n">
        <v>4.03</v>
      </c>
    </row>
    <row r="40" ht="34" customHeight="1">
      <c r="A40" s="7" t="n">
        <v>5</v>
      </c>
      <c r="B40" s="7" t="n">
        <v>10</v>
      </c>
      <c r="C40" s="7" t="n">
        <v>14</v>
      </c>
      <c r="D40" s="7" t="inlineStr">
        <is>
          <t>S4</t>
        </is>
      </c>
      <c r="E40" s="7" t="inlineStr">
        <is>
          <t>Interferenza tra mezzo e infrastrutture interne all'impianto</t>
        </is>
      </c>
      <c r="F40" s="7" t="n">
        <v>0</v>
      </c>
      <c r="G40" s="7" t="n">
        <v>0.008200000000000001</v>
      </c>
      <c r="H40" s="7" t="n">
        <v>0.1538</v>
      </c>
      <c r="I40" s="7" t="n">
        <v>0.1261</v>
      </c>
      <c r="J40" s="7" t="n">
        <v>0.34</v>
      </c>
    </row>
    <row r="41" ht="34" customHeight="1">
      <c r="A41" s="7" t="n">
        <v>5</v>
      </c>
      <c r="B41" s="7" t="n">
        <v>10</v>
      </c>
      <c r="C41" s="7" t="n">
        <v>14</v>
      </c>
      <c r="D41" s="7" t="inlineStr">
        <is>
          <t>S5</t>
        </is>
      </c>
      <c r="E41" s="7" t="inlineStr">
        <is>
          <t>Instabilità di elementi strutturali o di stoccaggio soggetti a urto o sovraccarico</t>
        </is>
      </c>
      <c r="F41" s="7" t="n">
        <v>0</v>
      </c>
      <c r="G41" s="7" t="n">
        <v>0</v>
      </c>
      <c r="H41" s="7" t="n">
        <v>0.2228</v>
      </c>
      <c r="I41" s="7" t="n">
        <v>0</v>
      </c>
      <c r="J41" s="7" t="n">
        <v>0</v>
      </c>
    </row>
    <row r="42" ht="34" customHeight="1">
      <c r="A42" s="7" t="n">
        <v>5</v>
      </c>
      <c r="B42" s="7" t="n">
        <v>10</v>
      </c>
      <c r="C42" s="7" t="n">
        <v>14</v>
      </c>
      <c r="D42" s="7" t="inlineStr">
        <is>
          <t>S6</t>
        </is>
      </c>
      <c r="E42" s="7" t="inlineStr">
        <is>
          <t>Accesso a organi meccanici in movimento durante operazioni manuali</t>
        </is>
      </c>
      <c r="F42" s="7" t="n">
        <v>0.5</v>
      </c>
      <c r="G42" s="7" t="n">
        <v>0.9167999999999999</v>
      </c>
      <c r="H42" s="7" t="n">
        <v>0.3447</v>
      </c>
      <c r="I42" s="7" t="n">
        <v>31.6021</v>
      </c>
      <c r="J42" s="7" t="n">
        <v>86.37</v>
      </c>
    </row>
    <row r="43" ht="34" customHeight="1">
      <c r="A43" s="7" t="n">
        <v>5</v>
      </c>
      <c r="B43" s="7" t="n">
        <v>10</v>
      </c>
      <c r="C43" s="7" t="n">
        <v>14</v>
      </c>
      <c r="D43" s="7" t="inlineStr">
        <is>
          <t>S7</t>
        </is>
      </c>
      <c r="E43" s="7" t="inlineStr">
        <is>
          <t>Movimentazione manuale di carichi pesanti o instabili senza ausili meccanici adeguati</t>
        </is>
      </c>
      <c r="F43" s="7" t="n">
        <v>0.25</v>
      </c>
      <c r="G43" s="7" t="n">
        <v>0.0474</v>
      </c>
      <c r="H43" s="7" t="n">
        <v>0.0759</v>
      </c>
      <c r="I43" s="7" t="n">
        <v>0.3598</v>
      </c>
      <c r="J43" s="7" t="n">
        <v>0.98</v>
      </c>
    </row>
    <row r="44" ht="34" customHeight="1">
      <c r="A44" s="7" t="n">
        <v>6</v>
      </c>
      <c r="B44" s="7" t="n">
        <v>12</v>
      </c>
      <c r="C44" s="7" t="n">
        <v>16</v>
      </c>
      <c r="D44" s="7" t="inlineStr">
        <is>
          <t>S1</t>
        </is>
      </c>
      <c r="E44" s="7" t="inlineStr">
        <is>
          <t>Interferenza tra persone e mezzi di movimentazione negli spazi comuni</t>
        </is>
      </c>
      <c r="F44" s="7" t="n">
        <v>0</v>
      </c>
      <c r="G44" s="7" t="n">
        <v>0</v>
      </c>
      <c r="H44" s="7" t="n">
        <v>0.1109</v>
      </c>
      <c r="I44" s="7" t="n">
        <v>0</v>
      </c>
      <c r="J44" s="7" t="n">
        <v>0</v>
      </c>
    </row>
    <row r="45" ht="34" customHeight="1">
      <c r="A45" s="7" t="n">
        <v>6</v>
      </c>
      <c r="B45" s="7" t="n">
        <v>12</v>
      </c>
      <c r="C45" s="7" t="n">
        <v>16</v>
      </c>
      <c r="D45" s="7" t="inlineStr">
        <is>
          <t>S2</t>
        </is>
      </c>
      <c r="E45" s="7" t="inlineStr">
        <is>
          <t>Riduzione della visibilità durante lo svolgimento di un'attività</t>
        </is>
      </c>
      <c r="F45" s="7" t="n">
        <v>0.5</v>
      </c>
      <c r="G45" s="7" t="n">
        <v>0.8176</v>
      </c>
      <c r="H45" s="7" t="n">
        <v>0.037</v>
      </c>
      <c r="I45" s="7" t="n">
        <v>3.0251</v>
      </c>
      <c r="J45" s="7" t="n">
        <v>7.37</v>
      </c>
    </row>
    <row r="46" ht="34" customHeight="1">
      <c r="A46" s="7" t="n">
        <v>6</v>
      </c>
      <c r="B46" s="7" t="n">
        <v>12</v>
      </c>
      <c r="C46" s="7" t="n">
        <v>16</v>
      </c>
      <c r="D46" s="7" t="inlineStr">
        <is>
          <t>S3</t>
        </is>
      </c>
      <c r="E46" s="7" t="inlineStr">
        <is>
          <t>Comportamenti non conformi durante lo svolgimento di un'attività</t>
        </is>
      </c>
      <c r="F46" s="7" t="n">
        <v>0.25</v>
      </c>
      <c r="G46" s="7" t="n">
        <v>0.2689</v>
      </c>
      <c r="H46" s="7" t="n">
        <v>0.0549</v>
      </c>
      <c r="I46" s="7" t="n">
        <v>1.4763</v>
      </c>
      <c r="J46" s="7" t="n">
        <v>3.6</v>
      </c>
    </row>
    <row r="47" ht="34" customHeight="1">
      <c r="A47" s="7" t="n">
        <v>6</v>
      </c>
      <c r="B47" s="7" t="n">
        <v>12</v>
      </c>
      <c r="C47" s="7" t="n">
        <v>16</v>
      </c>
      <c r="D47" s="7" t="inlineStr">
        <is>
          <t>S4</t>
        </is>
      </c>
      <c r="E47" s="7" t="inlineStr">
        <is>
          <t>Interferenza tra mezzo e infrastrutture interne all'impianto</t>
        </is>
      </c>
      <c r="F47" s="7" t="n">
        <v>0</v>
      </c>
      <c r="G47" s="7" t="n">
        <v>0.008200000000000001</v>
      </c>
      <c r="H47" s="7" t="n">
        <v>0.1538</v>
      </c>
      <c r="I47" s="7" t="n">
        <v>0.1261</v>
      </c>
      <c r="J47" s="7" t="n">
        <v>0.31</v>
      </c>
    </row>
    <row r="48" ht="34" customHeight="1">
      <c r="A48" s="7" t="n">
        <v>6</v>
      </c>
      <c r="B48" s="7" t="n">
        <v>12</v>
      </c>
      <c r="C48" s="7" t="n">
        <v>16</v>
      </c>
      <c r="D48" s="7" t="inlineStr">
        <is>
          <t>S5</t>
        </is>
      </c>
      <c r="E48" s="7" t="inlineStr">
        <is>
          <t>Instabilità di elementi strutturali o di stoccaggio soggetti a urto o sovraccarico</t>
        </is>
      </c>
      <c r="F48" s="7" t="n">
        <v>0.25</v>
      </c>
      <c r="G48" s="7" t="n">
        <v>0.0359</v>
      </c>
      <c r="H48" s="7" t="n">
        <v>0.2228</v>
      </c>
      <c r="I48" s="7" t="n">
        <v>0.7999000000000001</v>
      </c>
      <c r="J48" s="7" t="n">
        <v>1.95</v>
      </c>
    </row>
    <row r="49" ht="34" customHeight="1">
      <c r="A49" s="7" t="n">
        <v>6</v>
      </c>
      <c r="B49" s="7" t="n">
        <v>12</v>
      </c>
      <c r="C49" s="7" t="n">
        <v>16</v>
      </c>
      <c r="D49" s="7" t="inlineStr">
        <is>
          <t>S6</t>
        </is>
      </c>
      <c r="E49" s="7" t="inlineStr">
        <is>
          <t>Accesso a organi meccanici in movimento durante operazioni manuali</t>
        </is>
      </c>
      <c r="F49" s="7" t="n">
        <v>0.5</v>
      </c>
      <c r="G49" s="7" t="n">
        <v>0.9167999999999999</v>
      </c>
      <c r="H49" s="7" t="n">
        <v>0.3447</v>
      </c>
      <c r="I49" s="7" t="n">
        <v>31.6021</v>
      </c>
      <c r="J49" s="7" t="n">
        <v>76.97</v>
      </c>
    </row>
    <row r="50" ht="34" customHeight="1">
      <c r="A50" s="7" t="n">
        <v>6</v>
      </c>
      <c r="B50" s="7" t="n">
        <v>12</v>
      </c>
      <c r="C50" s="7" t="n">
        <v>16</v>
      </c>
      <c r="D50" s="7" t="inlineStr">
        <is>
          <t>S7</t>
        </is>
      </c>
      <c r="E50" s="7" t="inlineStr">
        <is>
          <t>Movimentazione manuale di carichi pesanti o instabili senza ausili meccanici adeguati</t>
        </is>
      </c>
      <c r="F50" s="7" t="n">
        <v>0.75</v>
      </c>
      <c r="G50" s="7" t="n">
        <v>0.531</v>
      </c>
      <c r="H50" s="7" t="n">
        <v>0.0759</v>
      </c>
      <c r="I50" s="7" t="n">
        <v>4.0303</v>
      </c>
      <c r="J50" s="7" t="n">
        <v>9.82</v>
      </c>
    </row>
    <row r="51" ht="34" customHeight="1">
      <c r="A51" s="7" t="n">
        <v>7</v>
      </c>
      <c r="B51" s="7" t="n">
        <v>14</v>
      </c>
      <c r="C51" s="7" t="n">
        <v>18</v>
      </c>
      <c r="D51" s="7" t="inlineStr">
        <is>
          <t>S1</t>
        </is>
      </c>
      <c r="E51" s="7" t="inlineStr">
        <is>
          <t>Interferenza tra persone e mezzi di movimentazione negli spazi comuni</t>
        </is>
      </c>
      <c r="F51" s="7" t="n">
        <v>0</v>
      </c>
      <c r="G51" s="7" t="n">
        <v>0</v>
      </c>
      <c r="H51" s="7" t="n">
        <v>0.1109</v>
      </c>
      <c r="I51" s="7" t="n">
        <v>0</v>
      </c>
      <c r="J51" s="7" t="n">
        <v>0</v>
      </c>
    </row>
    <row r="52" ht="34" customHeight="1">
      <c r="A52" s="7" t="n">
        <v>7</v>
      </c>
      <c r="B52" s="7" t="n">
        <v>14</v>
      </c>
      <c r="C52" s="7" t="n">
        <v>18</v>
      </c>
      <c r="D52" s="7" t="inlineStr">
        <is>
          <t>S2</t>
        </is>
      </c>
      <c r="E52" s="7" t="inlineStr">
        <is>
          <t>Riduzione della visibilità durante lo svolgimento di un'attività</t>
        </is>
      </c>
      <c r="F52" s="7" t="n">
        <v>0.5</v>
      </c>
      <c r="G52" s="7" t="n">
        <v>0.8176</v>
      </c>
      <c r="H52" s="7" t="n">
        <v>0.037</v>
      </c>
      <c r="I52" s="7" t="n">
        <v>3.0251</v>
      </c>
      <c r="J52" s="7" t="n">
        <v>7.31</v>
      </c>
    </row>
    <row r="53" ht="34" customHeight="1">
      <c r="A53" s="7" t="n">
        <v>7</v>
      </c>
      <c r="B53" s="7" t="n">
        <v>14</v>
      </c>
      <c r="C53" s="7" t="n">
        <v>18</v>
      </c>
      <c r="D53" s="7" t="inlineStr">
        <is>
          <t>S3</t>
        </is>
      </c>
      <c r="E53" s="7" t="inlineStr">
        <is>
          <t>Comportamenti non conformi durante lo svolgimento di un'attività</t>
        </is>
      </c>
      <c r="F53" s="7" t="n">
        <v>0.25</v>
      </c>
      <c r="G53" s="7" t="n">
        <v>0.2689</v>
      </c>
      <c r="H53" s="7" t="n">
        <v>0.0549</v>
      </c>
      <c r="I53" s="7" t="n">
        <v>1.4763</v>
      </c>
      <c r="J53" s="7" t="n">
        <v>3.57</v>
      </c>
    </row>
    <row r="54" ht="34" customHeight="1">
      <c r="A54" s="7" t="n">
        <v>7</v>
      </c>
      <c r="B54" s="7" t="n">
        <v>14</v>
      </c>
      <c r="C54" s="7" t="n">
        <v>18</v>
      </c>
      <c r="D54" s="7" t="inlineStr">
        <is>
          <t>S4</t>
        </is>
      </c>
      <c r="E54" s="7" t="inlineStr">
        <is>
          <t>Interferenza tra mezzo e infrastrutture interne all'impianto</t>
        </is>
      </c>
      <c r="F54" s="7" t="n">
        <v>0</v>
      </c>
      <c r="G54" s="7" t="n">
        <v>0.008200000000000001</v>
      </c>
      <c r="H54" s="7" t="n">
        <v>0.1538</v>
      </c>
      <c r="I54" s="7" t="n">
        <v>0.1261</v>
      </c>
      <c r="J54" s="7" t="n">
        <v>0.3</v>
      </c>
    </row>
    <row r="55" ht="34" customHeight="1">
      <c r="A55" s="7" t="n">
        <v>7</v>
      </c>
      <c r="B55" s="7" t="n">
        <v>14</v>
      </c>
      <c r="C55" s="7" t="n">
        <v>18</v>
      </c>
      <c r="D55" s="7" t="inlineStr">
        <is>
          <t>S5</t>
        </is>
      </c>
      <c r="E55" s="7" t="inlineStr">
        <is>
          <t>Instabilità di elementi strutturali o di stoccaggio soggetti a urto o sovraccarico</t>
        </is>
      </c>
      <c r="F55" s="7" t="n">
        <v>0.25</v>
      </c>
      <c r="G55" s="7" t="n">
        <v>0.0359</v>
      </c>
      <c r="H55" s="7" t="n">
        <v>0.2228</v>
      </c>
      <c r="I55" s="7" t="n">
        <v>0.7999000000000001</v>
      </c>
      <c r="J55" s="7" t="n">
        <v>1.93</v>
      </c>
    </row>
    <row r="56" ht="34" customHeight="1">
      <c r="A56" s="7" t="n">
        <v>7</v>
      </c>
      <c r="B56" s="7" t="n">
        <v>14</v>
      </c>
      <c r="C56" s="7" t="n">
        <v>18</v>
      </c>
      <c r="D56" s="7" t="inlineStr">
        <is>
          <t>S6</t>
        </is>
      </c>
      <c r="E56" s="7" t="inlineStr">
        <is>
          <t>Accesso a organi meccanici in movimento durante operazioni manuali</t>
        </is>
      </c>
      <c r="F56" s="7" t="n">
        <v>0.75</v>
      </c>
      <c r="G56" s="7" t="n">
        <v>0.9955000000000001</v>
      </c>
      <c r="H56" s="7" t="n">
        <v>0.3447</v>
      </c>
      <c r="I56" s="7" t="n">
        <v>34.3149</v>
      </c>
      <c r="J56" s="7" t="n">
        <v>82.91</v>
      </c>
    </row>
    <row r="57" ht="34" customHeight="1">
      <c r="A57" s="7" t="n">
        <v>7</v>
      </c>
      <c r="B57" s="7" t="n">
        <v>14</v>
      </c>
      <c r="C57" s="7" t="n">
        <v>18</v>
      </c>
      <c r="D57" s="7" t="inlineStr">
        <is>
          <t>S7</t>
        </is>
      </c>
      <c r="E57" s="7" t="inlineStr">
        <is>
          <t>Movimentazione manuale di carichi pesanti o instabili senza ausili meccanici adeguati</t>
        </is>
      </c>
      <c r="F57" s="7" t="n">
        <v>0.5</v>
      </c>
      <c r="G57" s="7" t="n">
        <v>0.2176</v>
      </c>
      <c r="H57" s="7" t="n">
        <v>0.0759</v>
      </c>
      <c r="I57" s="7" t="n">
        <v>1.6516</v>
      </c>
      <c r="J57" s="7" t="n">
        <v>3.99</v>
      </c>
    </row>
    <row r="58" ht="34" customHeight="1">
      <c r="A58" s="7" t="n">
        <v>8</v>
      </c>
      <c r="B58" s="7" t="n">
        <v>16</v>
      </c>
      <c r="C58" s="7" t="n">
        <v>20</v>
      </c>
      <c r="D58" s="7" t="inlineStr">
        <is>
          <t>S1</t>
        </is>
      </c>
      <c r="E58" s="7" t="inlineStr">
        <is>
          <t>Interferenza tra persone e mezzi di movimentazione negli spazi comuni</t>
        </is>
      </c>
      <c r="F58" s="7" t="n">
        <v>0</v>
      </c>
      <c r="G58" s="7" t="n">
        <v>0</v>
      </c>
      <c r="H58" s="7" t="n">
        <v>0.1109</v>
      </c>
      <c r="I58" s="7" t="n">
        <v>0</v>
      </c>
      <c r="J58" s="7" t="n">
        <v>0</v>
      </c>
    </row>
    <row r="59" ht="34" customHeight="1">
      <c r="A59" s="7" t="n">
        <v>8</v>
      </c>
      <c r="B59" s="7" t="n">
        <v>16</v>
      </c>
      <c r="C59" s="7" t="n">
        <v>20</v>
      </c>
      <c r="D59" s="7" t="inlineStr">
        <is>
          <t>S2</t>
        </is>
      </c>
      <c r="E59" s="7" t="inlineStr">
        <is>
          <t>Riduzione della visibilità durante lo svolgimento di un'attività</t>
        </is>
      </c>
      <c r="F59" s="7" t="n">
        <v>0.5</v>
      </c>
      <c r="G59" s="7" t="n">
        <v>0.8176</v>
      </c>
      <c r="H59" s="7" t="n">
        <v>0.037</v>
      </c>
      <c r="I59" s="7" t="n">
        <v>3.0251</v>
      </c>
      <c r="J59" s="7" t="n">
        <v>15.24</v>
      </c>
    </row>
    <row r="60" ht="34" customHeight="1">
      <c r="A60" s="7" t="n">
        <v>8</v>
      </c>
      <c r="B60" s="7" t="n">
        <v>16</v>
      </c>
      <c r="C60" s="7" t="n">
        <v>20</v>
      </c>
      <c r="D60" s="7" t="inlineStr">
        <is>
          <t>S3</t>
        </is>
      </c>
      <c r="E60" s="7" t="inlineStr">
        <is>
          <t>Comportamenti non conformi durante lo svolgimento di un'attività</t>
        </is>
      </c>
      <c r="F60" s="7" t="n">
        <v>0.5</v>
      </c>
      <c r="G60" s="7" t="n">
        <v>0.8176</v>
      </c>
      <c r="H60" s="7" t="n">
        <v>0.0549</v>
      </c>
      <c r="I60" s="7" t="n">
        <v>4.4886</v>
      </c>
      <c r="J60" s="7" t="n">
        <v>22.61</v>
      </c>
    </row>
    <row r="61" ht="34" customHeight="1">
      <c r="A61" s="7" t="n">
        <v>8</v>
      </c>
      <c r="B61" s="7" t="n">
        <v>16</v>
      </c>
      <c r="C61" s="7" t="n">
        <v>20</v>
      </c>
      <c r="D61" s="7" t="inlineStr">
        <is>
          <t>S4</t>
        </is>
      </c>
      <c r="E61" s="7" t="inlineStr">
        <is>
          <t>Interferenza tra mezzo e infrastrutture interne all'impianto</t>
        </is>
      </c>
      <c r="F61" s="7" t="n">
        <v>0</v>
      </c>
      <c r="G61" s="7" t="n">
        <v>0.008200000000000001</v>
      </c>
      <c r="H61" s="7" t="n">
        <v>0.1538</v>
      </c>
      <c r="I61" s="7" t="n">
        <v>0.1261</v>
      </c>
      <c r="J61" s="7" t="n">
        <v>0.64</v>
      </c>
    </row>
    <row r="62" ht="34" customHeight="1">
      <c r="A62" s="7" t="n">
        <v>8</v>
      </c>
      <c r="B62" s="7" t="n">
        <v>16</v>
      </c>
      <c r="C62" s="7" t="n">
        <v>20</v>
      </c>
      <c r="D62" s="7" t="inlineStr">
        <is>
          <t>S5</t>
        </is>
      </c>
      <c r="E62" s="7" t="inlineStr">
        <is>
          <t>Instabilità di elementi strutturali o di stoccaggio soggetti a urto o sovraccarico</t>
        </is>
      </c>
      <c r="F62" s="7" t="n">
        <v>0</v>
      </c>
      <c r="G62" s="7" t="n">
        <v>0</v>
      </c>
      <c r="H62" s="7" t="n">
        <v>0.2228</v>
      </c>
      <c r="I62" s="7" t="n">
        <v>0</v>
      </c>
      <c r="J62" s="7" t="n">
        <v>0</v>
      </c>
    </row>
    <row r="63" ht="34" customHeight="1">
      <c r="A63" s="7" t="n">
        <v>8</v>
      </c>
      <c r="B63" s="7" t="n">
        <v>16</v>
      </c>
      <c r="C63" s="7" t="n">
        <v>20</v>
      </c>
      <c r="D63" s="7" t="inlineStr">
        <is>
          <t>S6</t>
        </is>
      </c>
      <c r="E63" s="7" t="inlineStr">
        <is>
          <t>Accesso a organi meccanici in movimento durante operazioni manuali</t>
        </is>
      </c>
      <c r="F63" s="7" t="n">
        <v>0.25</v>
      </c>
      <c r="G63" s="7" t="n">
        <v>0.3543</v>
      </c>
      <c r="H63" s="7" t="n">
        <v>0.3447</v>
      </c>
      <c r="I63" s="7" t="n">
        <v>12.2127</v>
      </c>
      <c r="J63" s="7" t="n">
        <v>61.52</v>
      </c>
    </row>
    <row r="64" ht="34" customHeight="1">
      <c r="A64" s="7" t="n">
        <v>8</v>
      </c>
      <c r="B64" s="7" t="n">
        <v>16</v>
      </c>
      <c r="C64" s="7" t="n">
        <v>20</v>
      </c>
      <c r="D64" s="7" t="inlineStr">
        <is>
          <t>S7</t>
        </is>
      </c>
      <c r="E64" s="7" t="inlineStr">
        <is>
          <t>Movimentazione manuale di carichi pesanti o instabili senza ausili meccanici adeguati</t>
        </is>
      </c>
      <c r="F64" s="7" t="n">
        <v>0</v>
      </c>
      <c r="G64" s="7" t="n">
        <v>0</v>
      </c>
      <c r="H64" s="7" t="n">
        <v>0.0759</v>
      </c>
      <c r="I64" s="7" t="n">
        <v>0</v>
      </c>
      <c r="J64" s="7" t="n">
        <v>0</v>
      </c>
    </row>
    <row r="65" ht="34" customHeight="1">
      <c r="A65" s="7" t="n">
        <v>9</v>
      </c>
      <c r="B65" s="7" t="n">
        <v>18</v>
      </c>
      <c r="C65" s="7" t="n">
        <v>22</v>
      </c>
      <c r="D65" s="7" t="inlineStr">
        <is>
          <t>S1</t>
        </is>
      </c>
      <c r="E65" s="7" t="inlineStr">
        <is>
          <t>Interferenza tra persone e mezzi di movimentazione negli spazi comuni</t>
        </is>
      </c>
      <c r="F65" s="7" t="n">
        <v>0</v>
      </c>
      <c r="G65" s="7" t="n">
        <v>0</v>
      </c>
      <c r="H65" s="7" t="n">
        <v>0.1109</v>
      </c>
      <c r="I65" s="7" t="n">
        <v>0</v>
      </c>
      <c r="J65" s="7" t="n">
        <v>0</v>
      </c>
    </row>
    <row r="66" ht="34" customHeight="1">
      <c r="A66" s="7" t="n">
        <v>9</v>
      </c>
      <c r="B66" s="7" t="n">
        <v>18</v>
      </c>
      <c r="C66" s="7" t="n">
        <v>22</v>
      </c>
      <c r="D66" s="7" t="inlineStr">
        <is>
          <t>S2</t>
        </is>
      </c>
      <c r="E66" s="7" t="inlineStr">
        <is>
          <t>Riduzione della visibilità durante lo svolgimento di un'attività</t>
        </is>
      </c>
      <c r="F66" s="7" t="n">
        <v>0.5</v>
      </c>
      <c r="G66" s="7" t="n">
        <v>0.8176</v>
      </c>
      <c r="H66" s="7" t="n">
        <v>0.037</v>
      </c>
      <c r="I66" s="7" t="n">
        <v>3.0251</v>
      </c>
      <c r="J66" s="7" t="n">
        <v>32.32</v>
      </c>
    </row>
    <row r="67" ht="34" customHeight="1">
      <c r="A67" s="7" t="n">
        <v>9</v>
      </c>
      <c r="B67" s="7" t="n">
        <v>18</v>
      </c>
      <c r="C67" s="7" t="n">
        <v>22</v>
      </c>
      <c r="D67" s="7" t="inlineStr">
        <is>
          <t>S3</t>
        </is>
      </c>
      <c r="E67" s="7" t="inlineStr">
        <is>
          <t>Comportamenti non conformi durante lo svolgimento di un'attività</t>
        </is>
      </c>
      <c r="F67" s="7" t="n">
        <v>0.5</v>
      </c>
      <c r="G67" s="7" t="n">
        <v>0.8176</v>
      </c>
      <c r="H67" s="7" t="n">
        <v>0.0549</v>
      </c>
      <c r="I67" s="7" t="n">
        <v>4.4886</v>
      </c>
      <c r="J67" s="7" t="n">
        <v>47.96</v>
      </c>
    </row>
    <row r="68" ht="34" customHeight="1">
      <c r="A68" s="7" t="n">
        <v>9</v>
      </c>
      <c r="B68" s="7" t="n">
        <v>18</v>
      </c>
      <c r="C68" s="7" t="n">
        <v>22</v>
      </c>
      <c r="D68" s="7" t="inlineStr">
        <is>
          <t>S4</t>
        </is>
      </c>
      <c r="E68" s="7" t="inlineStr">
        <is>
          <t>Interferenza tra mezzo e infrastrutture interne all'impianto</t>
        </is>
      </c>
      <c r="F68" s="7" t="n">
        <v>0</v>
      </c>
      <c r="G68" s="7" t="n">
        <v>0.008200000000000001</v>
      </c>
      <c r="H68" s="7" t="n">
        <v>0.1538</v>
      </c>
      <c r="I68" s="7" t="n">
        <v>0.1261</v>
      </c>
      <c r="J68" s="7" t="n">
        <v>1.35</v>
      </c>
    </row>
    <row r="69" ht="34" customHeight="1">
      <c r="A69" s="7" t="n">
        <v>9</v>
      </c>
      <c r="B69" s="7" t="n">
        <v>18</v>
      </c>
      <c r="C69" s="7" t="n">
        <v>22</v>
      </c>
      <c r="D69" s="7" t="inlineStr">
        <is>
          <t>S5</t>
        </is>
      </c>
      <c r="E69" s="7" t="inlineStr">
        <is>
          <t>Instabilità di elementi strutturali o di stoccaggio soggetti a urto o sovraccarico</t>
        </is>
      </c>
      <c r="F69" s="7" t="n">
        <v>0.25</v>
      </c>
      <c r="G69" s="7" t="n">
        <v>0.0359</v>
      </c>
      <c r="H69" s="7" t="n">
        <v>0.2228</v>
      </c>
      <c r="I69" s="7" t="n">
        <v>0.7999000000000001</v>
      </c>
      <c r="J69" s="7" t="n">
        <v>8.550000000000001</v>
      </c>
    </row>
    <row r="70" ht="34" customHeight="1">
      <c r="A70" s="7" t="n">
        <v>9</v>
      </c>
      <c r="B70" s="7" t="n">
        <v>18</v>
      </c>
      <c r="C70" s="7" t="n">
        <v>22</v>
      </c>
      <c r="D70" s="7" t="inlineStr">
        <is>
          <t>S6</t>
        </is>
      </c>
      <c r="E70" s="7" t="inlineStr">
        <is>
          <t>Accesso a organi meccanici in movimento durante operazioni manuali</t>
        </is>
      </c>
      <c r="F70" s="7" t="n">
        <v>0</v>
      </c>
      <c r="G70" s="7" t="n">
        <v>0.0266</v>
      </c>
      <c r="H70" s="7" t="n">
        <v>0.3447</v>
      </c>
      <c r="I70" s="7" t="n">
        <v>0.9169</v>
      </c>
      <c r="J70" s="7" t="n">
        <v>9.800000000000001</v>
      </c>
    </row>
    <row r="71" ht="34" customHeight="1">
      <c r="A71" s="7" t="n">
        <v>9</v>
      </c>
      <c r="B71" s="7" t="n">
        <v>18</v>
      </c>
      <c r="C71" s="7" t="n">
        <v>22</v>
      </c>
      <c r="D71" s="7" t="inlineStr">
        <is>
          <t>S7</t>
        </is>
      </c>
      <c r="E71" s="7" t="inlineStr">
        <is>
          <t>Movimentazione manuale di carichi pesanti o instabili senza ausili meccanici adeguati</t>
        </is>
      </c>
      <c r="F71" s="7" t="n">
        <v>0</v>
      </c>
      <c r="G71" s="7" t="n">
        <v>0</v>
      </c>
      <c r="H71" s="7" t="n">
        <v>0.0759</v>
      </c>
      <c r="I71" s="7" t="n">
        <v>0</v>
      </c>
      <c r="J71" s="7" t="n">
        <v>0</v>
      </c>
    </row>
    <row r="72" ht="34" customHeight="1">
      <c r="A72" s="7" t="n">
        <v>10</v>
      </c>
      <c r="B72" s="7" t="n">
        <v>20</v>
      </c>
      <c r="C72" s="7" t="n">
        <v>24</v>
      </c>
      <c r="D72" s="7" t="inlineStr">
        <is>
          <t>S1</t>
        </is>
      </c>
      <c r="E72" s="7" t="inlineStr">
        <is>
          <t>Interferenza tra persone e mezzi di movimentazione negli spazi comuni</t>
        </is>
      </c>
      <c r="F72" s="7" t="n">
        <v>0</v>
      </c>
      <c r="G72" s="7" t="n">
        <v>0</v>
      </c>
      <c r="H72" s="7" t="n">
        <v>0.1109</v>
      </c>
      <c r="I72" s="7" t="n">
        <v>0</v>
      </c>
      <c r="J72" s="7" t="n">
        <v>0</v>
      </c>
    </row>
    <row r="73" ht="34" customHeight="1">
      <c r="A73" s="7" t="n">
        <v>10</v>
      </c>
      <c r="B73" s="7" t="n">
        <v>20</v>
      </c>
      <c r="C73" s="7" t="n">
        <v>24</v>
      </c>
      <c r="D73" s="7" t="inlineStr">
        <is>
          <t>S2</t>
        </is>
      </c>
      <c r="E73" s="7" t="inlineStr">
        <is>
          <t>Riduzione della visibilità durante lo svolgimento di un'attività</t>
        </is>
      </c>
      <c r="F73" s="7" t="n">
        <v>0.25</v>
      </c>
      <c r="G73" s="7" t="n">
        <v>0.5553</v>
      </c>
      <c r="H73" s="7" t="n">
        <v>0.037</v>
      </c>
      <c r="I73" s="7" t="n">
        <v>2.0546</v>
      </c>
      <c r="J73" s="7" t="n">
        <v>10.88</v>
      </c>
    </row>
    <row r="74" ht="34" customHeight="1">
      <c r="A74" s="7" t="n">
        <v>10</v>
      </c>
      <c r="B74" s="7" t="n">
        <v>20</v>
      </c>
      <c r="C74" s="7" t="n">
        <v>24</v>
      </c>
      <c r="D74" s="7" t="inlineStr">
        <is>
          <t>S3</t>
        </is>
      </c>
      <c r="E74" s="7" t="inlineStr">
        <is>
          <t>Comportamenti non conformi durante lo svolgimento di un'attività</t>
        </is>
      </c>
      <c r="F74" s="7" t="n">
        <v>0.5</v>
      </c>
      <c r="G74" s="7" t="n">
        <v>0.8176</v>
      </c>
      <c r="H74" s="7" t="n">
        <v>0.0549</v>
      </c>
      <c r="I74" s="7" t="n">
        <v>4.4886</v>
      </c>
      <c r="J74" s="7" t="n">
        <v>23.77</v>
      </c>
    </row>
    <row r="75" ht="34" customHeight="1">
      <c r="A75" s="7" t="n">
        <v>10</v>
      </c>
      <c r="B75" s="7" t="n">
        <v>20</v>
      </c>
      <c r="C75" s="7" t="n">
        <v>24</v>
      </c>
      <c r="D75" s="7" t="inlineStr">
        <is>
          <t>S4</t>
        </is>
      </c>
      <c r="E75" s="7" t="inlineStr">
        <is>
          <t>Interferenza tra mezzo e infrastrutture interne all'impianto</t>
        </is>
      </c>
      <c r="F75" s="7" t="n">
        <v>0</v>
      </c>
      <c r="G75" s="7" t="n">
        <v>0.008200000000000001</v>
      </c>
      <c r="H75" s="7" t="n">
        <v>0.1538</v>
      </c>
      <c r="I75" s="7" t="n">
        <v>0.1261</v>
      </c>
      <c r="J75" s="7" t="n">
        <v>0.67</v>
      </c>
    </row>
    <row r="76" ht="34" customHeight="1">
      <c r="A76" s="7" t="n">
        <v>10</v>
      </c>
      <c r="B76" s="7" t="n">
        <v>20</v>
      </c>
      <c r="C76" s="7" t="n">
        <v>24</v>
      </c>
      <c r="D76" s="7" t="inlineStr">
        <is>
          <t>S5</t>
        </is>
      </c>
      <c r="E76" s="7" t="inlineStr">
        <is>
          <t>Instabilità di elementi strutturali o di stoccaggio soggetti a urto o sovraccarico</t>
        </is>
      </c>
      <c r="F76" s="7" t="n">
        <v>0</v>
      </c>
      <c r="G76" s="7" t="n">
        <v>0</v>
      </c>
      <c r="H76" s="7" t="n">
        <v>0.2228</v>
      </c>
      <c r="I76" s="7" t="n">
        <v>0</v>
      </c>
      <c r="J76" s="7" t="n">
        <v>0</v>
      </c>
    </row>
    <row r="77" ht="34" customHeight="1">
      <c r="A77" s="7" t="n">
        <v>10</v>
      </c>
      <c r="B77" s="7" t="n">
        <v>20</v>
      </c>
      <c r="C77" s="7" t="n">
        <v>24</v>
      </c>
      <c r="D77" s="7" t="inlineStr">
        <is>
          <t>S6</t>
        </is>
      </c>
      <c r="E77" s="7" t="inlineStr">
        <is>
          <t>Accesso a organi meccanici in movimento durante operazioni manuali</t>
        </is>
      </c>
      <c r="F77" s="7" t="n">
        <v>0.25</v>
      </c>
      <c r="G77" s="7" t="n">
        <v>0.3543</v>
      </c>
      <c r="H77" s="7" t="n">
        <v>0.3447</v>
      </c>
      <c r="I77" s="7" t="n">
        <v>12.2127</v>
      </c>
      <c r="J77" s="7" t="n">
        <v>64.69</v>
      </c>
    </row>
    <row r="78" ht="34" customHeight="1">
      <c r="A78" s="7" t="n">
        <v>10</v>
      </c>
      <c r="B78" s="7" t="n">
        <v>20</v>
      </c>
      <c r="C78" s="7" t="n">
        <v>24</v>
      </c>
      <c r="D78" s="7" t="inlineStr">
        <is>
          <t>S7</t>
        </is>
      </c>
      <c r="E78" s="7" t="inlineStr">
        <is>
          <t>Movimentazione manuale di carichi pesanti o instabili senza ausili meccanici adeguati</t>
        </is>
      </c>
      <c r="F78" s="7" t="n">
        <v>0</v>
      </c>
      <c r="G78" s="7" t="n">
        <v>0</v>
      </c>
      <c r="H78" s="7" t="n">
        <v>0.0759</v>
      </c>
      <c r="I78" s="7" t="n">
        <v>0</v>
      </c>
      <c r="J78" s="7" t="n">
        <v>0</v>
      </c>
    </row>
    <row r="79" ht="34" customHeight="1">
      <c r="A79" s="7" t="n">
        <v>11</v>
      </c>
      <c r="B79" s="7" t="n">
        <v>22</v>
      </c>
      <c r="C79" s="7" t="n">
        <v>26</v>
      </c>
      <c r="D79" s="7" t="inlineStr">
        <is>
          <t>S1</t>
        </is>
      </c>
      <c r="E79" s="7" t="inlineStr">
        <is>
          <t>Interferenza tra persone e mezzi di movimentazione negli spazi comuni</t>
        </is>
      </c>
      <c r="F79" s="7" t="n">
        <v>0.75</v>
      </c>
      <c r="G79" s="7" t="n">
        <v>0.75</v>
      </c>
      <c r="H79" s="7" t="n">
        <v>0.1109</v>
      </c>
      <c r="I79" s="7" t="n">
        <v>8.317500000000001</v>
      </c>
      <c r="J79" s="7" t="n">
        <v>41.94</v>
      </c>
    </row>
    <row r="80" ht="34" customHeight="1">
      <c r="A80" s="7" t="n">
        <v>11</v>
      </c>
      <c r="B80" s="7" t="n">
        <v>22</v>
      </c>
      <c r="C80" s="7" t="n">
        <v>26</v>
      </c>
      <c r="D80" s="7" t="inlineStr">
        <is>
          <t>S2</t>
        </is>
      </c>
      <c r="E80" s="7" t="inlineStr">
        <is>
          <t>Riduzione della visibilità durante lo svolgimento di un'attività</t>
        </is>
      </c>
      <c r="F80" s="7" t="n">
        <v>0.5</v>
      </c>
      <c r="G80" s="7" t="n">
        <v>0.8176</v>
      </c>
      <c r="H80" s="7" t="n">
        <v>0.037</v>
      </c>
      <c r="I80" s="7" t="n">
        <v>3.0251</v>
      </c>
      <c r="J80" s="7" t="n">
        <v>15.26</v>
      </c>
    </row>
    <row r="81" ht="34" customHeight="1">
      <c r="A81" s="7" t="n">
        <v>11</v>
      </c>
      <c r="B81" s="7" t="n">
        <v>22</v>
      </c>
      <c r="C81" s="7" t="n">
        <v>26</v>
      </c>
      <c r="D81" s="7" t="inlineStr">
        <is>
          <t>S3</t>
        </is>
      </c>
      <c r="E81" s="7" t="inlineStr">
        <is>
          <t>Comportamenti non conformi durante lo svolgimento di un'attività</t>
        </is>
      </c>
      <c r="F81" s="7" t="n">
        <v>0.75</v>
      </c>
      <c r="G81" s="7" t="n">
        <v>0.982</v>
      </c>
      <c r="H81" s="7" t="n">
        <v>0.0549</v>
      </c>
      <c r="I81" s="7" t="n">
        <v>5.3912</v>
      </c>
      <c r="J81" s="7" t="n">
        <v>27.19</v>
      </c>
    </row>
    <row r="82" ht="34" customHeight="1">
      <c r="A82" s="7" t="n">
        <v>11</v>
      </c>
      <c r="B82" s="7" t="n">
        <v>22</v>
      </c>
      <c r="C82" s="7" t="n">
        <v>26</v>
      </c>
      <c r="D82" s="7" t="inlineStr">
        <is>
          <t>S4</t>
        </is>
      </c>
      <c r="E82" s="7" t="inlineStr">
        <is>
          <t>Interferenza tra mezzo e infrastrutture interne all'impianto</t>
        </is>
      </c>
      <c r="F82" s="7" t="n">
        <v>0.25</v>
      </c>
      <c r="G82" s="7" t="n">
        <v>0.1419</v>
      </c>
      <c r="H82" s="7" t="n">
        <v>0.1538</v>
      </c>
      <c r="I82" s="7" t="n">
        <v>2.1824</v>
      </c>
      <c r="J82" s="7" t="n">
        <v>11.01</v>
      </c>
    </row>
    <row r="83" ht="34" customHeight="1">
      <c r="A83" s="7" t="n">
        <v>11</v>
      </c>
      <c r="B83" s="7" t="n">
        <v>22</v>
      </c>
      <c r="C83" s="7" t="n">
        <v>26</v>
      </c>
      <c r="D83" s="7" t="inlineStr">
        <is>
          <t>S5</t>
        </is>
      </c>
      <c r="E83" s="7" t="inlineStr">
        <is>
          <t>Instabilità di elementi strutturali o di stoccaggio soggetti a urto o sovraccarico</t>
        </is>
      </c>
      <c r="F83" s="7" t="n">
        <v>0</v>
      </c>
      <c r="G83" s="7" t="n">
        <v>0</v>
      </c>
      <c r="H83" s="7" t="n">
        <v>0.2228</v>
      </c>
      <c r="I83" s="7" t="n">
        <v>0</v>
      </c>
      <c r="J83" s="7" t="n">
        <v>0</v>
      </c>
    </row>
    <row r="84" ht="34" customHeight="1">
      <c r="A84" s="7" t="n">
        <v>11</v>
      </c>
      <c r="B84" s="7" t="n">
        <v>22</v>
      </c>
      <c r="C84" s="7" t="n">
        <v>26</v>
      </c>
      <c r="D84" s="7" t="inlineStr">
        <is>
          <t>S6</t>
        </is>
      </c>
      <c r="E84" s="7" t="inlineStr">
        <is>
          <t>Accesso a organi meccanici in movimento durante operazioni manuali</t>
        </is>
      </c>
      <c r="F84" s="7" t="n">
        <v>0</v>
      </c>
      <c r="G84" s="7" t="n">
        <v>0.0266</v>
      </c>
      <c r="H84" s="7" t="n">
        <v>0.3447</v>
      </c>
      <c r="I84" s="7" t="n">
        <v>0.9169</v>
      </c>
      <c r="J84" s="7" t="n">
        <v>4.62</v>
      </c>
    </row>
    <row r="85" ht="34" customHeight="1">
      <c r="A85" s="7" t="n">
        <v>11</v>
      </c>
      <c r="B85" s="7" t="n">
        <v>22</v>
      </c>
      <c r="C85" s="7" t="n">
        <v>26</v>
      </c>
      <c r="D85" s="7" t="inlineStr">
        <is>
          <t>S7</t>
        </is>
      </c>
      <c r="E85" s="7" t="inlineStr">
        <is>
          <t>Movimentazione manuale di carichi pesanti o instabili senza ausili meccanici adeguati</t>
        </is>
      </c>
      <c r="F85" s="7" t="n">
        <v>0</v>
      </c>
      <c r="G85" s="7" t="n">
        <v>0</v>
      </c>
      <c r="H85" s="7" t="n">
        <v>0.0759</v>
      </c>
      <c r="I85" s="7" t="n">
        <v>0</v>
      </c>
      <c r="J85" s="7" t="n">
        <v>0</v>
      </c>
    </row>
    <row r="86" ht="34" customHeight="1">
      <c r="A86" s="7" t="n">
        <v>12</v>
      </c>
      <c r="B86" s="7" t="n">
        <v>24</v>
      </c>
      <c r="C86" s="7" t="n">
        <v>28</v>
      </c>
      <c r="D86" s="7" t="inlineStr">
        <is>
          <t>S1</t>
        </is>
      </c>
      <c r="E86" s="7" t="inlineStr">
        <is>
          <t>Interferenza tra persone e mezzi di movimentazione negli spazi comuni</t>
        </is>
      </c>
      <c r="F86" s="7" t="n">
        <v>0</v>
      </c>
      <c r="G86" s="7" t="n">
        <v>0</v>
      </c>
      <c r="H86" s="7" t="n">
        <v>0.1109</v>
      </c>
      <c r="I86" s="7" t="n">
        <v>0</v>
      </c>
      <c r="J86" s="7" t="n">
        <v>0</v>
      </c>
    </row>
    <row r="87" ht="34" customHeight="1">
      <c r="A87" s="7" t="n">
        <v>12</v>
      </c>
      <c r="B87" s="7" t="n">
        <v>24</v>
      </c>
      <c r="C87" s="7" t="n">
        <v>28</v>
      </c>
      <c r="D87" s="7" t="inlineStr">
        <is>
          <t>S2</t>
        </is>
      </c>
      <c r="E87" s="7" t="inlineStr">
        <is>
          <t>Riduzione della visibilità durante lo svolgimento di un'attività</t>
        </is>
      </c>
      <c r="F87" s="7" t="n">
        <v>0.25</v>
      </c>
      <c r="G87" s="7" t="n">
        <v>0.5553</v>
      </c>
      <c r="H87" s="7" t="n">
        <v>0.037</v>
      </c>
      <c r="I87" s="7" t="n">
        <v>2.0546</v>
      </c>
      <c r="J87" s="7" t="n">
        <v>12.95</v>
      </c>
    </row>
    <row r="88" ht="34" customHeight="1">
      <c r="A88" s="7" t="n">
        <v>12</v>
      </c>
      <c r="B88" s="7" t="n">
        <v>24</v>
      </c>
      <c r="C88" s="7" t="n">
        <v>28</v>
      </c>
      <c r="D88" s="7" t="inlineStr">
        <is>
          <t>S3</t>
        </is>
      </c>
      <c r="E88" s="7" t="inlineStr">
        <is>
          <t>Comportamenti non conformi durante lo svolgimento di un'attività</t>
        </is>
      </c>
      <c r="F88" s="7" t="n">
        <v>0.25</v>
      </c>
      <c r="G88" s="7" t="n">
        <v>0.2689</v>
      </c>
      <c r="H88" s="7" t="n">
        <v>0.0549</v>
      </c>
      <c r="I88" s="7" t="n">
        <v>1.4763</v>
      </c>
      <c r="J88" s="7" t="n">
        <v>9.300000000000001</v>
      </c>
    </row>
    <row r="89" ht="34" customHeight="1">
      <c r="A89" s="7" t="n">
        <v>12</v>
      </c>
      <c r="B89" s="7" t="n">
        <v>24</v>
      </c>
      <c r="C89" s="7" t="n">
        <v>28</v>
      </c>
      <c r="D89" s="7" t="inlineStr">
        <is>
          <t>S4</t>
        </is>
      </c>
      <c r="E89" s="7" t="inlineStr">
        <is>
          <t>Interferenza tra mezzo e infrastrutture interne all'impianto</t>
        </is>
      </c>
      <c r="F89" s="7" t="n">
        <v>0</v>
      </c>
      <c r="G89" s="7" t="n">
        <v>0.008200000000000001</v>
      </c>
      <c r="H89" s="7" t="n">
        <v>0.1538</v>
      </c>
      <c r="I89" s="7" t="n">
        <v>0.1261</v>
      </c>
      <c r="J89" s="7" t="n">
        <v>0.79</v>
      </c>
    </row>
    <row r="90" ht="34" customHeight="1">
      <c r="A90" s="7" t="n">
        <v>12</v>
      </c>
      <c r="B90" s="7" t="n">
        <v>24</v>
      </c>
      <c r="C90" s="7" t="n">
        <v>28</v>
      </c>
      <c r="D90" s="7" t="inlineStr">
        <is>
          <t>S5</t>
        </is>
      </c>
      <c r="E90" s="7" t="inlineStr">
        <is>
          <t>Instabilità di elementi strutturali o di stoccaggio soggetti a urto o sovraccarico</t>
        </is>
      </c>
      <c r="F90" s="7" t="n">
        <v>0</v>
      </c>
      <c r="G90" s="7" t="n">
        <v>0</v>
      </c>
      <c r="H90" s="7" t="n">
        <v>0.2228</v>
      </c>
      <c r="I90" s="7" t="n">
        <v>0</v>
      </c>
      <c r="J90" s="7" t="n">
        <v>0</v>
      </c>
    </row>
    <row r="91" ht="34" customHeight="1">
      <c r="A91" s="7" t="n">
        <v>12</v>
      </c>
      <c r="B91" s="7" t="n">
        <v>24</v>
      </c>
      <c r="C91" s="7" t="n">
        <v>28</v>
      </c>
      <c r="D91" s="7" t="inlineStr">
        <is>
          <t>S6</t>
        </is>
      </c>
      <c r="E91" s="7" t="inlineStr">
        <is>
          <t>Accesso a organi meccanici in movimento durante operazioni manuali</t>
        </is>
      </c>
      <c r="F91" s="7" t="n">
        <v>0.25</v>
      </c>
      <c r="G91" s="7" t="n">
        <v>0.3543</v>
      </c>
      <c r="H91" s="7" t="n">
        <v>0.3447</v>
      </c>
      <c r="I91" s="7" t="n">
        <v>12.2127</v>
      </c>
      <c r="J91" s="7" t="n">
        <v>76.95</v>
      </c>
    </row>
    <row r="92" ht="34" customHeight="1">
      <c r="A92" s="7" t="n">
        <v>12</v>
      </c>
      <c r="B92" s="7" t="n">
        <v>24</v>
      </c>
      <c r="C92" s="7" t="n">
        <v>28</v>
      </c>
      <c r="D92" s="7" t="inlineStr">
        <is>
          <t>S7</t>
        </is>
      </c>
      <c r="E92" s="7" t="inlineStr">
        <is>
          <t>Movimentazione manuale di carichi pesanti o instabili senza ausili meccanici adeguati</t>
        </is>
      </c>
      <c r="F92" s="7" t="n">
        <v>0</v>
      </c>
      <c r="G92" s="7" t="n">
        <v>0</v>
      </c>
      <c r="H92" s="7" t="n">
        <v>0.0759</v>
      </c>
      <c r="I92" s="7" t="n">
        <v>0</v>
      </c>
      <c r="J92" s="7" t="n">
        <v>0</v>
      </c>
    </row>
    <row r="93" ht="34" customHeight="1">
      <c r="A93" s="7" t="n">
        <v>13</v>
      </c>
      <c r="B93" s="7" t="n">
        <v>26</v>
      </c>
      <c r="C93" s="7" t="n">
        <v>30</v>
      </c>
      <c r="D93" s="7" t="inlineStr">
        <is>
          <t>S1</t>
        </is>
      </c>
      <c r="E93" s="7" t="inlineStr">
        <is>
          <t>Interferenza tra persone e mezzi di movimentazione negli spazi comuni</t>
        </is>
      </c>
      <c r="F93" s="7" t="n">
        <v>0</v>
      </c>
      <c r="G93" s="7" t="n">
        <v>0</v>
      </c>
      <c r="H93" s="7" t="n">
        <v>0.1109</v>
      </c>
      <c r="I93" s="7" t="n">
        <v>0</v>
      </c>
      <c r="J93" s="7" t="n">
        <v>0</v>
      </c>
    </row>
    <row r="94" ht="34" customHeight="1">
      <c r="A94" s="7" t="n">
        <v>13</v>
      </c>
      <c r="B94" s="7" t="n">
        <v>26</v>
      </c>
      <c r="C94" s="7" t="n">
        <v>30</v>
      </c>
      <c r="D94" s="7" t="inlineStr">
        <is>
          <t>S2</t>
        </is>
      </c>
      <c r="E94" s="7" t="inlineStr">
        <is>
          <t>Riduzione della visibilità durante lo svolgimento di un'attività</t>
        </is>
      </c>
      <c r="F94" s="7" t="n">
        <v>0.25</v>
      </c>
      <c r="G94" s="7" t="n">
        <v>0.5553</v>
      </c>
      <c r="H94" s="7" t="n">
        <v>0.037</v>
      </c>
      <c r="I94" s="7" t="n">
        <v>2.0546</v>
      </c>
      <c r="J94" s="7" t="n">
        <v>24.49</v>
      </c>
    </row>
    <row r="95" ht="34" customHeight="1">
      <c r="A95" s="7" t="n">
        <v>13</v>
      </c>
      <c r="B95" s="7" t="n">
        <v>26</v>
      </c>
      <c r="C95" s="7" t="n">
        <v>30</v>
      </c>
      <c r="D95" s="7" t="inlineStr">
        <is>
          <t>S3</t>
        </is>
      </c>
      <c r="E95" s="7" t="inlineStr">
        <is>
          <t>Comportamenti non conformi durante lo svolgimento di un'attività</t>
        </is>
      </c>
      <c r="F95" s="7" t="n">
        <v>0.5</v>
      </c>
      <c r="G95" s="7" t="n">
        <v>0.8176</v>
      </c>
      <c r="H95" s="7" t="n">
        <v>0.0549</v>
      </c>
      <c r="I95" s="7" t="n">
        <v>4.4886</v>
      </c>
      <c r="J95" s="7" t="n">
        <v>53.5</v>
      </c>
    </row>
    <row r="96" ht="34" customHeight="1">
      <c r="A96" s="7" t="n">
        <v>13</v>
      </c>
      <c r="B96" s="7" t="n">
        <v>26</v>
      </c>
      <c r="C96" s="7" t="n">
        <v>30</v>
      </c>
      <c r="D96" s="7" t="inlineStr">
        <is>
          <t>S4</t>
        </is>
      </c>
      <c r="E96" s="7" t="inlineStr">
        <is>
          <t>Interferenza tra mezzo e infrastrutture interne all'impianto</t>
        </is>
      </c>
      <c r="F96" s="7" t="n">
        <v>0</v>
      </c>
      <c r="G96" s="7" t="n">
        <v>0.008200000000000001</v>
      </c>
      <c r="H96" s="7" t="n">
        <v>0.1538</v>
      </c>
      <c r="I96" s="7" t="n">
        <v>0.1261</v>
      </c>
      <c r="J96" s="7" t="n">
        <v>1.5</v>
      </c>
    </row>
    <row r="97" ht="34" customHeight="1">
      <c r="A97" s="7" t="n">
        <v>13</v>
      </c>
      <c r="B97" s="7" t="n">
        <v>26</v>
      </c>
      <c r="C97" s="7" t="n">
        <v>30</v>
      </c>
      <c r="D97" s="7" t="inlineStr">
        <is>
          <t>S5</t>
        </is>
      </c>
      <c r="E97" s="7" t="inlineStr">
        <is>
          <t>Instabilità di elementi strutturali o di stoccaggio soggetti a urto o sovraccarico</t>
        </is>
      </c>
      <c r="F97" s="7" t="n">
        <v>0.25</v>
      </c>
      <c r="G97" s="7" t="n">
        <v>0.0359</v>
      </c>
      <c r="H97" s="7" t="n">
        <v>0.2228</v>
      </c>
      <c r="I97" s="7" t="n">
        <v>0.7999000000000001</v>
      </c>
      <c r="J97" s="7" t="n">
        <v>9.529999999999999</v>
      </c>
    </row>
    <row r="98" ht="34" customHeight="1">
      <c r="A98" s="7" t="n">
        <v>13</v>
      </c>
      <c r="B98" s="7" t="n">
        <v>26</v>
      </c>
      <c r="C98" s="7" t="n">
        <v>30</v>
      </c>
      <c r="D98" s="7" t="inlineStr">
        <is>
          <t>S6</t>
        </is>
      </c>
      <c r="E98" s="7" t="inlineStr">
        <is>
          <t>Accesso a organi meccanici in movimento durante operazioni manuali</t>
        </is>
      </c>
      <c r="F98" s="7" t="n">
        <v>0</v>
      </c>
      <c r="G98" s="7" t="n">
        <v>0.0266</v>
      </c>
      <c r="H98" s="7" t="n">
        <v>0.3447</v>
      </c>
      <c r="I98" s="7" t="n">
        <v>0.9169</v>
      </c>
      <c r="J98" s="7" t="n">
        <v>10.93</v>
      </c>
    </row>
    <row r="99" ht="34" customHeight="1">
      <c r="A99" s="7" t="n">
        <v>13</v>
      </c>
      <c r="B99" s="7" t="n">
        <v>26</v>
      </c>
      <c r="C99" s="7" t="n">
        <v>30</v>
      </c>
      <c r="D99" s="7" t="inlineStr">
        <is>
          <t>S7</t>
        </is>
      </c>
      <c r="E99" s="7" t="inlineStr">
        <is>
          <t>Movimentazione manuale di carichi pesanti o instabili senza ausili meccanici adeguati</t>
        </is>
      </c>
      <c r="F99" s="7" t="n">
        <v>0</v>
      </c>
      <c r="G99" s="7" t="n">
        <v>0</v>
      </c>
      <c r="H99" s="7" t="n">
        <v>0.0759</v>
      </c>
      <c r="I99" s="7" t="n">
        <v>0</v>
      </c>
      <c r="J99" s="7" t="n">
        <v>0</v>
      </c>
    </row>
    <row r="100" ht="34" customHeight="1">
      <c r="A100" s="7" t="n">
        <v>14</v>
      </c>
      <c r="B100" s="7" t="n">
        <v>28</v>
      </c>
      <c r="C100" s="7" t="n">
        <v>32</v>
      </c>
      <c r="D100" s="7" t="inlineStr">
        <is>
          <t>S1</t>
        </is>
      </c>
      <c r="E100" s="7" t="inlineStr">
        <is>
          <t>Interferenza tra persone e mezzi di movimentazione negli spazi comuni</t>
        </is>
      </c>
      <c r="F100" s="7" t="n">
        <v>0</v>
      </c>
      <c r="G100" s="7" t="n">
        <v>0</v>
      </c>
      <c r="H100" s="7" t="n">
        <v>0.1109</v>
      </c>
      <c r="I100" s="7" t="n">
        <v>0</v>
      </c>
      <c r="J100" s="7" t="n">
        <v>0</v>
      </c>
    </row>
    <row r="101" ht="34" customHeight="1">
      <c r="A101" s="7" t="n">
        <v>14</v>
      </c>
      <c r="B101" s="7" t="n">
        <v>28</v>
      </c>
      <c r="C101" s="7" t="n">
        <v>32</v>
      </c>
      <c r="D101" s="7" t="inlineStr">
        <is>
          <t>S2</t>
        </is>
      </c>
      <c r="E101" s="7" t="inlineStr">
        <is>
          <t>Riduzione della visibilità durante lo svolgimento di un'attività</t>
        </is>
      </c>
      <c r="F101" s="7" t="n">
        <v>0.25</v>
      </c>
      <c r="G101" s="7" t="n">
        <v>0.5553</v>
      </c>
      <c r="H101" s="7" t="n">
        <v>0.037</v>
      </c>
      <c r="I101" s="7" t="n">
        <v>2.0546</v>
      </c>
      <c r="J101" s="7" t="n">
        <v>12.33</v>
      </c>
    </row>
    <row r="102" ht="34" customHeight="1">
      <c r="A102" s="7" t="n">
        <v>14</v>
      </c>
      <c r="B102" s="7" t="n">
        <v>28</v>
      </c>
      <c r="C102" s="7" t="n">
        <v>32</v>
      </c>
      <c r="D102" s="7" t="inlineStr">
        <is>
          <t>S3</t>
        </is>
      </c>
      <c r="E102" s="7" t="inlineStr">
        <is>
          <t>Comportamenti non conformi durante lo svolgimento di un'attività</t>
        </is>
      </c>
      <c r="F102" s="7" t="n">
        <v>0.25</v>
      </c>
      <c r="G102" s="7" t="n">
        <v>0.2689</v>
      </c>
      <c r="H102" s="7" t="n">
        <v>0.0549</v>
      </c>
      <c r="I102" s="7" t="n">
        <v>1.4763</v>
      </c>
      <c r="J102" s="7" t="n">
        <v>8.859999999999999</v>
      </c>
    </row>
    <row r="103" ht="34" customHeight="1">
      <c r="A103" s="7" t="n">
        <v>14</v>
      </c>
      <c r="B103" s="7" t="n">
        <v>28</v>
      </c>
      <c r="C103" s="7" t="n">
        <v>32</v>
      </c>
      <c r="D103" s="7" t="inlineStr">
        <is>
          <t>S4</t>
        </is>
      </c>
      <c r="E103" s="7" t="inlineStr">
        <is>
          <t>Interferenza tra mezzo e infrastrutture interne all'impianto</t>
        </is>
      </c>
      <c r="F103" s="7" t="n">
        <v>0</v>
      </c>
      <c r="G103" s="7" t="n">
        <v>0.008200000000000001</v>
      </c>
      <c r="H103" s="7" t="n">
        <v>0.1538</v>
      </c>
      <c r="I103" s="7" t="n">
        <v>0.1261</v>
      </c>
      <c r="J103" s="7" t="n">
        <v>0.76</v>
      </c>
    </row>
    <row r="104" ht="34" customHeight="1">
      <c r="A104" s="7" t="n">
        <v>14</v>
      </c>
      <c r="B104" s="7" t="n">
        <v>28</v>
      </c>
      <c r="C104" s="7" t="n">
        <v>32</v>
      </c>
      <c r="D104" s="7" t="inlineStr">
        <is>
          <t>S5</t>
        </is>
      </c>
      <c r="E104" s="7" t="inlineStr">
        <is>
          <t>Instabilità di elementi strutturali o di stoccaggio soggetti a urto o sovraccarico</t>
        </is>
      </c>
      <c r="F104" s="7" t="n">
        <v>0.25</v>
      </c>
      <c r="G104" s="7" t="n">
        <v>0.0359</v>
      </c>
      <c r="H104" s="7" t="n">
        <v>0.2228</v>
      </c>
      <c r="I104" s="7" t="n">
        <v>0.7999000000000001</v>
      </c>
      <c r="J104" s="7" t="n">
        <v>4.8</v>
      </c>
    </row>
    <row r="105" ht="34" customHeight="1">
      <c r="A105" s="7" t="n">
        <v>14</v>
      </c>
      <c r="B105" s="7" t="n">
        <v>28</v>
      </c>
      <c r="C105" s="7" t="n">
        <v>32</v>
      </c>
      <c r="D105" s="7" t="inlineStr">
        <is>
          <t>S6</t>
        </is>
      </c>
      <c r="E105" s="7" t="inlineStr">
        <is>
          <t>Accesso a organi meccanici in movimento durante operazioni manuali</t>
        </is>
      </c>
      <c r="F105" s="7" t="n">
        <v>0.25</v>
      </c>
      <c r="G105" s="7" t="n">
        <v>0.3543</v>
      </c>
      <c r="H105" s="7" t="n">
        <v>0.3447</v>
      </c>
      <c r="I105" s="7" t="n">
        <v>12.2127</v>
      </c>
      <c r="J105" s="7" t="n">
        <v>73.26000000000001</v>
      </c>
    </row>
    <row r="106" ht="34" customHeight="1">
      <c r="A106" s="7" t="n">
        <v>14</v>
      </c>
      <c r="B106" s="7" t="n">
        <v>28</v>
      </c>
      <c r="C106" s="7" t="n">
        <v>32</v>
      </c>
      <c r="D106" s="7" t="inlineStr">
        <is>
          <t>S7</t>
        </is>
      </c>
      <c r="E106" s="7" t="inlineStr">
        <is>
          <t>Movimentazione manuale di carichi pesanti o instabili senza ausili meccanici adeguati</t>
        </is>
      </c>
      <c r="F106" s="7" t="n">
        <v>0</v>
      </c>
      <c r="G106" s="7" t="n">
        <v>0</v>
      </c>
      <c r="H106" s="7" t="n">
        <v>0.0759</v>
      </c>
      <c r="I106" s="7" t="n">
        <v>0</v>
      </c>
      <c r="J106" s="7" t="n">
        <v>0</v>
      </c>
    </row>
    <row r="107" ht="34" customHeight="1">
      <c r="A107" s="7" t="n">
        <v>15</v>
      </c>
      <c r="B107" s="7" t="n">
        <v>30</v>
      </c>
      <c r="C107" s="7" t="n">
        <v>34</v>
      </c>
      <c r="D107" s="7" t="inlineStr">
        <is>
          <t>S1</t>
        </is>
      </c>
      <c r="E107" s="7" t="inlineStr">
        <is>
          <t>Interferenza tra persone e mezzi di movimentazione negli spazi comuni</t>
        </is>
      </c>
      <c r="F107" s="7" t="n">
        <v>0</v>
      </c>
      <c r="G107" s="7" t="n">
        <v>0</v>
      </c>
      <c r="H107" s="7" t="n">
        <v>0.1109</v>
      </c>
      <c r="I107" s="7" t="n">
        <v>0</v>
      </c>
      <c r="J107" s="7" t="n">
        <v>0</v>
      </c>
    </row>
    <row r="108" ht="34" customHeight="1">
      <c r="A108" s="7" t="n">
        <v>15</v>
      </c>
      <c r="B108" s="7" t="n">
        <v>30</v>
      </c>
      <c r="C108" s="7" t="n">
        <v>34</v>
      </c>
      <c r="D108" s="7" t="inlineStr">
        <is>
          <t>S2</t>
        </is>
      </c>
      <c r="E108" s="7" t="inlineStr">
        <is>
          <t>Riduzione della visibilità durante lo svolgimento di un'attività</t>
        </is>
      </c>
      <c r="F108" s="7" t="n">
        <v>0.25</v>
      </c>
      <c r="G108" s="7" t="n">
        <v>0.5553</v>
      </c>
      <c r="H108" s="7" t="n">
        <v>0.037</v>
      </c>
      <c r="I108" s="7" t="n">
        <v>2.0546</v>
      </c>
      <c r="J108" s="7" t="n">
        <v>38.26</v>
      </c>
    </row>
    <row r="109" ht="34" customHeight="1">
      <c r="A109" s="7" t="n">
        <v>15</v>
      </c>
      <c r="B109" s="7" t="n">
        <v>30</v>
      </c>
      <c r="C109" s="7" t="n">
        <v>34</v>
      </c>
      <c r="D109" s="7" t="inlineStr">
        <is>
          <t>S3</t>
        </is>
      </c>
      <c r="E109" s="7" t="inlineStr">
        <is>
          <t>Comportamenti non conformi durante lo svolgimento di un'attività</t>
        </is>
      </c>
      <c r="F109" s="7" t="n">
        <v>0.25</v>
      </c>
      <c r="G109" s="7" t="n">
        <v>0.2689</v>
      </c>
      <c r="H109" s="7" t="n">
        <v>0.0549</v>
      </c>
      <c r="I109" s="7" t="n">
        <v>1.4763</v>
      </c>
      <c r="J109" s="7" t="n">
        <v>27.49</v>
      </c>
    </row>
    <row r="110" ht="34" customHeight="1">
      <c r="A110" s="7" t="n">
        <v>15</v>
      </c>
      <c r="B110" s="7" t="n">
        <v>30</v>
      </c>
      <c r="C110" s="7" t="n">
        <v>34</v>
      </c>
      <c r="D110" s="7" t="inlineStr">
        <is>
          <t>S4</t>
        </is>
      </c>
      <c r="E110" s="7" t="inlineStr">
        <is>
          <t>Interferenza tra mezzo e infrastrutture interne all'impianto</t>
        </is>
      </c>
      <c r="F110" s="7" t="n">
        <v>0</v>
      </c>
      <c r="G110" s="7" t="n">
        <v>0.008200000000000001</v>
      </c>
      <c r="H110" s="7" t="n">
        <v>0.1538</v>
      </c>
      <c r="I110" s="7" t="n">
        <v>0.1261</v>
      </c>
      <c r="J110" s="7" t="n">
        <v>2.35</v>
      </c>
    </row>
    <row r="111" ht="34" customHeight="1">
      <c r="A111" s="7" t="n">
        <v>15</v>
      </c>
      <c r="B111" s="7" t="n">
        <v>30</v>
      </c>
      <c r="C111" s="7" t="n">
        <v>34</v>
      </c>
      <c r="D111" s="7" t="inlineStr">
        <is>
          <t>S5</t>
        </is>
      </c>
      <c r="E111" s="7" t="inlineStr">
        <is>
          <t>Instabilità di elementi strutturali o di stoccaggio soggetti a urto o sovraccarico</t>
        </is>
      </c>
      <c r="F111" s="7" t="n">
        <v>0.25</v>
      </c>
      <c r="G111" s="7" t="n">
        <v>0.0359</v>
      </c>
      <c r="H111" s="7" t="n">
        <v>0.2228</v>
      </c>
      <c r="I111" s="7" t="n">
        <v>0.7999000000000001</v>
      </c>
      <c r="J111" s="7" t="n">
        <v>14.9</v>
      </c>
    </row>
    <row r="112" ht="34" customHeight="1">
      <c r="A112" s="7" t="n">
        <v>15</v>
      </c>
      <c r="B112" s="7" t="n">
        <v>30</v>
      </c>
      <c r="C112" s="7" t="n">
        <v>34</v>
      </c>
      <c r="D112" s="7" t="inlineStr">
        <is>
          <t>S6</t>
        </is>
      </c>
      <c r="E112" s="7" t="inlineStr">
        <is>
          <t>Accesso a organi meccanici in movimento durante operazioni manuali</t>
        </is>
      </c>
      <c r="F112" s="7" t="n">
        <v>0</v>
      </c>
      <c r="G112" s="7" t="n">
        <v>0.0266</v>
      </c>
      <c r="H112" s="7" t="n">
        <v>0.3447</v>
      </c>
      <c r="I112" s="7" t="n">
        <v>0.9169</v>
      </c>
      <c r="J112" s="7" t="n">
        <v>17.07</v>
      </c>
    </row>
    <row r="113" ht="34" customHeight="1">
      <c r="A113" s="7" t="n">
        <v>15</v>
      </c>
      <c r="B113" s="7" t="n">
        <v>30</v>
      </c>
      <c r="C113" s="7" t="n">
        <v>34</v>
      </c>
      <c r="D113" s="7" t="inlineStr">
        <is>
          <t>S7</t>
        </is>
      </c>
      <c r="E113" s="7" t="inlineStr">
        <is>
          <t>Movimentazione manuale di carichi pesanti o instabili senza ausili meccanici adeguati</t>
        </is>
      </c>
      <c r="F113" s="7" t="n">
        <v>0</v>
      </c>
      <c r="G113" s="7" t="n">
        <v>0</v>
      </c>
      <c r="H113" s="7" t="n">
        <v>0.0759</v>
      </c>
      <c r="I113" s="7" t="n">
        <v>0</v>
      </c>
      <c r="J113" s="7" t="n">
        <v>0</v>
      </c>
    </row>
    <row r="114" ht="34" customHeight="1">
      <c r="A114" s="7" t="n">
        <v>16</v>
      </c>
      <c r="B114" s="7" t="n">
        <v>32</v>
      </c>
      <c r="C114" s="7" t="n">
        <v>36</v>
      </c>
      <c r="D114" s="7" t="inlineStr">
        <is>
          <t>S1</t>
        </is>
      </c>
      <c r="E114" s="7" t="inlineStr">
        <is>
          <t>Interferenza tra persone e mezzi di movimentazione negli spazi comuni</t>
        </is>
      </c>
      <c r="F114" s="7" t="n">
        <v>0.25</v>
      </c>
      <c r="G114" s="7" t="n">
        <v>0.25</v>
      </c>
      <c r="H114" s="7" t="n">
        <v>0.1109</v>
      </c>
      <c r="I114" s="7" t="n">
        <v>2.7725</v>
      </c>
      <c r="J114" s="7" t="n">
        <v>22.02</v>
      </c>
    </row>
    <row r="115" ht="34" customHeight="1">
      <c r="A115" s="7" t="n">
        <v>16</v>
      </c>
      <c r="B115" s="7" t="n">
        <v>32</v>
      </c>
      <c r="C115" s="7" t="n">
        <v>36</v>
      </c>
      <c r="D115" s="7" t="inlineStr">
        <is>
          <t>S2</t>
        </is>
      </c>
      <c r="E115" s="7" t="inlineStr">
        <is>
          <t>Riduzione della visibilità durante lo svolgimento di un'attività</t>
        </is>
      </c>
      <c r="F115" s="7" t="n">
        <v>0.75</v>
      </c>
      <c r="G115" s="7" t="n">
        <v>0.9415</v>
      </c>
      <c r="H115" s="7" t="n">
        <v>0.037</v>
      </c>
      <c r="I115" s="7" t="n">
        <v>3.4835</v>
      </c>
      <c r="J115" s="7" t="n">
        <v>27.67</v>
      </c>
    </row>
    <row r="116" ht="34" customHeight="1">
      <c r="A116" s="7" t="n">
        <v>16</v>
      </c>
      <c r="B116" s="7" t="n">
        <v>32</v>
      </c>
      <c r="C116" s="7" t="n">
        <v>36</v>
      </c>
      <c r="D116" s="7" t="inlineStr">
        <is>
          <t>S3</t>
        </is>
      </c>
      <c r="E116" s="7" t="inlineStr">
        <is>
          <t>Comportamenti non conformi durante lo svolgimento di un'attività</t>
        </is>
      </c>
      <c r="F116" s="7" t="n">
        <v>0.5</v>
      </c>
      <c r="G116" s="7" t="n">
        <v>0.8176</v>
      </c>
      <c r="H116" s="7" t="n">
        <v>0.0549</v>
      </c>
      <c r="I116" s="7" t="n">
        <v>4.4886</v>
      </c>
      <c r="J116" s="7" t="n">
        <v>35.65</v>
      </c>
    </row>
    <row r="117" ht="34" customHeight="1">
      <c r="A117" s="7" t="n">
        <v>16</v>
      </c>
      <c r="B117" s="7" t="n">
        <v>32</v>
      </c>
      <c r="C117" s="7" t="n">
        <v>36</v>
      </c>
      <c r="D117" s="7" t="inlineStr">
        <is>
          <t>S4</t>
        </is>
      </c>
      <c r="E117" s="7" t="inlineStr">
        <is>
          <t>Interferenza tra mezzo e infrastrutture interne all'impianto</t>
        </is>
      </c>
      <c r="F117" s="7" t="n">
        <v>0</v>
      </c>
      <c r="G117" s="7" t="n">
        <v>0.008200000000000001</v>
      </c>
      <c r="H117" s="7" t="n">
        <v>0.1538</v>
      </c>
      <c r="I117" s="7" t="n">
        <v>0.1261</v>
      </c>
      <c r="J117" s="7" t="n">
        <v>1</v>
      </c>
    </row>
    <row r="118" ht="34" customHeight="1">
      <c r="A118" s="7" t="n">
        <v>16</v>
      </c>
      <c r="B118" s="7" t="n">
        <v>32</v>
      </c>
      <c r="C118" s="7" t="n">
        <v>36</v>
      </c>
      <c r="D118" s="7" t="inlineStr">
        <is>
          <t>S5</t>
        </is>
      </c>
      <c r="E118" s="7" t="inlineStr">
        <is>
          <t>Instabilità di elementi strutturali o di stoccaggio soggetti a urto o sovraccarico</t>
        </is>
      </c>
      <c r="F118" s="7" t="n">
        <v>0.25</v>
      </c>
      <c r="G118" s="7" t="n">
        <v>0.0359</v>
      </c>
      <c r="H118" s="7" t="n">
        <v>0.2228</v>
      </c>
      <c r="I118" s="7" t="n">
        <v>0.7999000000000001</v>
      </c>
      <c r="J118" s="7" t="n">
        <v>6.35</v>
      </c>
    </row>
    <row r="119" ht="34" customHeight="1">
      <c r="A119" s="7" t="n">
        <v>16</v>
      </c>
      <c r="B119" s="7" t="n">
        <v>32</v>
      </c>
      <c r="C119" s="7" t="n">
        <v>36</v>
      </c>
      <c r="D119" s="7" t="inlineStr">
        <is>
          <t>S6</t>
        </is>
      </c>
      <c r="E119" s="7" t="inlineStr">
        <is>
          <t>Accesso a organi meccanici in movimento durante operazioni manuali</t>
        </is>
      </c>
      <c r="F119" s="7" t="n">
        <v>0</v>
      </c>
      <c r="G119" s="7" t="n">
        <v>0.0266</v>
      </c>
      <c r="H119" s="7" t="n">
        <v>0.3447</v>
      </c>
      <c r="I119" s="7" t="n">
        <v>0.9169</v>
      </c>
      <c r="J119" s="7" t="n">
        <v>7.28</v>
      </c>
    </row>
    <row r="120" ht="34" customHeight="1">
      <c r="A120" s="7" t="n">
        <v>16</v>
      </c>
      <c r="B120" s="7" t="n">
        <v>32</v>
      </c>
      <c r="C120" s="7" t="n">
        <v>36</v>
      </c>
      <c r="D120" s="7" t="inlineStr">
        <is>
          <t>S7</t>
        </is>
      </c>
      <c r="E120" s="7" t="inlineStr">
        <is>
          <t>Movimentazione manuale di carichi pesanti o instabili senza ausili meccanici adeguati</t>
        </is>
      </c>
      <c r="F120" s="7" t="n">
        <v>0</v>
      </c>
      <c r="G120" s="7" t="n">
        <v>0</v>
      </c>
      <c r="H120" s="7" t="n">
        <v>0.0759</v>
      </c>
      <c r="I120" s="7" t="n">
        <v>0</v>
      </c>
      <c r="J120" s="7" t="n">
        <v>0</v>
      </c>
    </row>
    <row r="121" ht="34" customHeight="1">
      <c r="A121" s="7" t="n">
        <v>17</v>
      </c>
      <c r="B121" s="7" t="n">
        <v>34</v>
      </c>
      <c r="C121" s="7" t="n">
        <v>36.689</v>
      </c>
      <c r="D121" s="7" t="inlineStr">
        <is>
          <t>S1</t>
        </is>
      </c>
      <c r="E121" s="7" t="inlineStr">
        <is>
          <t>Interferenza tra persone e mezzi di movimentazione negli spazi comuni</t>
        </is>
      </c>
      <c r="F121" s="7" t="n">
        <v>0</v>
      </c>
      <c r="G121" s="7" t="n">
        <v>0</v>
      </c>
      <c r="H121" s="7" t="n">
        <v>0.1109</v>
      </c>
      <c r="I121" s="7" t="n">
        <v>0</v>
      </c>
      <c r="J121" s="7" t="n">
        <v>0</v>
      </c>
    </row>
    <row r="122" ht="34" customHeight="1">
      <c r="A122" s="7" t="n">
        <v>17</v>
      </c>
      <c r="B122" s="7" t="n">
        <v>34</v>
      </c>
      <c r="C122" s="7" t="n">
        <v>36.689</v>
      </c>
      <c r="D122" s="7" t="inlineStr">
        <is>
          <t>S2</t>
        </is>
      </c>
      <c r="E122" s="7" t="inlineStr">
        <is>
          <t>Riduzione della visibilità durante lo svolgimento di un'attività</t>
        </is>
      </c>
      <c r="F122" s="7" t="n">
        <v>0.25</v>
      </c>
      <c r="G122" s="7" t="n">
        <v>0.5553</v>
      </c>
      <c r="H122" s="7" t="n">
        <v>0.037</v>
      </c>
      <c r="I122" s="7" t="n">
        <v>2.0546</v>
      </c>
      <c r="J122" s="7" t="n">
        <v>44.96</v>
      </c>
    </row>
    <row r="123" ht="34" customHeight="1">
      <c r="A123" s="7" t="n">
        <v>17</v>
      </c>
      <c r="B123" s="7" t="n">
        <v>34</v>
      </c>
      <c r="C123" s="7" t="n">
        <v>36.689</v>
      </c>
      <c r="D123" s="7" t="inlineStr">
        <is>
          <t>S3</t>
        </is>
      </c>
      <c r="E123" s="7" t="inlineStr">
        <is>
          <t>Comportamenti non conformi durante lo svolgimento di un'attività</t>
        </is>
      </c>
      <c r="F123" s="7" t="n">
        <v>0.25</v>
      </c>
      <c r="G123" s="7" t="n">
        <v>0.2689</v>
      </c>
      <c r="H123" s="7" t="n">
        <v>0.0549</v>
      </c>
      <c r="I123" s="7" t="n">
        <v>1.4763</v>
      </c>
      <c r="J123" s="7" t="n">
        <v>32.3</v>
      </c>
    </row>
    <row r="124" ht="34" customHeight="1">
      <c r="A124" s="7" t="n">
        <v>17</v>
      </c>
      <c r="B124" s="7" t="n">
        <v>34</v>
      </c>
      <c r="C124" s="7" t="n">
        <v>36.689</v>
      </c>
      <c r="D124" s="7" t="inlineStr">
        <is>
          <t>S4</t>
        </is>
      </c>
      <c r="E124" s="7" t="inlineStr">
        <is>
          <t>Interferenza tra mezzo e infrastrutture interne all'impianto</t>
        </is>
      </c>
      <c r="F124" s="7" t="n">
        <v>0</v>
      </c>
      <c r="G124" s="7" t="n">
        <v>0.008200000000000001</v>
      </c>
      <c r="H124" s="7" t="n">
        <v>0.1538</v>
      </c>
      <c r="I124" s="7" t="n">
        <v>0.1261</v>
      </c>
      <c r="J124" s="7" t="n">
        <v>2.76</v>
      </c>
    </row>
    <row r="125" ht="34" customHeight="1">
      <c r="A125" s="7" t="n">
        <v>17</v>
      </c>
      <c r="B125" s="7" t="n">
        <v>34</v>
      </c>
      <c r="C125" s="7" t="n">
        <v>36.689</v>
      </c>
      <c r="D125" s="7" t="inlineStr">
        <is>
          <t>S5</t>
        </is>
      </c>
      <c r="E125" s="7" t="inlineStr">
        <is>
          <t>Instabilità di elementi strutturali o di stoccaggio soggetti a urto o sovraccarico</t>
        </is>
      </c>
      <c r="F125" s="7" t="n">
        <v>0</v>
      </c>
      <c r="G125" s="7" t="n">
        <v>0</v>
      </c>
      <c r="H125" s="7" t="n">
        <v>0.2228</v>
      </c>
      <c r="I125" s="7" t="n">
        <v>0</v>
      </c>
      <c r="J125" s="7" t="n">
        <v>0</v>
      </c>
    </row>
    <row r="126" ht="34" customHeight="1">
      <c r="A126" s="7" t="n">
        <v>17</v>
      </c>
      <c r="B126" s="7" t="n">
        <v>34</v>
      </c>
      <c r="C126" s="7" t="n">
        <v>36.689</v>
      </c>
      <c r="D126" s="7" t="inlineStr">
        <is>
          <t>S6</t>
        </is>
      </c>
      <c r="E126" s="7" t="inlineStr">
        <is>
          <t>Accesso a organi meccanici in movimento durante operazioni manuali</t>
        </is>
      </c>
      <c r="F126" s="7" t="n">
        <v>0</v>
      </c>
      <c r="G126" s="7" t="n">
        <v>0.0266</v>
      </c>
      <c r="H126" s="7" t="n">
        <v>0.3447</v>
      </c>
      <c r="I126" s="7" t="n">
        <v>0.9169</v>
      </c>
      <c r="J126" s="7" t="n">
        <v>20.06</v>
      </c>
    </row>
    <row r="127" ht="34" customHeight="1">
      <c r="A127" s="7" t="n">
        <v>17</v>
      </c>
      <c r="B127" s="7" t="n">
        <v>34</v>
      </c>
      <c r="C127" s="7" t="n">
        <v>36.689</v>
      </c>
      <c r="D127" s="7" t="inlineStr">
        <is>
          <t>S7</t>
        </is>
      </c>
      <c r="E127" s="7" t="inlineStr">
        <is>
          <t>Movimentazione manuale di carichi pesanti o instabili senza ausili meccanici adeguati</t>
        </is>
      </c>
      <c r="F127" s="7" t="n">
        <v>0</v>
      </c>
      <c r="G127" s="7" t="n">
        <v>0</v>
      </c>
      <c r="H127" s="7" t="n">
        <v>0.0759</v>
      </c>
      <c r="I127" s="7" t="n">
        <v>0</v>
      </c>
      <c r="J127" s="7" t="n">
        <v>0</v>
      </c>
    </row>
    <row r="128" ht="34" customHeight="1">
      <c r="A128" s="7" t="n">
        <v>18</v>
      </c>
      <c r="B128" s="7" t="n">
        <v>36</v>
      </c>
      <c r="C128" s="7" t="n">
        <v>36.689</v>
      </c>
      <c r="D128" s="7" t="inlineStr">
        <is>
          <t>S1</t>
        </is>
      </c>
      <c r="E128" s="7" t="inlineStr">
        <is>
          <t>Interferenza tra persone e mezzi di movimentazione negli spazi comuni</t>
        </is>
      </c>
      <c r="F128" s="7" t="n">
        <v>0</v>
      </c>
      <c r="G128" s="7" t="n">
        <v>0</v>
      </c>
      <c r="H128" s="7" t="n">
        <v>0.1109</v>
      </c>
      <c r="I128" s="7" t="n">
        <v>0</v>
      </c>
      <c r="J128" s="7" t="n">
        <v>0</v>
      </c>
    </row>
    <row r="129" ht="34" customHeight="1">
      <c r="A129" s="7" t="n">
        <v>18</v>
      </c>
      <c r="B129" s="7" t="n">
        <v>36</v>
      </c>
      <c r="C129" s="7" t="n">
        <v>36.689</v>
      </c>
      <c r="D129" s="7" t="inlineStr">
        <is>
          <t>S2</t>
        </is>
      </c>
      <c r="E129" s="7" t="inlineStr">
        <is>
          <t>Riduzione della visibilità durante lo svolgimento di un'attività</t>
        </is>
      </c>
      <c r="F129" s="7" t="n">
        <v>0</v>
      </c>
      <c r="G129" s="7" t="n">
        <v>0</v>
      </c>
      <c r="H129" s="7" t="n">
        <v>0.037</v>
      </c>
      <c r="I129" s="7" t="n">
        <v>0</v>
      </c>
      <c r="J129" s="7" t="n">
        <v>0</v>
      </c>
    </row>
    <row r="130" ht="34" customHeight="1">
      <c r="A130" s="7" t="n">
        <v>18</v>
      </c>
      <c r="B130" s="7" t="n">
        <v>36</v>
      </c>
      <c r="C130" s="7" t="n">
        <v>36.689</v>
      </c>
      <c r="D130" s="7" t="inlineStr">
        <is>
          <t>S3</t>
        </is>
      </c>
      <c r="E130" s="7" t="inlineStr">
        <is>
          <t>Comportamenti non conformi durante lo svolgimento di un'attività</t>
        </is>
      </c>
      <c r="F130" s="7" t="n">
        <v>0</v>
      </c>
      <c r="G130" s="7" t="n">
        <v>0.0293</v>
      </c>
      <c r="H130" s="7" t="n">
        <v>0.0549</v>
      </c>
      <c r="I130" s="7" t="n">
        <v>0.1609</v>
      </c>
      <c r="J130" s="7" t="n">
        <v>13.41</v>
      </c>
    </row>
    <row r="131" ht="34" customHeight="1">
      <c r="A131" s="7" t="n">
        <v>18</v>
      </c>
      <c r="B131" s="7" t="n">
        <v>36</v>
      </c>
      <c r="C131" s="7" t="n">
        <v>36.689</v>
      </c>
      <c r="D131" s="7" t="inlineStr">
        <is>
          <t>S4</t>
        </is>
      </c>
      <c r="E131" s="7" t="inlineStr">
        <is>
          <t>Interferenza tra mezzo e infrastrutture interne all'impianto</t>
        </is>
      </c>
      <c r="F131" s="7" t="n">
        <v>0</v>
      </c>
      <c r="G131" s="7" t="n">
        <v>0.008200000000000001</v>
      </c>
      <c r="H131" s="7" t="n">
        <v>0.1538</v>
      </c>
      <c r="I131" s="7" t="n">
        <v>0.1261</v>
      </c>
      <c r="J131" s="7" t="n">
        <v>10.51</v>
      </c>
    </row>
    <row r="132" ht="34" customHeight="1">
      <c r="A132" s="7" t="n">
        <v>18</v>
      </c>
      <c r="B132" s="7" t="n">
        <v>36</v>
      </c>
      <c r="C132" s="7" t="n">
        <v>36.689</v>
      </c>
      <c r="D132" s="7" t="inlineStr">
        <is>
          <t>S5</t>
        </is>
      </c>
      <c r="E132" s="7" t="inlineStr">
        <is>
          <t>Instabilità di elementi strutturali o di stoccaggio soggetti a urto o sovraccarico</t>
        </is>
      </c>
      <c r="F132" s="7" t="n">
        <v>0</v>
      </c>
      <c r="G132" s="7" t="n">
        <v>0</v>
      </c>
      <c r="H132" s="7" t="n">
        <v>0.2228</v>
      </c>
      <c r="I132" s="7" t="n">
        <v>0</v>
      </c>
      <c r="J132" s="7" t="n">
        <v>0</v>
      </c>
    </row>
    <row r="133" ht="34" customHeight="1">
      <c r="A133" s="7" t="n">
        <v>18</v>
      </c>
      <c r="B133" s="7" t="n">
        <v>36</v>
      </c>
      <c r="C133" s="7" t="n">
        <v>36.689</v>
      </c>
      <c r="D133" s="7" t="inlineStr">
        <is>
          <t>S6</t>
        </is>
      </c>
      <c r="E133" s="7" t="inlineStr">
        <is>
          <t>Accesso a organi meccanici in movimento durante operazioni manuali</t>
        </is>
      </c>
      <c r="F133" s="7" t="n">
        <v>0</v>
      </c>
      <c r="G133" s="7" t="n">
        <v>0.0266</v>
      </c>
      <c r="H133" s="7" t="n">
        <v>0.3447</v>
      </c>
      <c r="I133" s="7" t="n">
        <v>0.9169</v>
      </c>
      <c r="J133" s="7" t="n">
        <v>76.41</v>
      </c>
    </row>
    <row r="134" ht="34" customHeight="1">
      <c r="A134" s="7" t="n">
        <v>18</v>
      </c>
      <c r="B134" s="7" t="n">
        <v>36</v>
      </c>
      <c r="C134" s="7" t="n">
        <v>36.689</v>
      </c>
      <c r="D134" s="7" t="inlineStr">
        <is>
          <t>S7</t>
        </is>
      </c>
      <c r="E134" s="7" t="inlineStr">
        <is>
          <t>Movimentazione manuale di carichi pesanti o instabili senza ausili meccanici adeguati</t>
        </is>
      </c>
      <c r="F134" s="7" t="n">
        <v>0</v>
      </c>
      <c r="G134" s="7" t="n">
        <v>0</v>
      </c>
      <c r="H134" s="7" t="n">
        <v>0.0759</v>
      </c>
      <c r="I134" s="7" t="n">
        <v>0</v>
      </c>
      <c r="J134" s="7"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
  <sheetViews>
    <sheetView showGridLines="1" zoomScale="80"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12" customWidth="1" min="4" max="4"/>
    <col width="7" customWidth="1" min="5" max="5"/>
    <col width="12" customWidth="1" min="6" max="6"/>
    <col width="12" customWidth="1" min="7" max="7"/>
  </cols>
  <sheetData>
    <row r="1" ht="16" customHeight="1">
      <c r="A1" s="6" t="inlineStr">
        <is>
          <t>risk_code</t>
        </is>
      </c>
      <c r="B1" s="6" t="inlineStr">
        <is>
          <t>risk_label</t>
        </is>
      </c>
      <c r="C1" s="6" t="inlineStr">
        <is>
          <t>mean_raw</t>
        </is>
      </c>
      <c r="D1" s="6" t="inlineStr">
        <is>
          <t>mean_transformed</t>
        </is>
      </c>
      <c r="E1" s="6" t="inlineStr">
        <is>
          <t>weight</t>
        </is>
      </c>
      <c r="F1" s="6" t="inlineStr">
        <is>
          <t>mean_contribution</t>
        </is>
      </c>
      <c r="G1" s="6" t="inlineStr">
        <is>
          <t>mean_contribution_pct</t>
        </is>
      </c>
    </row>
    <row r="2" ht="34" customHeight="1">
      <c r="A2" s="7" t="inlineStr">
        <is>
          <t>S1</t>
        </is>
      </c>
      <c r="B2" s="7" t="inlineStr">
        <is>
          <t>Interferenza tra persone e mezzi di movimentazione negli spazi comuni</t>
        </is>
      </c>
      <c r="C2" s="7" t="n">
        <v>0.0526</v>
      </c>
      <c r="D2" s="7" t="n">
        <v>0.0526</v>
      </c>
      <c r="E2" s="7" t="n">
        <v>0.1109</v>
      </c>
      <c r="F2" s="7" t="n">
        <v>0.5837</v>
      </c>
      <c r="G2" s="7" t="n">
        <v>3.37</v>
      </c>
    </row>
    <row r="3" ht="34" customHeight="1">
      <c r="A3" s="7" t="inlineStr">
        <is>
          <t>S2</t>
        </is>
      </c>
      <c r="B3" s="7" t="inlineStr">
        <is>
          <t>Riduzione della visibilità durante lo svolgimento di un'attività</t>
        </is>
      </c>
      <c r="C3" s="7" t="n">
        <v>0.3947</v>
      </c>
      <c r="D3" s="7" t="n">
        <v>0.6845</v>
      </c>
      <c r="E3" s="7" t="n">
        <v>0.037</v>
      </c>
      <c r="F3" s="7" t="n">
        <v>2.5325</v>
      </c>
      <c r="G3" s="7" t="n">
        <v>15.55</v>
      </c>
    </row>
    <row r="4" ht="34" customHeight="1">
      <c r="A4" s="7" t="inlineStr">
        <is>
          <t>S3</t>
        </is>
      </c>
      <c r="B4" s="7" t="inlineStr">
        <is>
          <t>Comportamenti non conformi durante lo svolgimento di un'attività</t>
        </is>
      </c>
      <c r="C4" s="7" t="n">
        <v>0.3289</v>
      </c>
      <c r="D4" s="7" t="n">
        <v>0.4382</v>
      </c>
      <c r="E4" s="7" t="n">
        <v>0.0549</v>
      </c>
      <c r="F4" s="7" t="n">
        <v>2.4058</v>
      </c>
      <c r="G4" s="7" t="n">
        <v>17.54</v>
      </c>
    </row>
    <row r="5" ht="34" customHeight="1">
      <c r="A5" s="7" t="inlineStr">
        <is>
          <t>S4</t>
        </is>
      </c>
      <c r="B5" s="7" t="inlineStr">
        <is>
          <t>Interferenza tra mezzo e infrastrutture interne all'impianto</t>
        </is>
      </c>
      <c r="C5" s="7" t="n">
        <v>0.0132</v>
      </c>
      <c r="D5" s="7" t="n">
        <v>0.0152</v>
      </c>
      <c r="E5" s="7" t="n">
        <v>0.1538</v>
      </c>
      <c r="F5" s="7" t="n">
        <v>0.2343</v>
      </c>
      <c r="G5" s="7" t="n">
        <v>1.89</v>
      </c>
    </row>
    <row r="6" ht="34" customHeight="1">
      <c r="A6" s="7" t="inlineStr">
        <is>
          <t>S5</t>
        </is>
      </c>
      <c r="B6" s="7" t="inlineStr">
        <is>
          <t>Instabilità di elementi strutturali o di stoccaggio soggetti a urto o sovraccarico</t>
        </is>
      </c>
      <c r="C6" s="7" t="n">
        <v>0.1316</v>
      </c>
      <c r="D6" s="7" t="n">
        <v>0.0189</v>
      </c>
      <c r="E6" s="7" t="n">
        <v>0.2228</v>
      </c>
      <c r="F6" s="7" t="n">
        <v>0.421</v>
      </c>
      <c r="G6" s="7" t="n">
        <v>2.86</v>
      </c>
    </row>
    <row r="7" ht="34" customHeight="1">
      <c r="A7" s="7" t="inlineStr">
        <is>
          <t>S6</t>
        </is>
      </c>
      <c r="B7" s="7" t="inlineStr">
        <is>
          <t>Accesso a organi meccanici in movimento durante operazioni manuali</t>
        </is>
      </c>
      <c r="C7" s="7" t="n">
        <v>0.2895</v>
      </c>
      <c r="D7" s="7" t="n">
        <v>0.4787</v>
      </c>
      <c r="E7" s="7" t="n">
        <v>0.3447</v>
      </c>
      <c r="F7" s="7" t="n">
        <v>16.5006</v>
      </c>
      <c r="G7" s="7" t="n">
        <v>58.03</v>
      </c>
    </row>
    <row r="8" ht="34" customHeight="1">
      <c r="A8" s="7" t="inlineStr">
        <is>
          <t>S7</t>
        </is>
      </c>
      <c r="B8" s="7" t="inlineStr">
        <is>
          <t>Movimentazione manuale di carichi pesanti o instabili senza ausili meccanici adeguati</t>
        </is>
      </c>
      <c r="C8" s="7" t="n">
        <v>0.0789</v>
      </c>
      <c r="D8" s="7" t="n">
        <v>0.0419</v>
      </c>
      <c r="E8" s="7" t="n">
        <v>0.0759</v>
      </c>
      <c r="F8" s="7" t="n">
        <v>0.318</v>
      </c>
      <c r="G8" s="7" t="n">
        <v>0.78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2026-07-30T19:23:32Z</dcterms:created>
  <dcterms:modified xmlns:dcterms="http://purl.org/dc/terms/" xmlns:xsi="http://www.w3.org/2001/XMLSchema-instance" xsi:type="dcterms:W3CDTF">2026-07-30T19:23:33Z</dcterms:modified>
</cp:coreProperties>
</file>